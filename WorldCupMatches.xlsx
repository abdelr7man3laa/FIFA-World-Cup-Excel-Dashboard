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2.xml" ContentType="application/vnd.openxmlformats-officedocument.spreadsheetml.tab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3.xml" ContentType="application/vnd.openxmlformats-officedocument.spreadsheetml.table+xml"/>
  <Override PartName="/xl/drawings/drawing9.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DELL\OneDrive\المستندات\"/>
    </mc:Choice>
  </mc:AlternateContent>
  <xr:revisionPtr revIDLastSave="0" documentId="8_{54FD5261-9C68-4979-8341-BB8D90EA7EA5}" xr6:coauthVersionLast="47" xr6:coauthVersionMax="47" xr10:uidLastSave="{00000000-0000-0000-0000-000000000000}"/>
  <bookViews>
    <workbookView xWindow="-120" yWindow="-120" windowWidth="20730" windowHeight="11040" tabRatio="857" firstSheet="7" activeTab="11" xr2:uid="{00000000-000D-0000-FFFF-FFFF00000000}"/>
  </bookViews>
  <sheets>
    <sheet name="Number of Matches" sheetId="3" r:id="rId1"/>
    <sheet name="Number of Goals" sheetId="4" r:id="rId2"/>
    <sheet name="Average of Total Goals per Year" sheetId="5" r:id="rId3"/>
    <sheet name="Avarage of goals per stage" sheetId="6" r:id="rId4"/>
    <sheet name="Top 10 Host Cities by Number of" sheetId="7" r:id="rId5"/>
    <sheet name="Sheet12" sheetId="17" r:id="rId6"/>
    <sheet name="Average Attendance by World Cup" sheetId="13" r:id="rId7"/>
    <sheet name="Top 10 Team plaied matches" sheetId="10" r:id="rId8"/>
    <sheet name="Draft" sheetId="9" r:id="rId9"/>
    <sheet name="Top 10 Teams by Total Goals" sheetId="12" r:id="rId10"/>
    <sheet name="WorldCupMatches" sheetId="1" r:id="rId11"/>
    <sheet name="Dashboard" sheetId="14" r:id="rId12"/>
    <sheet name="Summary" sheetId="15" r:id="rId13"/>
  </sheets>
  <definedNames>
    <definedName name="_xlcn.WorksheetConnection_WorldCupMatches.xlsxWorld_Cup_Matches1" hidden="1">World_Cup_Matches[]</definedName>
    <definedName name="_xlcn.WorksheetConnection_WorldCupMatchesAutoRecovered.xlsxTable31" hidden="1">Table3[]</definedName>
    <definedName name="ExternalData_1" localSheetId="5" hidden="1">Sheet12!$A$3:$X$55</definedName>
    <definedName name="_xlnm.Print_Area" localSheetId="11">Dashboard!$A$1:$BT$144</definedName>
    <definedName name="Slicer_Year">#N/A</definedName>
  </definedNames>
  <calcPr calcId="191029"/>
  <pivotCaches>
    <pivotCache cacheId="132" r:id="rId14"/>
    <pivotCache cacheId="1413" r:id="rId15"/>
    <pivotCache cacheId="1416" r:id="rId16"/>
    <pivotCache cacheId="1419" r:id="rId17"/>
    <pivotCache cacheId="1746" r:id="rId18"/>
    <pivotCache cacheId="1749" r:id="rId19"/>
    <pivotCache cacheId="1752" r:id="rId20"/>
    <pivotCache cacheId="1755" r:id="rId21"/>
  </pivotCaches>
  <extLst>
    <ext xmlns:x14="http://schemas.microsoft.com/office/spreadsheetml/2009/9/main" uri="{876F7934-8845-4945-9796-88D515C7AA90}">
      <x14:pivotCaches>
        <pivotCache cacheId="1400" r:id="rId22"/>
      </x14:pivotCaches>
    </ext>
    <ext xmlns:x14="http://schemas.microsoft.com/office/spreadsheetml/2009/9/main" uri="{BBE1A952-AA13-448e-AADC-164F8A28A991}">
      <x14:slicerCaches>
        <x14:slicerCache r:id="rId23"/>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World_Cup_Matches" name="World_Cup_Matches" connection="WorksheetConnection_WorldCupMatches.xlsx!World_Cup_Matches"/>
          <x15:modelTable id="Table3" name="Table3" connection="WorksheetConnection_WorldCupMatches(AutoRecovered).xlsx!Table3"/>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707" i="9" l="1"/>
  <c r="B2" i="15"/>
  <c r="B1706" i="9"/>
  <c r="U853" i="1"/>
  <c r="V853" i="1"/>
  <c r="W853" i="1"/>
  <c r="X853" i="1"/>
  <c r="B1" i="15"/>
  <c r="B854" i="9"/>
  <c r="W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X2"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U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B4" i="15"/>
  <c r="B3" i="1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350F410-A181-4B31-910B-4DE70276E3AA}" keepAlive="1" name="ModelConnection_ExternalData_1" description="Data Model" type="5" refreshedVersion="8" minRefreshableVersion="5" saveData="1">
    <dbPr connection="Data Model Connection" command="DRILLTHROUGH MAXROWS 1000 SELECT FROM [Model] WHERE (([Measures].[Average of Attendance],[World_Cup_Matches].[Year].&amp;[1994])) RETURN [$World_Cup_Matches].[Year],[$World_Cup_Matches].[Datetime],[$World_Cup_Matches].[Stage],[$World_Cup_Matches].[Stadium],[$World_Cup_Matches].[City],[$World_Cup_Matches].[Home Team Name],[$World_Cup_Matches].[Home Team Goals],[$World_Cup_Matches].[Away Team Goals],[$World_Cup_Matches].[Away Team Name],[$World_Cup_Matches].[Win conditions],[$World_Cup_Matches].[Attendance],[$World_Cup_Matches].[Half-time Home Goals],[$World_Cup_Matches].[Half-time Away Goals],[$World_Cup_Matches].[Referee],[$World_Cup_Matches].[Assistant 1],[$World_Cup_Matches].[Assistant 2],[$World_Cup_Matches].[RoundID],[$World_Cup_Matches].[MatchID],[$World_Cup_Matches].[Home Team Initials],[$World_Cup_Matches].[Away Team Initials],[$World_Cup_Matches].[total goals],[$World_Cup_Matches].[Goal Difference],[$World_Cup_Matches].[Winner],[$World_Cup_Matches].[Result]" commandType="4"/>
    <extLst>
      <ext xmlns:x15="http://schemas.microsoft.com/office/spreadsheetml/2010/11/main" uri="{DE250136-89BD-433C-8126-D09CA5730AF9}">
        <x15:connection id="" model="1"/>
      </ext>
    </extLst>
  </connection>
  <connection id="2" xr16:uid="{137895E8-4D5B-487E-B3D8-8BE27BD7B19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C3B31435-6B83-4D19-B952-3BF4A6842E30}" name="WorksheetConnection_WorldCupMatches(AutoRecovered).xlsx!Table3" type="102" refreshedVersion="8" minRefreshableVersion="5">
    <extLst>
      <ext xmlns:x15="http://schemas.microsoft.com/office/spreadsheetml/2010/11/main" uri="{DE250136-89BD-433C-8126-D09CA5730AF9}">
        <x15:connection id="Table3" autoDelete="1">
          <x15:rangePr sourceName="_xlcn.WorksheetConnection_WorldCupMatchesAutoRecovered.xlsxTable31"/>
        </x15:connection>
      </ext>
    </extLst>
  </connection>
  <connection id="4" xr16:uid="{C1025309-5FA9-4BB3-A197-DFA56B2A4037}" name="WorksheetConnection_WorldCupMatches.xlsx!World_Cup_Matches" type="102" refreshedVersion="8" minRefreshableVersion="5">
    <extLst>
      <ext xmlns:x15="http://schemas.microsoft.com/office/spreadsheetml/2010/11/main" uri="{DE250136-89BD-433C-8126-D09CA5730AF9}">
        <x15:connection id="World_Cup_Matches" autoDelete="1">
          <x15:rangePr sourceName="_xlcn.WorksheetConnection_WorldCupMatches.xlsxWorld_Cup_Matches1"/>
        </x15:connection>
      </ext>
    </extLst>
  </connection>
</connections>
</file>

<file path=xl/sharedStrings.xml><?xml version="1.0" encoding="utf-8"?>
<sst xmlns="http://schemas.openxmlformats.org/spreadsheetml/2006/main" count="12850" uniqueCount="1962">
  <si>
    <t>Year</t>
  </si>
  <si>
    <t>Datetime</t>
  </si>
  <si>
    <t>Stage</t>
  </si>
  <si>
    <t>Stadium</t>
  </si>
  <si>
    <t>City</t>
  </si>
  <si>
    <t>Home Team Name</t>
  </si>
  <si>
    <t>Home Team Goals</t>
  </si>
  <si>
    <t>Away Team Goals</t>
  </si>
  <si>
    <t>Away Team Name</t>
  </si>
  <si>
    <t>Win conditions</t>
  </si>
  <si>
    <t>Attendance</t>
  </si>
  <si>
    <t>Half-time Home Goals</t>
  </si>
  <si>
    <t>Half-time Away Goals</t>
  </si>
  <si>
    <t>Referee</t>
  </si>
  <si>
    <t>Assistant 1</t>
  </si>
  <si>
    <t>Assistant 2</t>
  </si>
  <si>
    <t>RoundID</t>
  </si>
  <si>
    <t>MatchID</t>
  </si>
  <si>
    <t>Home Team Initials</t>
  </si>
  <si>
    <t>Away Team Initials</t>
  </si>
  <si>
    <t xml:space="preserve">13 Jul 1930 - 15:00 </t>
  </si>
  <si>
    <t>Group 1</t>
  </si>
  <si>
    <t>Pocitos</t>
  </si>
  <si>
    <t xml:space="preserve">Montevideo </t>
  </si>
  <si>
    <t>France</t>
  </si>
  <si>
    <t>Mexico</t>
  </si>
  <si>
    <t>LOMBARDI Domingo (URU)</t>
  </si>
  <si>
    <t>CRISTOPHE Henry (BEL)</t>
  </si>
  <si>
    <t>REGO Gilberto (BRA)</t>
  </si>
  <si>
    <t>FRA</t>
  </si>
  <si>
    <t>MEX</t>
  </si>
  <si>
    <t>Group 4</t>
  </si>
  <si>
    <t>Parque Central</t>
  </si>
  <si>
    <t>USA</t>
  </si>
  <si>
    <t>Belgium</t>
  </si>
  <si>
    <t>MACIAS Jose (ARG)</t>
  </si>
  <si>
    <t>MATEUCCI Francisco (URU)</t>
  </si>
  <si>
    <t>WARNKEN Alberto (CHI)</t>
  </si>
  <si>
    <t>BEL</t>
  </si>
  <si>
    <t xml:space="preserve">14 Jul 1930 - 12:45 </t>
  </si>
  <si>
    <t>Group 2</t>
  </si>
  <si>
    <t>Yugoslavia</t>
  </si>
  <si>
    <t>Brazil</t>
  </si>
  <si>
    <t>TEJADA Anibal (URU)</t>
  </si>
  <si>
    <t>VALLARINO Ricardo (URU)</t>
  </si>
  <si>
    <t>BALWAY Thomas (FRA)</t>
  </si>
  <si>
    <t>YUG</t>
  </si>
  <si>
    <t>BRA</t>
  </si>
  <si>
    <t xml:space="preserve">14 Jul 1930 - 14:50 </t>
  </si>
  <si>
    <t>Group 3</t>
  </si>
  <si>
    <t>Romania</t>
  </si>
  <si>
    <t>Peru</t>
  </si>
  <si>
    <t>LANGENUS Jean (BEL)</t>
  </si>
  <si>
    <t>ROU</t>
  </si>
  <si>
    <t>PER</t>
  </si>
  <si>
    <t xml:space="preserve">15 Jul 1930 - 16:00 </t>
  </si>
  <si>
    <t>Argentina</t>
  </si>
  <si>
    <t>SAUCEDO Ulises (BOL)</t>
  </si>
  <si>
    <t>RADULESCU Constantin (ROU)</t>
  </si>
  <si>
    <t>ARG</t>
  </si>
  <si>
    <t xml:space="preserve">16 Jul 1930 - 14:45 </t>
  </si>
  <si>
    <t>Chile</t>
  </si>
  <si>
    <t>APHESTEGUY Martin (URU)</t>
  </si>
  <si>
    <t>CHI</t>
  </si>
  <si>
    <t xml:space="preserve">17 Jul 1930 - 12:45 </t>
  </si>
  <si>
    <t>Bolivia</t>
  </si>
  <si>
    <t>BOL</t>
  </si>
  <si>
    <t xml:space="preserve">17 Jul 1930 - 14:45 </t>
  </si>
  <si>
    <t>Paraguay</t>
  </si>
  <si>
    <t>PAR</t>
  </si>
  <si>
    <t xml:space="preserve">18 Jul 1930 - 14:30 </t>
  </si>
  <si>
    <t>Estadio Centenario</t>
  </si>
  <si>
    <t>Uruguay</t>
  </si>
  <si>
    <t>URU</t>
  </si>
  <si>
    <t xml:space="preserve">19 Jul 1930 - 12:50 </t>
  </si>
  <si>
    <t xml:space="preserve">19 Jul 1930 - 15:00 </t>
  </si>
  <si>
    <t>ALONSO Gualberto (URU)</t>
  </si>
  <si>
    <t xml:space="preserve">20 Jul 1930 - 13:00 </t>
  </si>
  <si>
    <t>VALLEJO Gaspar (MEX)</t>
  </si>
  <si>
    <t xml:space="preserve">20 Jul 1930 - 15:00 </t>
  </si>
  <si>
    <t xml:space="preserve">21 Jul 1930 - 14:50 </t>
  </si>
  <si>
    <t xml:space="preserve">22 Jul 1930 - 14:45 </t>
  </si>
  <si>
    <t xml:space="preserve">26 Jul 1930 - 14:45 </t>
  </si>
  <si>
    <t>Semi-finals</t>
  </si>
  <si>
    <t xml:space="preserve">27 Jul 1930 - 14:45 </t>
  </si>
  <si>
    <t xml:space="preserve">30 Jul 1930 - 14:15 </t>
  </si>
  <si>
    <t>Final</t>
  </si>
  <si>
    <t xml:space="preserve">27 May 1934 - 16:30 </t>
  </si>
  <si>
    <t>Preliminary round</t>
  </si>
  <si>
    <t>Stadio Benito Mussolini</t>
  </si>
  <si>
    <t xml:space="preserve">Turin </t>
  </si>
  <si>
    <t>Austria</t>
  </si>
  <si>
    <t xml:space="preserve">Austria win after extra time </t>
  </si>
  <si>
    <t>VAN MOORSEL Johannes (NED)</t>
  </si>
  <si>
    <t>CAIRONI Camillo (ITA)</t>
  </si>
  <si>
    <t>BAERT Louis (BEL)</t>
  </si>
  <si>
    <t>AUT</t>
  </si>
  <si>
    <t>Giorgio Ascarelli</t>
  </si>
  <si>
    <t xml:space="preserve">Naples </t>
  </si>
  <si>
    <t>Hungary</t>
  </si>
  <si>
    <t>Egypt</t>
  </si>
  <si>
    <t>BARLASSINA Rinaldo (ITA)</t>
  </si>
  <si>
    <t>DATTILO Generoso (ITA)</t>
  </si>
  <si>
    <t>SASSI Otello (ITA)</t>
  </si>
  <si>
    <t>HUN</t>
  </si>
  <si>
    <t>EGY</t>
  </si>
  <si>
    <t>San Siro</t>
  </si>
  <si>
    <t xml:space="preserve">Milan </t>
  </si>
  <si>
    <t>Switzerland</t>
  </si>
  <si>
    <t>Netherlands</t>
  </si>
  <si>
    <t>EKLIND Ivan (SWE)</t>
  </si>
  <si>
    <t>BERANEK Alois (AUT)</t>
  </si>
  <si>
    <t>BONIVENTO Ferruccio (ITA)</t>
  </si>
  <si>
    <t>SUI</t>
  </si>
  <si>
    <t>NED</t>
  </si>
  <si>
    <t>Littorale</t>
  </si>
  <si>
    <t xml:space="preserve">Bologna </t>
  </si>
  <si>
    <t>Sweden</t>
  </si>
  <si>
    <t>BRAUN Eugen (AUT)</t>
  </si>
  <si>
    <t>CARRARO Albino (ITA)</t>
  </si>
  <si>
    <t>TURBIANI Giuseppe (ITA)</t>
  </si>
  <si>
    <t>SWE</t>
  </si>
  <si>
    <t>Giovanni Berta</t>
  </si>
  <si>
    <t xml:space="preserve">Florence </t>
  </si>
  <si>
    <t>Germany</t>
  </si>
  <si>
    <t>MATTEA Francesco (ITA)</t>
  </si>
  <si>
    <t>MELANDRI Ermenegildo (ITA)</t>
  </si>
  <si>
    <t>BAERT Jacques (FRA)</t>
  </si>
  <si>
    <t>GER</t>
  </si>
  <si>
    <t>Luigi Ferraris</t>
  </si>
  <si>
    <t xml:space="preserve">Genoa </t>
  </si>
  <si>
    <t>Spain</t>
  </si>
  <si>
    <t>BIRLEM Alfred (GER)</t>
  </si>
  <si>
    <t>CARMINATI Ettore (ITA)</t>
  </si>
  <si>
    <t>IVANCSICS Mihaly (HUN)</t>
  </si>
  <si>
    <t>ESP</t>
  </si>
  <si>
    <t>Nazionale PNF</t>
  </si>
  <si>
    <t xml:space="preserve">Rome </t>
  </si>
  <si>
    <t>Italy</t>
  </si>
  <si>
    <t>MERCET Rene (SUI)</t>
  </si>
  <si>
    <t>ESCARTIN Pedro (ESP)</t>
  </si>
  <si>
    <t>ZENISEK Bohumil (TCH)</t>
  </si>
  <si>
    <t>ITA</t>
  </si>
  <si>
    <t>Littorio</t>
  </si>
  <si>
    <t xml:space="preserve">Trieste </t>
  </si>
  <si>
    <t>Czechoslovakia</t>
  </si>
  <si>
    <t>SCARPI Giuseppe (ITA)</t>
  </si>
  <si>
    <t>SCORZONI Raffaele (ITA)</t>
  </si>
  <si>
    <t>TCH</t>
  </si>
  <si>
    <t xml:space="preserve">31 May 1934 - 16:30 </t>
  </si>
  <si>
    <t>Quarter-finals</t>
  </si>
  <si>
    <t>MOHAMED Youssuf (EGY)</t>
  </si>
  <si>
    <t xml:space="preserve">01 Jun 1934 - 16:30 </t>
  </si>
  <si>
    <t xml:space="preserve">03 Jun 1934 - 16:30 </t>
  </si>
  <si>
    <t xml:space="preserve">07 Jun 1934 - 18:00 </t>
  </si>
  <si>
    <t>Match for third place</t>
  </si>
  <si>
    <t xml:space="preserve">10 Jun 1934 - 17:30 </t>
  </si>
  <si>
    <t xml:space="preserve">Italy win after extra time </t>
  </si>
  <si>
    <t xml:space="preserve">04 Jun 1938 - 17:00 </t>
  </si>
  <si>
    <t>First round</t>
  </si>
  <si>
    <t>Parc des Princes</t>
  </si>
  <si>
    <t xml:space="preserve">Paris </t>
  </si>
  <si>
    <t>MARENCO Paul (FRA)</t>
  </si>
  <si>
    <t xml:space="preserve">05 Jun 1938 - 17:00 </t>
  </si>
  <si>
    <t>Velodrome Municipale</t>
  </si>
  <si>
    <t xml:space="preserve">Reims </t>
  </si>
  <si>
    <t>Dutch East Indies</t>
  </si>
  <si>
    <t>CONRIE Roger (FRA)</t>
  </si>
  <si>
    <t>DE LA SALLE Charles (FRA)</t>
  </si>
  <si>
    <t>WEINGARTNER Karl (AUT)</t>
  </si>
  <si>
    <t>INH</t>
  </si>
  <si>
    <t>Stade Olympique</t>
  </si>
  <si>
    <t xml:space="preserve">Colombes </t>
  </si>
  <si>
    <t>WUETHRICH Hans (SUI)</t>
  </si>
  <si>
    <t>KRIST Gustav (TCH)</t>
  </si>
  <si>
    <t>Stade Municipal</t>
  </si>
  <si>
    <t xml:space="preserve">Toulouse </t>
  </si>
  <si>
    <t>Cuba</t>
  </si>
  <si>
    <t>VALPREDE Ferdinand (FRA)</t>
  </si>
  <si>
    <t>MERKCX Jean (FRA)</t>
  </si>
  <si>
    <t>CUB</t>
  </si>
  <si>
    <t>Stade Vï¿½lodrome</t>
  </si>
  <si>
    <t xml:space="preserve">Marseilles </t>
  </si>
  <si>
    <t>Norway</t>
  </si>
  <si>
    <t>BOUTOURE D. (FRA)</t>
  </si>
  <si>
    <t>TREHOU D. (FRA)</t>
  </si>
  <si>
    <t>NOR</t>
  </si>
  <si>
    <t xml:space="preserve">05 Jun 1938 - 17:30 </t>
  </si>
  <si>
    <t>Stade de la Meinau</t>
  </si>
  <si>
    <t xml:space="preserve">Strasbourg </t>
  </si>
  <si>
    <t>Poland</t>
  </si>
  <si>
    <t xml:space="preserve">Brazil win after extra time </t>
  </si>
  <si>
    <t>POISSANT Louis (FRA)</t>
  </si>
  <si>
    <t>KISSENBERGER Ernest (FRA)</t>
  </si>
  <si>
    <t>POL</t>
  </si>
  <si>
    <t xml:space="preserve">05 Jun 1938 - 18:30 </t>
  </si>
  <si>
    <t>Cavee Verte</t>
  </si>
  <si>
    <t xml:space="preserve">Le Havre </t>
  </si>
  <si>
    <t xml:space="preserve">Czechoslovakia win after extra time </t>
  </si>
  <si>
    <t>LECLERCQ Lucien (FRA)</t>
  </si>
  <si>
    <t>OLIVE D. (FRA)</t>
  </si>
  <si>
    <t>SDEZ Victor (FRA)</t>
  </si>
  <si>
    <t xml:space="preserve">09 Jun 1938 - 18:00 </t>
  </si>
  <si>
    <t>CAPDEVILLE Pierre (FRA)</t>
  </si>
  <si>
    <t xml:space="preserve">12 Jun 1938 - 17:00 </t>
  </si>
  <si>
    <t>Stade du Parc Lescure</t>
  </si>
  <si>
    <t xml:space="preserve">Bordeaux </t>
  </si>
  <si>
    <t>VON HERTZKA Pal (HUN)</t>
  </si>
  <si>
    <t>Victor Boucquey</t>
  </si>
  <si>
    <t xml:space="preserve">Lille </t>
  </si>
  <si>
    <t>Fort Carree</t>
  </si>
  <si>
    <t xml:space="preserve">Antibes </t>
  </si>
  <si>
    <t xml:space="preserve">14 Jun 1938 - 18:00 </t>
  </si>
  <si>
    <t>CAPDEVILLE Georges (FRA)</t>
  </si>
  <si>
    <t xml:space="preserve">16 Jun 1938 - 18:00 </t>
  </si>
  <si>
    <t xml:space="preserve">19 Jun 1938 - 17:00 </t>
  </si>
  <si>
    <t xml:space="preserve">24 Jun 1950 - 15:00 </t>
  </si>
  <si>
    <t>Maracanï¿½ - Estï¿½dio Jornalista Mï¿½rio Filho</t>
  </si>
  <si>
    <t xml:space="preserve">Rio De Janeiro </t>
  </si>
  <si>
    <t>READER George (ENG)</t>
  </si>
  <si>
    <t>GRIFFITHS Benjamin (WAL)</t>
  </si>
  <si>
    <t>MITCHELL George (SCO)</t>
  </si>
  <si>
    <t xml:space="preserve">25 Jun 1950 - 15:00 </t>
  </si>
  <si>
    <t>England</t>
  </si>
  <si>
    <t>VAN DER MEER Karel (NED)</t>
  </si>
  <si>
    <t>GARDELLI Mario (BRA)</t>
  </si>
  <si>
    <t>DAHLNER Gunnar (SWE)</t>
  </si>
  <si>
    <t>ENG</t>
  </si>
  <si>
    <t>Durival de Brito</t>
  </si>
  <si>
    <t xml:space="preserve">Curitiba </t>
  </si>
  <si>
    <t>VIANA Mario (BRA)</t>
  </si>
  <si>
    <t>DA COSTA VIEIRA Jose (POR)</t>
  </si>
  <si>
    <t>Pacaembu</t>
  </si>
  <si>
    <t xml:space="preserve">Sao Paulo </t>
  </si>
  <si>
    <t>LUTZ Jean (SUI)</t>
  </si>
  <si>
    <t>TEJADA Carlos (MEX)</t>
  </si>
  <si>
    <t>Independencia</t>
  </si>
  <si>
    <t xml:space="preserve">Belo Horizonte </t>
  </si>
  <si>
    <t>GALEATI Giovanni (ITA)</t>
  </si>
  <si>
    <t xml:space="preserve">28 Jun 1950 - 15:00 </t>
  </si>
  <si>
    <t>AZON ROMA Ramon (ESP)</t>
  </si>
  <si>
    <t>BUSTAMANTE Sergio (CHI)</t>
  </si>
  <si>
    <t>DE NICOLA Cayetano (PAR)</t>
  </si>
  <si>
    <t>Eucaliptos</t>
  </si>
  <si>
    <t xml:space="preserve">Porto Alegre </t>
  </si>
  <si>
    <t>LEAFE Reginald (ENG)</t>
  </si>
  <si>
    <t xml:space="preserve">29 Jun 1950 - 15:00 </t>
  </si>
  <si>
    <t>MALCHER Alberto (BRA)</t>
  </si>
  <si>
    <t>MARINO Esteban (URU)</t>
  </si>
  <si>
    <t>ALVAREZ Alfredo (BOL)</t>
  </si>
  <si>
    <t xml:space="preserve">29 Jun 1950 - 15:30 </t>
  </si>
  <si>
    <t>MITCHELL Robert (SCO)</t>
  </si>
  <si>
    <t>LEMESIC Leo (YUG)</t>
  </si>
  <si>
    <t>GARCIA Prudencio (USA)</t>
  </si>
  <si>
    <t xml:space="preserve">01 Jul 1950 - 15:00 </t>
  </si>
  <si>
    <t xml:space="preserve">02 Jul 1950 - 15:00 </t>
  </si>
  <si>
    <t>ELLIS Arthur (ENG)</t>
  </si>
  <si>
    <t xml:space="preserve">02 Jul 1950 - 15:40 </t>
  </si>
  <si>
    <t>Ilha do Retiro</t>
  </si>
  <si>
    <t xml:space="preserve">Recife </t>
  </si>
  <si>
    <t>HEYEN Mario Ruben (PAR)</t>
  </si>
  <si>
    <t xml:space="preserve">09 Jul 1950 - 15:00 </t>
  </si>
  <si>
    <t>Group 6</t>
  </si>
  <si>
    <t xml:space="preserve">13 Jul 1950 - 15:00 </t>
  </si>
  <si>
    <t xml:space="preserve">16 Jul 1950 - 15:00 </t>
  </si>
  <si>
    <t xml:space="preserve">16 Jun 1954 - 18:00 </t>
  </si>
  <si>
    <t>Wankdorf Stadium</t>
  </si>
  <si>
    <t xml:space="preserve">Berne </t>
  </si>
  <si>
    <t>LING William (ENG)</t>
  </si>
  <si>
    <t>SCHICKER Werner (SUI)</t>
  </si>
  <si>
    <t>Hardturm</t>
  </si>
  <si>
    <t xml:space="preserve">Zurich </t>
  </si>
  <si>
    <t>Scotland</t>
  </si>
  <si>
    <t>FRANKEN Laurent (BEL)</t>
  </si>
  <si>
    <t>GULDE Josef (SUI)</t>
  </si>
  <si>
    <t>SCO</t>
  </si>
  <si>
    <t>Charmilles</t>
  </si>
  <si>
    <t xml:space="preserve">Geneva </t>
  </si>
  <si>
    <t>WYSSLING Paul (SUI)</t>
  </si>
  <si>
    <t>SCHONHOLZER Ernest (SUI)</t>
  </si>
  <si>
    <t>La Pontaise</t>
  </si>
  <si>
    <t xml:space="preserve">Lausanne </t>
  </si>
  <si>
    <t>BAUMBERGER Rene (SUI)</t>
  </si>
  <si>
    <t>ASENSI Manuel (ESP)</t>
  </si>
  <si>
    <t xml:space="preserve">17 Jun 1954 - 18:00 </t>
  </si>
  <si>
    <t>Germany FR</t>
  </si>
  <si>
    <t>Turkey</t>
  </si>
  <si>
    <t>ZSOLT Istvan (HUN)</t>
  </si>
  <si>
    <t>MERLOTTI Armand (SUI)</t>
  </si>
  <si>
    <t>FRG</t>
  </si>
  <si>
    <t>TUR</t>
  </si>
  <si>
    <t>Korea Republic</t>
  </si>
  <si>
    <t>VINCENTI Raymond (FRA)</t>
  </si>
  <si>
    <t>VON GUNTER Albert (SUI)</t>
  </si>
  <si>
    <t>STEINER Carl (AUT)</t>
  </si>
  <si>
    <t>KOR</t>
  </si>
  <si>
    <t xml:space="preserve">17 Jun 1954 - 18:10 </t>
  </si>
  <si>
    <t>St. Jakob</t>
  </si>
  <si>
    <t xml:space="preserve">Basel </t>
  </si>
  <si>
    <t>SCHMETZER Emil (FRG)</t>
  </si>
  <si>
    <t>BUCHMUELLER Fritz (SUI)</t>
  </si>
  <si>
    <t>RUFFLI Willy (SUI)</t>
  </si>
  <si>
    <t xml:space="preserve">17 Jun 1954 - 17:50 </t>
  </si>
  <si>
    <t xml:space="preserve">19 Jun 1954 - 16:50 </t>
  </si>
  <si>
    <t>ORLANDINI Vincenzo (ITA)</t>
  </si>
  <si>
    <t>GUIDI Denilo (SUI)</t>
  </si>
  <si>
    <t xml:space="preserve">19 Jun 1954 - 17:00 </t>
  </si>
  <si>
    <t>STEFANOVIC Vasa (YUG)</t>
  </si>
  <si>
    <t>DOERFLINGER Ernst (SUI)</t>
  </si>
  <si>
    <t xml:space="preserve">19 Jun 1954 - 17:10 </t>
  </si>
  <si>
    <t>FAULTLESS Charlie (SCO)</t>
  </si>
  <si>
    <t xml:space="preserve">20 Jun 1954 - 16:50 </t>
  </si>
  <si>
    <t xml:space="preserve">20 Jun 1954 - 17:00 </t>
  </si>
  <si>
    <t xml:space="preserve">20 Jun 1954 - 17:10 </t>
  </si>
  <si>
    <t>Comunale di Cornaredo</t>
  </si>
  <si>
    <t xml:space="preserve">Lugano </t>
  </si>
  <si>
    <t xml:space="preserve">23 Jun 1954 - 18:00 </t>
  </si>
  <si>
    <t xml:space="preserve">26 Jun 1954 - 17:00 </t>
  </si>
  <si>
    <t xml:space="preserve">27 Jun 1954 - 17:00 </t>
  </si>
  <si>
    <t xml:space="preserve">30 Jun 1954 - 18:00 </t>
  </si>
  <si>
    <t xml:space="preserve">Hungary win after extra time </t>
  </si>
  <si>
    <t xml:space="preserve">03 Jul 1954 - 17:00 </t>
  </si>
  <si>
    <t xml:space="preserve">04 Jul 1954 - 17:00 </t>
  </si>
  <si>
    <t xml:space="preserve">08 Jun 1958 - 14:00 </t>
  </si>
  <si>
    <t>Rasunda Stadium</t>
  </si>
  <si>
    <t xml:space="preserve">Solna </t>
  </si>
  <si>
    <t>LATYCHEV Nikolaj (URS)</t>
  </si>
  <si>
    <t>MOWAT Jack (SCO)</t>
  </si>
  <si>
    <t>ERIKSSON Arne (FIN)</t>
  </si>
  <si>
    <t xml:space="preserve">08 Jun 1958 - 19:00 </t>
  </si>
  <si>
    <t>Nya Ullevi</t>
  </si>
  <si>
    <t xml:space="preserve">Gothenburg </t>
  </si>
  <si>
    <t>Soviet Union</t>
  </si>
  <si>
    <t>NILSEN Birger (NOR)</t>
  </si>
  <si>
    <t>JORGENSEN Carl Frederik (DEN)</t>
  </si>
  <si>
    <t>URS</t>
  </si>
  <si>
    <t>Malmo Stadion</t>
  </si>
  <si>
    <t xml:space="preserve">Malmï¿½ </t>
  </si>
  <si>
    <t>HELGE Leo (DEN)</t>
  </si>
  <si>
    <t>AHLNER Sten (SWE)</t>
  </si>
  <si>
    <t>Jarnvallen</t>
  </si>
  <si>
    <t xml:space="preserve">Sandviken </t>
  </si>
  <si>
    <t>Wales</t>
  </si>
  <si>
    <t>CODESAL Jose Maria (URU)</t>
  </si>
  <si>
    <t>VAN NUFFEL Lucien (BEL)</t>
  </si>
  <si>
    <t>WAL</t>
  </si>
  <si>
    <t>Idrottsparken</t>
  </si>
  <si>
    <t xml:space="preserve">Norrkï¿½Ping </t>
  </si>
  <si>
    <t>GARDEAZABAL Juan (ESP)</t>
  </si>
  <si>
    <t>BROZZI Juan (ARG)</t>
  </si>
  <si>
    <t>Arosvallen</t>
  </si>
  <si>
    <t xml:space="preserve">Vasteras </t>
  </si>
  <si>
    <t>MACKO Martin (TCH)</t>
  </si>
  <si>
    <t>Rimnersvallen</t>
  </si>
  <si>
    <t xml:space="preserve">Udevalla </t>
  </si>
  <si>
    <t>GUIGUE Maurice (FRA)</t>
  </si>
  <si>
    <t>DUSCH Albert (GER)</t>
  </si>
  <si>
    <t>BRONKHORST Jan (NED)</t>
  </si>
  <si>
    <t>Orjans Vall</t>
  </si>
  <si>
    <t xml:space="preserve">Halmstad </t>
  </si>
  <si>
    <t>Northern Ireland</t>
  </si>
  <si>
    <t>SEIPELT Fritz (AUT)</t>
  </si>
  <si>
    <t>FERNANDES CAMPOS Joaquim (POR)</t>
  </si>
  <si>
    <t>NIR</t>
  </si>
  <si>
    <t xml:space="preserve">11 Jun 1958 - 19:00 </t>
  </si>
  <si>
    <t>LOEOEW Bertil (SWE)</t>
  </si>
  <si>
    <t>ANDREN Bengt (SWE)</t>
  </si>
  <si>
    <t>DRAGVOLL Georg (NOR)</t>
  </si>
  <si>
    <t>Ryavallen</t>
  </si>
  <si>
    <t xml:space="preserve">Boras </t>
  </si>
  <si>
    <t>ACKEBORN Gosta (SWE)</t>
  </si>
  <si>
    <t>Olympia Stadium</t>
  </si>
  <si>
    <t xml:space="preserve">Helsingborg </t>
  </si>
  <si>
    <t xml:space="preserve">12 Jun 1958 - 19:00 </t>
  </si>
  <si>
    <t xml:space="preserve">15 Jun 1958 - 14:00 </t>
  </si>
  <si>
    <t xml:space="preserve">15 Jun 1958 - 19:00 </t>
  </si>
  <si>
    <t>Tunavallen</t>
  </si>
  <si>
    <t xml:space="preserve">Eskilstuna </t>
  </si>
  <si>
    <t>Eyravallen</t>
  </si>
  <si>
    <t xml:space="preserve">Orebro </t>
  </si>
  <si>
    <t xml:space="preserve">17 Jun 1958 - 19:00 </t>
  </si>
  <si>
    <t xml:space="preserve">Northern Ireland win after extra time </t>
  </si>
  <si>
    <t xml:space="preserve">19 Jun 1958 - 19:00 </t>
  </si>
  <si>
    <t xml:space="preserve">24 Jun 1958 - 19:00 </t>
  </si>
  <si>
    <t xml:space="preserve">28 Jun 1958 - 17:00 </t>
  </si>
  <si>
    <t>LUNDELL Bengt (SWE)</t>
  </si>
  <si>
    <t xml:space="preserve">29 Jun 1958 - 15:00 </t>
  </si>
  <si>
    <t xml:space="preserve">30 May 1962 - 15:00 </t>
  </si>
  <si>
    <t>Carlos Dittborn</t>
  </si>
  <si>
    <t xml:space="preserve">Arica </t>
  </si>
  <si>
    <t>Colombia</t>
  </si>
  <si>
    <t>DOROGI Andor (HUN)</t>
  </si>
  <si>
    <t>ETZEL FILHO Joao (BRA)</t>
  </si>
  <si>
    <t>GALBA Karol (TCH)</t>
  </si>
  <si>
    <t>COL</t>
  </si>
  <si>
    <t>Estadio Sausalito</t>
  </si>
  <si>
    <t xml:space="preserve">Vina Del Mar </t>
  </si>
  <si>
    <t>DIENST Gottfried (SUI)</t>
  </si>
  <si>
    <t>SCHWINTE Pierre (FRA)</t>
  </si>
  <si>
    <t>Estadio El Teniente-Codelco</t>
  </si>
  <si>
    <t xml:space="preserve">Rancagua </t>
  </si>
  <si>
    <t>Bulgaria</t>
  </si>
  <si>
    <t>BUERGO Fernando (MEX)</t>
  </si>
  <si>
    <t>MORGAN Raymond (CAN)</t>
  </si>
  <si>
    <t>BUL</t>
  </si>
  <si>
    <t>Nacional</t>
  </si>
  <si>
    <t xml:space="preserve">Santiago De Chile </t>
  </si>
  <si>
    <t>ASTON Ken (ENG)</t>
  </si>
  <si>
    <t>BLAVIER Arthur (BEL)</t>
  </si>
  <si>
    <t>YAMASAKI MALDONADO Arturo (MEX)</t>
  </si>
  <si>
    <t xml:space="preserve">31 May 1962 - 15:00 </t>
  </si>
  <si>
    <t>ROBLES Carlos (CHI)</t>
  </si>
  <si>
    <t>VAN ROSBERG Walter Jose (CUW)</t>
  </si>
  <si>
    <t>HORN Leo (NED)</t>
  </si>
  <si>
    <t>GOLDSTEIN Leo (USA)</t>
  </si>
  <si>
    <t>DAVIDSON Bob (SCO)</t>
  </si>
  <si>
    <t>VENTRE Luis Antonio (ARG)</t>
  </si>
  <si>
    <t xml:space="preserve">02 Jun 1962 - 15:00 </t>
  </si>
  <si>
    <t>JONNI Cesare (ITA)</t>
  </si>
  <si>
    <t>MASSARO Artur (CHI)</t>
  </si>
  <si>
    <t>REGINATO Adolfe Molina (CHI)</t>
  </si>
  <si>
    <t xml:space="preserve">03 Jun 1962 - 15:00 </t>
  </si>
  <si>
    <t>TESANIC Branko (YUG)</t>
  </si>
  <si>
    <t>VICUNA Claudio (CHI)</t>
  </si>
  <si>
    <t>SILVA Luis (CHI)</t>
  </si>
  <si>
    <t xml:space="preserve">06 Jun 1962 - 15:00 </t>
  </si>
  <si>
    <t>SUNDHEIM Jose Antonio (COL)</t>
  </si>
  <si>
    <t>BULNES R. (CHI)</t>
  </si>
  <si>
    <t xml:space="preserve">07 Jun 1962 - 15:00 </t>
  </si>
  <si>
    <t>RUMENTCHEV Dimitar (BUL)</t>
  </si>
  <si>
    <t xml:space="preserve">10 Jun 1962 - 14:30 </t>
  </si>
  <si>
    <t>SILVA Jose Antonio (CHI)</t>
  </si>
  <si>
    <t xml:space="preserve">13 Jun 1962 - 14:30 </t>
  </si>
  <si>
    <t xml:space="preserve">16 Jun 1962 - 14:30 </t>
  </si>
  <si>
    <t xml:space="preserve">17 Jun 1962 - 14:30 </t>
  </si>
  <si>
    <t xml:space="preserve">11 Jul 1966 - 19:30 </t>
  </si>
  <si>
    <t>Wembley Stadium</t>
  </si>
  <si>
    <t xml:space="preserve">London </t>
  </si>
  <si>
    <t>BAKHRAMOV Tofik (URS)</t>
  </si>
  <si>
    <t xml:space="preserve">12 Jul 1966 - 19:30 </t>
  </si>
  <si>
    <t>Hillsborough</t>
  </si>
  <si>
    <t xml:space="preserve">Sheffield </t>
  </si>
  <si>
    <t>PHILLIPS Hugh (SCO)</t>
  </si>
  <si>
    <t>ADAIR John (NIR)</t>
  </si>
  <si>
    <t>Goodison Park</t>
  </si>
  <si>
    <t xml:space="preserve">Liverpool </t>
  </si>
  <si>
    <t>TSCHENSCHER Kurt (GER)</t>
  </si>
  <si>
    <t>McCABE George (ENG)</t>
  </si>
  <si>
    <t>TAYLOR John (ENG)</t>
  </si>
  <si>
    <t>Ayresome Park</t>
  </si>
  <si>
    <t xml:space="preserve">Middlesbrough </t>
  </si>
  <si>
    <t>Korea DPR</t>
  </si>
  <si>
    <t>KANDIL Aly Hussein (EGY)</t>
  </si>
  <si>
    <t>PRK</t>
  </si>
  <si>
    <t xml:space="preserve">13 Jul 1966 - 19:30 </t>
  </si>
  <si>
    <t>ASHKENAZI Menachem (ISR)</t>
  </si>
  <si>
    <t>Old Trafford Stadium</t>
  </si>
  <si>
    <t xml:space="preserve">Manchester </t>
  </si>
  <si>
    <t>Portugal</t>
  </si>
  <si>
    <t>CALLAGHAN Leo (WAL)</t>
  </si>
  <si>
    <t>HOWLEY Kevin (ENG)</t>
  </si>
  <si>
    <t>CLEMENTS William (ENG)</t>
  </si>
  <si>
    <t>POR</t>
  </si>
  <si>
    <t>Villa Park</t>
  </si>
  <si>
    <t xml:space="preserve">Birmingham </t>
  </si>
  <si>
    <t>ZECEVIC Konstantin (YUG)</t>
  </si>
  <si>
    <t>Roker Park Ground</t>
  </si>
  <si>
    <t xml:space="preserve">Sunderland </t>
  </si>
  <si>
    <t>FINNEY Jim (ENG)</t>
  </si>
  <si>
    <t>KREITLEIN Rudolf (GER)</t>
  </si>
  <si>
    <t xml:space="preserve">15 Jul 1966 - 19:30 </t>
  </si>
  <si>
    <t>White City</t>
  </si>
  <si>
    <t>MARQUES Armando (BRA)</t>
  </si>
  <si>
    <t>DAGNALL Kenneth (ENG)</t>
  </si>
  <si>
    <t>CRAWFORD William (SCO)</t>
  </si>
  <si>
    <t xml:space="preserve">16 Jul 1966 - 15:00 </t>
  </si>
  <si>
    <t>GOICOECHEA Roberto (ARG)</t>
  </si>
  <si>
    <t xml:space="preserve">16 Jul 1966 - 19:30 </t>
  </si>
  <si>
    <t>LO BELLO Concetto (ITA)</t>
  </si>
  <si>
    <t>CHOI Duk Ryong (PRK)</t>
  </si>
  <si>
    <t xml:space="preserve">19 Jul 1966 - 16:30 </t>
  </si>
  <si>
    <t xml:space="preserve">19 Jul 1966 - 19:30 </t>
  </si>
  <si>
    <t xml:space="preserve">20 Jul 1966 - 19:30 </t>
  </si>
  <si>
    <t xml:space="preserve">23 Jul 1966 - 15:00 </t>
  </si>
  <si>
    <t xml:space="preserve">25 Jul 1966 - 19:30 </t>
  </si>
  <si>
    <t xml:space="preserve">26 Jul 1966 - 19:30 </t>
  </si>
  <si>
    <t xml:space="preserve">28 Jul 1966 - 19:30 </t>
  </si>
  <si>
    <t xml:space="preserve">30 Jul 1966 - 15:00 </t>
  </si>
  <si>
    <t xml:space="preserve">England win after extra time </t>
  </si>
  <si>
    <t xml:space="preserve">31 May 1970 - 12:00 </t>
  </si>
  <si>
    <t>Estadio Azteca</t>
  </si>
  <si>
    <t xml:space="preserve">Mexico City </t>
  </si>
  <si>
    <t>DUNSTAN Keith (BER)</t>
  </si>
  <si>
    <t xml:space="preserve">02 Jun 1970 - 16:00 </t>
  </si>
  <si>
    <t>Cuauhtemoc</t>
  </si>
  <si>
    <t xml:space="preserve">Puebla </t>
  </si>
  <si>
    <t>Israel</t>
  </si>
  <si>
    <t>SCHEURER Ruedi (SUI)</t>
  </si>
  <si>
    <t>TAREKEGN Seyoum (ETH)</t>
  </si>
  <si>
    <t>ISR</t>
  </si>
  <si>
    <t>Nou Camp - Estadio Leï¿½n</t>
  </si>
  <si>
    <t xml:space="preserve">Leon </t>
  </si>
  <si>
    <t>SBARDELLA Antonio (ITA)</t>
  </si>
  <si>
    <t>AGUILAR ELIZALDE Abel (MEX)</t>
  </si>
  <si>
    <t>MARUYAMA Yoshiyuki (JPN)</t>
  </si>
  <si>
    <t>Jalisco</t>
  </si>
  <si>
    <t xml:space="preserve">Guadalajara </t>
  </si>
  <si>
    <t>LORAUX Vital (BEL)</t>
  </si>
  <si>
    <t>MACHIN Roger (FRA)</t>
  </si>
  <si>
    <t>DE LEO Diego (MEX)</t>
  </si>
  <si>
    <t xml:space="preserve">03 Jun 1970 - 16:00 </t>
  </si>
  <si>
    <t>Luis Dosal</t>
  </si>
  <si>
    <t xml:space="preserve">Toluca </t>
  </si>
  <si>
    <t>Morocco</t>
  </si>
  <si>
    <t>VAN RAVENS Laurens (NED)</t>
  </si>
  <si>
    <t>ORTIZ DE MENDIBIL Jose Maria (ESP)</t>
  </si>
  <si>
    <t>VELASQUEZ Guillermo (COL)</t>
  </si>
  <si>
    <t>MAR</t>
  </si>
  <si>
    <t>BARRETO RUIZ Ramon (URU)</t>
  </si>
  <si>
    <t>KLEIN Abraham (ISR)</t>
  </si>
  <si>
    <t>El Salvador</t>
  </si>
  <si>
    <t>RADULESCU Andrei (ROU)</t>
  </si>
  <si>
    <t>GLOECKNER Rudolf (GDR)</t>
  </si>
  <si>
    <t>SLV</t>
  </si>
  <si>
    <t xml:space="preserve">06 Jun 1970 - 16:00 </t>
  </si>
  <si>
    <t>HORVAT Drago (YUG)</t>
  </si>
  <si>
    <t>EMSBERGER Gyula (HUN)</t>
  </si>
  <si>
    <t>LANDAUER Henry (USA)</t>
  </si>
  <si>
    <t xml:space="preserve">07 Jun 1970 - 12:00 </t>
  </si>
  <si>
    <t>SALDANHA RIBEIRO Antonio (POR)</t>
  </si>
  <si>
    <t xml:space="preserve">10 Jun 1970 - 16:00 </t>
  </si>
  <si>
    <t>MARSCHALL Ferdinand (AUT)</t>
  </si>
  <si>
    <t>HORMAZABAL DIAZ Rafael (CHI)</t>
  </si>
  <si>
    <t>COEREZZA Norberto Angel (ARG)</t>
  </si>
  <si>
    <t>DE MORAES Ayrton Vieira (BRA)</t>
  </si>
  <si>
    <t xml:space="preserve">11 Jun 1970 - 16:00 </t>
  </si>
  <si>
    <t xml:space="preserve">14 Jun 1970 - 12:00 </t>
  </si>
  <si>
    <t xml:space="preserve">Germany FR win after extra time </t>
  </si>
  <si>
    <t xml:space="preserve">Uruguay win after extra time </t>
  </si>
  <si>
    <t xml:space="preserve">17 Jun 1970 - 16:00 </t>
  </si>
  <si>
    <t xml:space="preserve">17 June 1970 - 16:00 </t>
  </si>
  <si>
    <t xml:space="preserve">20 Jun 1970 - 16:00 </t>
  </si>
  <si>
    <t xml:space="preserve">21 Jun 1970 - 12:00 </t>
  </si>
  <si>
    <t xml:space="preserve">13 Jun 1974 - 17:00 </t>
  </si>
  <si>
    <t>Waldstadion</t>
  </si>
  <si>
    <t xml:space="preserve">Frankfurt/Main </t>
  </si>
  <si>
    <t>PESTARINO Luis (ARG)</t>
  </si>
  <si>
    <t xml:space="preserve">14 Jun 1974 - 16:00 </t>
  </si>
  <si>
    <t>Olympiastadion</t>
  </si>
  <si>
    <t xml:space="preserve">Berlin West </t>
  </si>
  <si>
    <t>BABACAN Dogan (TUR)</t>
  </si>
  <si>
    <t>WINSEMANN Werner (CAN)</t>
  </si>
  <si>
    <t xml:space="preserve">14 Jun 1974 - 19:30 </t>
  </si>
  <si>
    <t>Volksparkstadion</t>
  </si>
  <si>
    <t xml:space="preserve">Hamburg </t>
  </si>
  <si>
    <t>German DR</t>
  </si>
  <si>
    <t>Australia</t>
  </si>
  <si>
    <t>NDIAYE Youssou (SEN)</t>
  </si>
  <si>
    <t>SANCHEZ IBANEZ Pablo (ESP)</t>
  </si>
  <si>
    <t>DELGADO Omar (COL)</t>
  </si>
  <si>
    <t>GDR</t>
  </si>
  <si>
    <t>AUS</t>
  </si>
  <si>
    <t>Westfalenstadion</t>
  </si>
  <si>
    <t xml:space="preserve">Dortmund </t>
  </si>
  <si>
    <t>Zaire</t>
  </si>
  <si>
    <t>SCHULENBURG Gerhard (GER)</t>
  </si>
  <si>
    <t>BOSKOVIC Tony (AUS)</t>
  </si>
  <si>
    <t>WEYLAND Hans Joachim (FRG)</t>
  </si>
  <si>
    <t>ZAI</t>
  </si>
  <si>
    <t xml:space="preserve">15 Jun 1974 - 16:00 </t>
  </si>
  <si>
    <t>Niedersachsenstadion</t>
  </si>
  <si>
    <t xml:space="preserve">Hanover </t>
  </si>
  <si>
    <t>PALOTAI Karoly (HUN)</t>
  </si>
  <si>
    <t>KAZAKOV Pavel (URS)</t>
  </si>
  <si>
    <t>RAINEA Nicolae (ROU)</t>
  </si>
  <si>
    <t>Rheinstadion</t>
  </si>
  <si>
    <t xml:space="preserve">Dï¿½Sseldorf </t>
  </si>
  <si>
    <t>PEREZ NUNEZ Edison A. (PER)</t>
  </si>
  <si>
    <t>GONZALEZ ARCHUNDIA Alfonso (MEX)</t>
  </si>
  <si>
    <t>SUPPIAH George (SIN)</t>
  </si>
  <si>
    <t xml:space="preserve">15 Jun 1974 - 18:00 </t>
  </si>
  <si>
    <t xml:space="preserve">Munich </t>
  </si>
  <si>
    <t>Haiti</t>
  </si>
  <si>
    <t>LLOBREGAT Vicente (VEN)</t>
  </si>
  <si>
    <t>NAMDAR Jafar (IRN)</t>
  </si>
  <si>
    <t>HAI</t>
  </si>
  <si>
    <t>Neckarstadion</t>
  </si>
  <si>
    <t xml:space="preserve">Stuttgart </t>
  </si>
  <si>
    <t>THOMAS Clive (WAL)</t>
  </si>
  <si>
    <t>ALDINGER Heinz (GER)</t>
  </si>
  <si>
    <t xml:space="preserve">18 Jun 1974 - 16:00 </t>
  </si>
  <si>
    <t>KAMEL Mahmoud (EGY)</t>
  </si>
  <si>
    <t xml:space="preserve">18 Jun 1974 - 19:30 </t>
  </si>
  <si>
    <t>VAN GEMERT Arie (NED)</t>
  </si>
  <si>
    <t>LINEMAYR Erich (AUT)</t>
  </si>
  <si>
    <t>ANGONESE Aurelio (ITA)</t>
  </si>
  <si>
    <t>Parkstadion</t>
  </si>
  <si>
    <t xml:space="preserve">Gelsenkirchen </t>
  </si>
  <si>
    <t xml:space="preserve">19 Jun 1974 - 19:30 </t>
  </si>
  <si>
    <t>OHMSEN Klaus (GER)</t>
  </si>
  <si>
    <t>BIWERSI Ferdinand (GER)</t>
  </si>
  <si>
    <t>ESCHWEILER Walter (GER)</t>
  </si>
  <si>
    <t xml:space="preserve">22 Jun 1974 - 16:00 </t>
  </si>
  <si>
    <t xml:space="preserve">22 June 1974 - 19:30 </t>
  </si>
  <si>
    <t xml:space="preserve">23 Jun 1974 - 16:00 </t>
  </si>
  <si>
    <t>NDIAYE Birame (SEN)</t>
  </si>
  <si>
    <t xml:space="preserve">26 Jun 1974 - 16:00 </t>
  </si>
  <si>
    <t>Group B</t>
  </si>
  <si>
    <t xml:space="preserve">26 Jun 1974 - 19:30 </t>
  </si>
  <si>
    <t>Group A</t>
  </si>
  <si>
    <t xml:space="preserve">30 Jun 1974 - 16:00 </t>
  </si>
  <si>
    <t xml:space="preserve">30 Jun 1974 - 19:30 </t>
  </si>
  <si>
    <t xml:space="preserve">03 Jul 1974 - 17:00 </t>
  </si>
  <si>
    <t xml:space="preserve">03 Jul 1974 - 19:30 </t>
  </si>
  <si>
    <t xml:space="preserve">06 Jul 1974 - 16:00 </t>
  </si>
  <si>
    <t xml:space="preserve">07 July 1974 - 16:00 </t>
  </si>
  <si>
    <t xml:space="preserve">01 Jun 1978 - 15:00 </t>
  </si>
  <si>
    <t>El Monumental - Estadio Monumental Antonio Vespuci</t>
  </si>
  <si>
    <t xml:space="preserve">Buenos Aires </t>
  </si>
  <si>
    <t>ITHURRALDE Arturo Andres (ARG)</t>
  </si>
  <si>
    <t>COMESANA Miguel (ARG)</t>
  </si>
  <si>
    <t xml:space="preserve">02 Jun 1978 - 13:45 </t>
  </si>
  <si>
    <t>Estadio Josï¿½ Marï¿½a Minella</t>
  </si>
  <si>
    <t xml:space="preserve">Mar Del Plata </t>
  </si>
  <si>
    <t>SILVAGNO CAVANNA Juan (CHI)</t>
  </si>
  <si>
    <t xml:space="preserve">02 Jun 1978 - 16:45 </t>
  </si>
  <si>
    <t>Arroyito - Estadio Dr. Lisandro de la Torre</t>
  </si>
  <si>
    <t xml:space="preserve">Rosario </t>
  </si>
  <si>
    <t>Tunisia</t>
  </si>
  <si>
    <t>GORDON John (SCO)</t>
  </si>
  <si>
    <t>DUBACH Jean (SUI)</t>
  </si>
  <si>
    <t>GONELLA Sergio (ITA)</t>
  </si>
  <si>
    <t>TUN</t>
  </si>
  <si>
    <t xml:space="preserve">02 Jun 1978 - 19:15 </t>
  </si>
  <si>
    <t>GARRIDO Antonio (POR)</t>
  </si>
  <si>
    <t>PARTRIDGE Pat (ENG)</t>
  </si>
  <si>
    <t xml:space="preserve">03 Jun 1978 - 13:45 </t>
  </si>
  <si>
    <t>JARGUZ Alojzy (POL)</t>
  </si>
  <si>
    <t>Jose Amalfitani</t>
  </si>
  <si>
    <t>IVANOV Anatoly (URS)</t>
  </si>
  <si>
    <t xml:space="preserve">03 Jun 1978 - 16:45 </t>
  </si>
  <si>
    <t>Estadio Olï¿½mpico Chateau Carreras</t>
  </si>
  <si>
    <t xml:space="preserve">Cordoba </t>
  </si>
  <si>
    <t>ERIKSSON Ulf (SWE)</t>
  </si>
  <si>
    <t>GEBREYESUS DIFUE Tesfaye (ERI)</t>
  </si>
  <si>
    <t>MARTINEZ Angel (ESP)</t>
  </si>
  <si>
    <t>San Martin</t>
  </si>
  <si>
    <t xml:space="preserve">Mendoza </t>
  </si>
  <si>
    <t>IR Iran</t>
  </si>
  <si>
    <t>WURTZ Robert (FRA)</t>
  </si>
  <si>
    <t>IRN</t>
  </si>
  <si>
    <t xml:space="preserve">06 Jun 1978 - 13:45 </t>
  </si>
  <si>
    <t xml:space="preserve">06 Jun 1978 - 16:45 </t>
  </si>
  <si>
    <t>BOUZO Farouk (SYR)</t>
  </si>
  <si>
    <t>RION Francis (BEL)</t>
  </si>
  <si>
    <t xml:space="preserve">06 Jun 1978 - 19:15 </t>
  </si>
  <si>
    <t>OROZCO GUERRERO Cesar (PER)</t>
  </si>
  <si>
    <t xml:space="preserve">07 Jun 1978 - 13:45 </t>
  </si>
  <si>
    <t>CORVER Charles (NED)</t>
  </si>
  <si>
    <t>MAKSIMOVIC Dusan (SCG)</t>
  </si>
  <si>
    <t>SEOUDI Hedi (TUN)</t>
  </si>
  <si>
    <t xml:space="preserve">07 Jun 1978 - 16:45 </t>
  </si>
  <si>
    <t>COELHO Arnaldo (BRA)</t>
  </si>
  <si>
    <t>PROKOP Adolf (GDR)</t>
  </si>
  <si>
    <t xml:space="preserve">10 Jun 1978 - 15:10 </t>
  </si>
  <si>
    <t xml:space="preserve">10 Jun 1978 - 16:45 </t>
  </si>
  <si>
    <t xml:space="preserve">10 Jun 1978 - 19:15 </t>
  </si>
  <si>
    <t xml:space="preserve">11 Jun 1978 - 13:45 </t>
  </si>
  <si>
    <t xml:space="preserve">11 Jun 1978 - 16:45 </t>
  </si>
  <si>
    <t>Iran</t>
  </si>
  <si>
    <t xml:space="preserve">14 Jun 1978 - 13:45 </t>
  </si>
  <si>
    <t xml:space="preserve">14 Jun 1978 - 16:45 </t>
  </si>
  <si>
    <t xml:space="preserve">14 Jun 1978 - 19:15 </t>
  </si>
  <si>
    <t xml:space="preserve">18 Jun 1978 - 13:45 </t>
  </si>
  <si>
    <t>CLIVE Thomas (WAL)</t>
  </si>
  <si>
    <t xml:space="preserve">18 Jun 1978 - 16:45 </t>
  </si>
  <si>
    <t xml:space="preserve">18 Jun 1978 - 19:15 </t>
  </si>
  <si>
    <t xml:space="preserve">21 Jun 1978 - 13:45 </t>
  </si>
  <si>
    <t xml:space="preserve">21 Jun 1978 - 16:45 </t>
  </si>
  <si>
    <t xml:space="preserve">21 Jun 1978 - 19:15 </t>
  </si>
  <si>
    <t xml:space="preserve">24 Jun 1978 - 15:00 </t>
  </si>
  <si>
    <t xml:space="preserve">25 Jun 1978 - 15:00 </t>
  </si>
  <si>
    <t xml:space="preserve">Argentina win after extra time </t>
  </si>
  <si>
    <t xml:space="preserve">13 Jun 1982 - 20:00 </t>
  </si>
  <si>
    <t>Camp Nou</t>
  </si>
  <si>
    <t xml:space="preserve">Barcelona </t>
  </si>
  <si>
    <t>CHRISTOV Vojtech (TCH)</t>
  </si>
  <si>
    <t xml:space="preserve">14 Jun 1982 - 17:15 </t>
  </si>
  <si>
    <t>Estadio Municipal de Balaï¿½dos</t>
  </si>
  <si>
    <t xml:space="preserve">Vigo </t>
  </si>
  <si>
    <t>VAUTROT Michel (FRA)</t>
  </si>
  <si>
    <t xml:space="preserve">14 Jun 1982 - 21:00 </t>
  </si>
  <si>
    <t>Ramon Sanchez Pizjuan</t>
  </si>
  <si>
    <t xml:space="preserve">Seville </t>
  </si>
  <si>
    <t>LAMO CASTILLO Augusto (ESP)</t>
  </si>
  <si>
    <t>SANCHEZ ARMINIO Victoriano (ESP)</t>
  </si>
  <si>
    <t>GARCIA CARRION Jose L. (ESP)</t>
  </si>
  <si>
    <t xml:space="preserve">15 Jun 1982 - 17:15 </t>
  </si>
  <si>
    <t>Riazor</t>
  </si>
  <si>
    <t xml:space="preserve">La Coruï¿½A </t>
  </si>
  <si>
    <t>Cameroon</t>
  </si>
  <si>
    <t>WOEHRER Franz (AUT)</t>
  </si>
  <si>
    <t>CMR</t>
  </si>
  <si>
    <t xml:space="preserve">15 Jun 1982 - 21:00 </t>
  </si>
  <si>
    <t>Nuevo Estadio</t>
  </si>
  <si>
    <t xml:space="preserve">Elche </t>
  </si>
  <si>
    <t>AL DOY Ebrahim (BHR)</t>
  </si>
  <si>
    <t>LUND-SORENSEN Henning (DEN)</t>
  </si>
  <si>
    <t>La Rosaleda</t>
  </si>
  <si>
    <t xml:space="preserve">Malaga </t>
  </si>
  <si>
    <t>New Zealand</t>
  </si>
  <si>
    <t>SOCHA David (USA)</t>
  </si>
  <si>
    <t>CHAN Thomson Tam Sun (HKG)</t>
  </si>
  <si>
    <t>EL GHOUL Yusef Mohamed (LBY)</t>
  </si>
  <si>
    <t>NZL</t>
  </si>
  <si>
    <t xml:space="preserve">16 Jun 1982 - 17:15 </t>
  </si>
  <si>
    <t>El Molinon</t>
  </si>
  <si>
    <t xml:space="preserve">Gijon </t>
  </si>
  <si>
    <t>Algeria</t>
  </si>
  <si>
    <t>LABO REVOREDO Enrique (PER)</t>
  </si>
  <si>
    <t>ARISTIZABAL MURCIA Gilberto (COL)</t>
  </si>
  <si>
    <t>CASARIN Paolo (ITA)</t>
  </si>
  <si>
    <t>ALG</t>
  </si>
  <si>
    <t>San Mames</t>
  </si>
  <si>
    <t xml:space="preserve">Bilbao </t>
  </si>
  <si>
    <t>CASTRO Gaston (CHI)</t>
  </si>
  <si>
    <t xml:space="preserve">16 Jun 1982 - 21:00 </t>
  </si>
  <si>
    <t>Group 5</t>
  </si>
  <si>
    <t>Luis Casanova</t>
  </si>
  <si>
    <t xml:space="preserve">Valencia </t>
  </si>
  <si>
    <t>Honduras</t>
  </si>
  <si>
    <t>DOTCHEV Bogdan (BUL)</t>
  </si>
  <si>
    <t>BARRANCOS Luis (BOL)</t>
  </si>
  <si>
    <t>HON</t>
  </si>
  <si>
    <t xml:space="preserve">17 Jun 1982 - 17:15 </t>
  </si>
  <si>
    <t>Carlos Tartiere</t>
  </si>
  <si>
    <t xml:space="preserve">Oviedo </t>
  </si>
  <si>
    <t>CARDELLINO DE SAN VICENTE Juan (URU)</t>
  </si>
  <si>
    <t xml:space="preserve">17 Jun 1982 - 17:45 </t>
  </si>
  <si>
    <t>Jose Zorrilla</t>
  </si>
  <si>
    <t xml:space="preserve">Valladolid </t>
  </si>
  <si>
    <t>Kuwait</t>
  </si>
  <si>
    <t>DWOMOH Benjamin (GHA)</t>
  </si>
  <si>
    <t>MENDEZ MOLINA Romulo (GUA)</t>
  </si>
  <si>
    <t>VALENTINE Robert (SCO)</t>
  </si>
  <si>
    <t>KUW</t>
  </si>
  <si>
    <t xml:space="preserve">17 Jun 1982 - 21:00 </t>
  </si>
  <si>
    <t>La Romareda</t>
  </si>
  <si>
    <t xml:space="preserve">Zaragoza </t>
  </si>
  <si>
    <t>FREDRIKSSON Erik (SWE)</t>
  </si>
  <si>
    <t>GALLER Bruno (SUI)</t>
  </si>
  <si>
    <t xml:space="preserve">18 Jun 1982 - 17:15 </t>
  </si>
  <si>
    <t>RUBIO VAZQUEZ Mario (MEX)</t>
  </si>
  <si>
    <t xml:space="preserve">18 Jun 1982 - 21:00 </t>
  </si>
  <si>
    <t>Jose Rico Perez</t>
  </si>
  <si>
    <t xml:space="preserve">Alicante </t>
  </si>
  <si>
    <t>LACARNE Belaid (ALG)</t>
  </si>
  <si>
    <t>Benito Villamarin</t>
  </si>
  <si>
    <t>SILES Jesus Paulino (CRC)</t>
  </si>
  <si>
    <t xml:space="preserve">19 Jun 1982 - 19:15 </t>
  </si>
  <si>
    <t>PONNET Alexis (BEL)</t>
  </si>
  <si>
    <t xml:space="preserve">19 Jun 1982 - 21:00 </t>
  </si>
  <si>
    <t>MOFFATT Malcolm (NIR)</t>
  </si>
  <si>
    <t>SORIANO ALADREN Emilio (ESP)</t>
  </si>
  <si>
    <t>WHITE Clive (ENG)</t>
  </si>
  <si>
    <t xml:space="preserve">20 Jun 1982 - 17:15 </t>
  </si>
  <si>
    <t xml:space="preserve">20 Jun 1982 - 21:00 </t>
  </si>
  <si>
    <t xml:space="preserve">21 Jun 1982 - 17:15 </t>
  </si>
  <si>
    <t>STUPAR Miroslav (URS)</t>
  </si>
  <si>
    <t>MATOVINOVIC Damir (CRO)</t>
  </si>
  <si>
    <t xml:space="preserve">21 Jun 1982 - 21:00 </t>
  </si>
  <si>
    <t xml:space="preserve">22 Jun 1982 - 17:15 </t>
  </si>
  <si>
    <t xml:space="preserve">22 Jun 1982 - 21:00 </t>
  </si>
  <si>
    <t xml:space="preserve">23 Jun 1982 - 17:15 </t>
  </si>
  <si>
    <t xml:space="preserve">23 Jun 1982 - 21:00 </t>
  </si>
  <si>
    <t xml:space="preserve">24 Jun 1982 - 17:15 </t>
  </si>
  <si>
    <t xml:space="preserve">24 Jun 1982 - 21:00 </t>
  </si>
  <si>
    <t xml:space="preserve">25 Jun 1982 - 17:15 </t>
  </si>
  <si>
    <t xml:space="preserve">25 Jun 1982 - 21:00 </t>
  </si>
  <si>
    <t>ORTIZ Hector (PAR)</t>
  </si>
  <si>
    <t xml:space="preserve">28 Jun 1982 - 17:15 </t>
  </si>
  <si>
    <t>Vicente Calderon</t>
  </si>
  <si>
    <t xml:space="preserve">Madrid </t>
  </si>
  <si>
    <t xml:space="preserve">28 Jun 1982 - 21:00 </t>
  </si>
  <si>
    <t xml:space="preserve">29 Jun 1982 - 17:15 </t>
  </si>
  <si>
    <t>Sarria</t>
  </si>
  <si>
    <t xml:space="preserve">29 Jun 1982 - 21:00 </t>
  </si>
  <si>
    <t>Santiago Bernabeu</t>
  </si>
  <si>
    <t xml:space="preserve">01 Jul 1982 - 17:15 </t>
  </si>
  <si>
    <t xml:space="preserve">01 Jul 1982 - 21:00 </t>
  </si>
  <si>
    <t xml:space="preserve">02 Jul 1982 - 17:15 </t>
  </si>
  <si>
    <t xml:space="preserve">02 Jul 1982 - 21:00 </t>
  </si>
  <si>
    <t xml:space="preserve">04 Jul 1982 - 17:15 </t>
  </si>
  <si>
    <t xml:space="preserve">04 Jul 1982 - 21:00 </t>
  </si>
  <si>
    <t xml:space="preserve">05 Jul 1982 - 17:15 </t>
  </si>
  <si>
    <t xml:space="preserve">05 Jul 1982 - 21:00 </t>
  </si>
  <si>
    <t xml:space="preserve">08 Jul 1982 - 17:15 </t>
  </si>
  <si>
    <t xml:space="preserve">08 Jul 1982 - 21:00 </t>
  </si>
  <si>
    <t xml:space="preserve"> win on penalties (5 - 4) </t>
  </si>
  <si>
    <t xml:space="preserve">10 Jul 1982 - 20:00 </t>
  </si>
  <si>
    <t xml:space="preserve">11 Jul 1982 - 20:00 </t>
  </si>
  <si>
    <t xml:space="preserve">31 May 1986 - 12:00 </t>
  </si>
  <si>
    <t>CODESAL MENDEZ Edgardo (MEX)</t>
  </si>
  <si>
    <t>ROTH Volker (GER)</t>
  </si>
  <si>
    <t xml:space="preserve">01 Jun 1986 - 16:00 </t>
  </si>
  <si>
    <t>Group C</t>
  </si>
  <si>
    <t>Canada</t>
  </si>
  <si>
    <t>SILVA ARCE Hernan (CHI)</t>
  </si>
  <si>
    <t>ULLOA MORERA Berny (CRC)</t>
  </si>
  <si>
    <t>CAN</t>
  </si>
  <si>
    <t xml:space="preserve">01 Jun 1986 - 12:00 </t>
  </si>
  <si>
    <t>Group D</t>
  </si>
  <si>
    <t>BAMBRIDGE Christopher (AUS)</t>
  </si>
  <si>
    <t>KEIZER Jan (NED)</t>
  </si>
  <si>
    <t xml:space="preserve">02 Jun 1986 - 12:00 </t>
  </si>
  <si>
    <t>Estadio Irapuato</t>
  </si>
  <si>
    <t xml:space="preserve">Irapuato </t>
  </si>
  <si>
    <t>AGNOLIN Luigi (ITA)</t>
  </si>
  <si>
    <t>COURTNEY George (ENG)</t>
  </si>
  <si>
    <t>BRUMMEIER Horst (AUT)</t>
  </si>
  <si>
    <t>Estadio Olï¿½mpico Universitario</t>
  </si>
  <si>
    <t>GONZALEZ ROA Gabriel (PAR)</t>
  </si>
  <si>
    <t>DIAZ PALACIO Jesus (COL)</t>
  </si>
  <si>
    <t xml:space="preserve">02 Jun 1986 - 16:00 </t>
  </si>
  <si>
    <t>Group F</t>
  </si>
  <si>
    <t>Estadio Universitario</t>
  </si>
  <si>
    <t xml:space="preserve">Monterrey </t>
  </si>
  <si>
    <t>MARTINEZ BAZAN Jose Luis (URU)</t>
  </si>
  <si>
    <t>QUINIOU Joel (FRA)</t>
  </si>
  <si>
    <t>TRAORE Idrissa (MLI)</t>
  </si>
  <si>
    <t xml:space="preserve">03 Jun 1986 - 12:00 </t>
  </si>
  <si>
    <t>Tres de Marzo</t>
  </si>
  <si>
    <t>BUTENKO Valeri (RUS)</t>
  </si>
  <si>
    <t>DAINA Andre (SUI)</t>
  </si>
  <si>
    <t>PETROVIC Zoran (SRB)</t>
  </si>
  <si>
    <t>ESPOSITO Carlos (ARG)</t>
  </si>
  <si>
    <t>SILVA VALENTE Carlos Alberto (POR)</t>
  </si>
  <si>
    <t xml:space="preserve">03 Jun 1986 - 16:00 </t>
  </si>
  <si>
    <t>Tecnologico</t>
  </si>
  <si>
    <t>AL SHARIF Jamal (SYR)</t>
  </si>
  <si>
    <t xml:space="preserve">04 Jun 1986 - 12:00 </t>
  </si>
  <si>
    <t>Bombonera - Estadio Nemesio Diez</t>
  </si>
  <si>
    <t>Iraq</t>
  </si>
  <si>
    <t>PICON-ACKONG Edwin (MRI)</t>
  </si>
  <si>
    <t>IRQ</t>
  </si>
  <si>
    <t xml:space="preserve">04 Jun 1986 - 16:00 </t>
  </si>
  <si>
    <t>Group E</t>
  </si>
  <si>
    <t>Neza</t>
  </si>
  <si>
    <t xml:space="preserve">Nezahualcoyotl </t>
  </si>
  <si>
    <t>Denmark</t>
  </si>
  <si>
    <t>NEMETH Lajos (HUN)</t>
  </si>
  <si>
    <t>KIRSCHEN Siegfried (GER)</t>
  </si>
  <si>
    <t>AL SHANAR Fallaj Khuzam (KSA)</t>
  </si>
  <si>
    <t>DEN</t>
  </si>
  <si>
    <t>Estadio Corregidora</t>
  </si>
  <si>
    <t xml:space="preserve">Queretaro </t>
  </si>
  <si>
    <t xml:space="preserve">05 Jun 1986 - 12:00 </t>
  </si>
  <si>
    <t>MARQUEZ RAMIREZ Antonio (MEX)</t>
  </si>
  <si>
    <t>SNODDY Alan (NIR)</t>
  </si>
  <si>
    <t>ARPPI FILHO Romualdo (BRA)</t>
  </si>
  <si>
    <t>TAKADA Shizuo (JPN)</t>
  </si>
  <si>
    <t xml:space="preserve">05 Jun 1986 - 16:00 </t>
  </si>
  <si>
    <t>IGNA Ioan (ROU)</t>
  </si>
  <si>
    <t xml:space="preserve">06 Jun 1986 - 12:00 </t>
  </si>
  <si>
    <t xml:space="preserve">06 Jun 1986 - 16:00 </t>
  </si>
  <si>
    <t xml:space="preserve">07 Jun 1986 - 12:00 </t>
  </si>
  <si>
    <t xml:space="preserve">07 Jun 1986 - 16:00 </t>
  </si>
  <si>
    <t>BENNACEUR Ali (TUN)</t>
  </si>
  <si>
    <t xml:space="preserve">08 Jun 1986 - 12:00 </t>
  </si>
  <si>
    <t xml:space="preserve">08 Jun 1986 - 16:00 </t>
  </si>
  <si>
    <t xml:space="preserve">09 Jun 1986 - 12:00 </t>
  </si>
  <si>
    <t xml:space="preserve">10 Jun 1986 - 12:00 </t>
  </si>
  <si>
    <t>URREA Joaquin (MEX)</t>
  </si>
  <si>
    <t xml:space="preserve">11 Jun 1986 - 12:00 </t>
  </si>
  <si>
    <t xml:space="preserve">11 Jun 1986 - 16:00 </t>
  </si>
  <si>
    <t xml:space="preserve">12 Jun 1986 - 12:00 </t>
  </si>
  <si>
    <t xml:space="preserve">13 Jun 1986 - 12:00 </t>
  </si>
  <si>
    <t xml:space="preserve">15 Jun 1986 - 16:00 </t>
  </si>
  <si>
    <t>Round of 16</t>
  </si>
  <si>
    <t xml:space="preserve">Belgium win after extra time </t>
  </si>
  <si>
    <t xml:space="preserve">15 Jun 1986 - 12:00 </t>
  </si>
  <si>
    <t xml:space="preserve">16 Jun 1986 - 16:00 </t>
  </si>
  <si>
    <t xml:space="preserve">16 Jun 1986 - 12:00 </t>
  </si>
  <si>
    <t xml:space="preserve">17 Jun 1986 - 12:00 </t>
  </si>
  <si>
    <t xml:space="preserve">17 Jun 1986 - 16:00 </t>
  </si>
  <si>
    <t xml:space="preserve">18 Jun 1986 - 12:00 </t>
  </si>
  <si>
    <t xml:space="preserve">18 Jun 1986 - 16:00 </t>
  </si>
  <si>
    <t xml:space="preserve">21 Jun 1986 - 12:00 </t>
  </si>
  <si>
    <t xml:space="preserve">France win on penalties (3 - 4) </t>
  </si>
  <si>
    <t xml:space="preserve">21 Jun 1986 - 16:00 </t>
  </si>
  <si>
    <t xml:space="preserve">Germany FR win on penalties (4 - 1) </t>
  </si>
  <si>
    <t xml:space="preserve">22 Jun 1986 - 16:00 </t>
  </si>
  <si>
    <t xml:space="preserve">Belgium win on penalties (4 - 5) </t>
  </si>
  <si>
    <t xml:space="preserve">22 Jun 1986 - 12:00 </t>
  </si>
  <si>
    <t xml:space="preserve">25 Jun 1986 - 12:00 </t>
  </si>
  <si>
    <t xml:space="preserve">25 Jun 1986 - 16:00 </t>
  </si>
  <si>
    <t xml:space="preserve">28 Jun 1986 - 12:00 </t>
  </si>
  <si>
    <t xml:space="preserve">France win after extra time </t>
  </si>
  <si>
    <t xml:space="preserve">29 Jun 1986 - 12:00 </t>
  </si>
  <si>
    <t xml:space="preserve">08 Jun 1990 - 18:00 </t>
  </si>
  <si>
    <t>Giuseppe Meazza</t>
  </si>
  <si>
    <t>MAURO Vincent (USA)</t>
  </si>
  <si>
    <t>LISTKIEWICZ Michal (POL)</t>
  </si>
  <si>
    <t xml:space="preserve">09 Jun 1990 - 17:00 </t>
  </si>
  <si>
    <t>Stadio San Nicola</t>
  </si>
  <si>
    <t xml:space="preserve">Bari </t>
  </si>
  <si>
    <t>Renato Dall Ara</t>
  </si>
  <si>
    <t>rn"&gt;United Arab Emirates</t>
  </si>
  <si>
    <t>UAE</t>
  </si>
  <si>
    <t xml:space="preserve">09 Jun 1990 - 21:00 </t>
  </si>
  <si>
    <t>Stadio Olimpico</t>
  </si>
  <si>
    <t>RAMIZ WRIGHT Jose (BRA)</t>
  </si>
  <si>
    <t>PEREZ HOYOS Armando (COL)</t>
  </si>
  <si>
    <t xml:space="preserve">10 Jun 1990 - 17:00 </t>
  </si>
  <si>
    <t>Comunale</t>
  </si>
  <si>
    <t>ROETHLISBERGER Kurt (SUI)</t>
  </si>
  <si>
    <t>VAN LANGENHOVE Marcel (BEL)</t>
  </si>
  <si>
    <t>SCHMIDHUBER Aron (GER)</t>
  </si>
  <si>
    <t xml:space="preserve">10 Jun 1990 - 21:00 </t>
  </si>
  <si>
    <t>Stadio delle Alpi</t>
  </si>
  <si>
    <t>LANESE Tullio (ITA)</t>
  </si>
  <si>
    <t>JOUINI Neji (TUN)</t>
  </si>
  <si>
    <t>MIKKELSEN Peter (DEN)</t>
  </si>
  <si>
    <t>MANDI Jassim (BHR)</t>
  </si>
  <si>
    <t xml:space="preserve">11 Jun 1990 - 17:00 </t>
  </si>
  <si>
    <t>Costa Rica</t>
  </si>
  <si>
    <t>LOUSTAU Juan (ARG)</t>
  </si>
  <si>
    <t>MACIEL Carlos (PAR)</t>
  </si>
  <si>
    <t>JACOME GUERRERO Elias V. (ECU)</t>
  </si>
  <si>
    <t>CRC</t>
  </si>
  <si>
    <t xml:space="preserve">11 Jun 1990 - 21:00 </t>
  </si>
  <si>
    <t>Sant Elia</t>
  </si>
  <si>
    <t xml:space="preserve">Cagliari </t>
  </si>
  <si>
    <t>rn"&gt;Republic of Ireland</t>
  </si>
  <si>
    <t>IRL</t>
  </si>
  <si>
    <t xml:space="preserve">12 Jun 1990 - 17:00 </t>
  </si>
  <si>
    <t>Marc Antonio Bentegodi</t>
  </si>
  <si>
    <t xml:space="preserve">Verona </t>
  </si>
  <si>
    <t xml:space="preserve">12 Jun 1990 - 21:00 </t>
  </si>
  <si>
    <t>Della Favorita</t>
  </si>
  <si>
    <t xml:space="preserve">Palermo </t>
  </si>
  <si>
    <t xml:space="preserve">13 Jun 1990 - 17:00 </t>
  </si>
  <si>
    <t>Dacia Arena</t>
  </si>
  <si>
    <t xml:space="preserve">Udine </t>
  </si>
  <si>
    <t>KOHL Helmut (AUT)</t>
  </si>
  <si>
    <t>SPIRIN Alexey (RUS)</t>
  </si>
  <si>
    <t xml:space="preserve">13 Jun 1990 - 21:00 </t>
  </si>
  <si>
    <t>San Paolo</t>
  </si>
  <si>
    <t xml:space="preserve">14 Jun 1990 - 17:00 </t>
  </si>
  <si>
    <t>DIRAMBA Jean Fidele (GAB)</t>
  </si>
  <si>
    <t xml:space="preserve">14 Jun 1990 - 21:00 </t>
  </si>
  <si>
    <t xml:space="preserve">15 Jun 1990 - 17:00 </t>
  </si>
  <si>
    <t>SMITH George (SCO)</t>
  </si>
  <si>
    <t>LORENC Richard (AUS)</t>
  </si>
  <si>
    <t xml:space="preserve">15 Jun 1990 - 21:00 </t>
  </si>
  <si>
    <t>PAIRETTO Pierluigi (ITA)</t>
  </si>
  <si>
    <t xml:space="preserve">16 Jun 1990 - 17:00 </t>
  </si>
  <si>
    <t xml:space="preserve">16 Jun 1990 - 21:00 </t>
  </si>
  <si>
    <t>HANSAL Mohamed (ALG)</t>
  </si>
  <si>
    <t xml:space="preserve">17 Jun 1990 - 17:00 </t>
  </si>
  <si>
    <t>LO BELLO Rosario (ITA)</t>
  </si>
  <si>
    <t xml:space="preserve">17 Jun 1990 - 21:00 </t>
  </si>
  <si>
    <t>MAGNI Pierluigi (ITA)</t>
  </si>
  <si>
    <t xml:space="preserve">18 Jun 1990 - 21:00 </t>
  </si>
  <si>
    <t>LONGHI Carlo (ITA)</t>
  </si>
  <si>
    <t>D ELIA Pietro (ITA)</t>
  </si>
  <si>
    <t xml:space="preserve">19 Jun 1990 - 17:00 </t>
  </si>
  <si>
    <t xml:space="preserve">19 Jun 1990 - 21:00 </t>
  </si>
  <si>
    <t xml:space="preserve">20 Jun 1990 - 21:00 </t>
  </si>
  <si>
    <t xml:space="preserve">21 Jun 1990 - 17:00 </t>
  </si>
  <si>
    <t>Friuli</t>
  </si>
  <si>
    <t xml:space="preserve">21 Jun 1990 - 21:00 </t>
  </si>
  <si>
    <t xml:space="preserve">23 Jun 1990 - 17:00 </t>
  </si>
  <si>
    <t xml:space="preserve">Cameroon win after extra time </t>
  </si>
  <si>
    <t xml:space="preserve">23 Jun 1990 - 21:00 </t>
  </si>
  <si>
    <t xml:space="preserve">24 Jun 1990 - 17:00 </t>
  </si>
  <si>
    <t xml:space="preserve">24 Jun 1990 - 21:00 </t>
  </si>
  <si>
    <t xml:space="preserve">25 Jun 1990 - 17:00 </t>
  </si>
  <si>
    <t xml:space="preserve">Republic of Ireland win on penalties (5 - 4) </t>
  </si>
  <si>
    <t xml:space="preserve">25 Jun 1990 - 21:00 </t>
  </si>
  <si>
    <t xml:space="preserve">26 Jun 1990 - 17:00 </t>
  </si>
  <si>
    <t xml:space="preserve">Yugoslavia win after extra time </t>
  </si>
  <si>
    <t xml:space="preserve">26 Jun 1990 - 21:00 </t>
  </si>
  <si>
    <t xml:space="preserve">30 Jun 1990 - 17:00 </t>
  </si>
  <si>
    <t xml:space="preserve"> win on penalties (2 - 3) </t>
  </si>
  <si>
    <t xml:space="preserve">30 Jun 1990 - 21:00 </t>
  </si>
  <si>
    <t xml:space="preserve">01 Jul 1990 - 17:00 </t>
  </si>
  <si>
    <t xml:space="preserve">01 Jul 1990 - 21:00 </t>
  </si>
  <si>
    <t xml:space="preserve">03 Jul 1990 - 20:00 </t>
  </si>
  <si>
    <t xml:space="preserve"> win on penalties (3 - 4) </t>
  </si>
  <si>
    <t xml:space="preserve">04 Jul 1990 - 20:00 </t>
  </si>
  <si>
    <t xml:space="preserve"> win on penalties (4 - 3) </t>
  </si>
  <si>
    <t xml:space="preserve">07 Jul 1990 - 20:00 </t>
  </si>
  <si>
    <t xml:space="preserve">08 Jul 1990 - 20:00 </t>
  </si>
  <si>
    <t xml:space="preserve">17 Jun 1994 - 19:30 </t>
  </si>
  <si>
    <t>Cotton Bowl</t>
  </si>
  <si>
    <t xml:space="preserve">Dallas </t>
  </si>
  <si>
    <t>CHRISTENSEN Carl-Johan Meyer (DEN)</t>
  </si>
  <si>
    <t>PEARSON Roy (ENG)</t>
  </si>
  <si>
    <t xml:space="preserve">17 Jun 1994 - 15:00 </t>
  </si>
  <si>
    <t>Soldier Field</t>
  </si>
  <si>
    <t xml:space="preserve">Chicago </t>
  </si>
  <si>
    <t>BRIZIO CARTER Arturo (MEX)</t>
  </si>
  <si>
    <t>BRAZZALE Eugene (AUS)</t>
  </si>
  <si>
    <t>DUNSTER Gordon (AUS)</t>
  </si>
  <si>
    <t xml:space="preserve">18 Jun 1994 - 11:30 </t>
  </si>
  <si>
    <t>Pontiac Silverdome</t>
  </si>
  <si>
    <t xml:space="preserve">Detroit </t>
  </si>
  <si>
    <t>LAMOLINA Francisco Oscar (ARG)</t>
  </si>
  <si>
    <t>TAIBI Ernesto (ARG)</t>
  </si>
  <si>
    <t>ZARATE Venancio (PAR)</t>
  </si>
  <si>
    <t xml:space="preserve">18 Jun 1994 - 16:00 </t>
  </si>
  <si>
    <t>Giants Stadium</t>
  </si>
  <si>
    <t xml:space="preserve">New York/New Jersey </t>
  </si>
  <si>
    <t>VAN DER ENDE Mario (NED)</t>
  </si>
  <si>
    <t>DOLSTRA Jan (NED)</t>
  </si>
  <si>
    <t>PARK Hae-Yong (KOR)</t>
  </si>
  <si>
    <t xml:space="preserve">18 Jun 1994 - 19:30 </t>
  </si>
  <si>
    <t>Rose Bowl</t>
  </si>
  <si>
    <t xml:space="preserve">Los Angeles </t>
  </si>
  <si>
    <t>AL GHATTAN Yousif Abdulla (BAH)</t>
  </si>
  <si>
    <t>JAMES Douglas Micael (TRI)</t>
  </si>
  <si>
    <t xml:space="preserve">19 Jun 1994 - 12:30 </t>
  </si>
  <si>
    <t>Citrus Bowl</t>
  </si>
  <si>
    <t xml:space="preserve">Orlando </t>
  </si>
  <si>
    <t>TORRES CADENA Jose Joaquin (COL)</t>
  </si>
  <si>
    <t>CALIX GARCIA Raimundo (HON)</t>
  </si>
  <si>
    <t>YLI-KARRO Tapio (FIN)</t>
  </si>
  <si>
    <t xml:space="preserve">19 Jun 1994 - 16:00 </t>
  </si>
  <si>
    <t>RFK Stadium</t>
  </si>
  <si>
    <t xml:space="preserve">Washington Dc </t>
  </si>
  <si>
    <t>PUHL Sandor (HUN)</t>
  </si>
  <si>
    <t>MARTON Sandor (HUN)</t>
  </si>
  <si>
    <t>IVANOV Valentin (RUS)</t>
  </si>
  <si>
    <t xml:space="preserve">19 Jun 1994 - 19:30 </t>
  </si>
  <si>
    <t>TEJADA NORIEGA Alberto (PER)</t>
  </si>
  <si>
    <t xml:space="preserve">20 Jun 1994 - 19:30 </t>
  </si>
  <si>
    <t>Saudi Arabia</t>
  </si>
  <si>
    <t>DIAZ VEGA Manuel (ESP)</t>
  </si>
  <si>
    <t>KSA</t>
  </si>
  <si>
    <t xml:space="preserve">20 Jun 1994 - 16:00 </t>
  </si>
  <si>
    <t>Stanford Stadium</t>
  </si>
  <si>
    <t xml:space="preserve">San Francisco </t>
  </si>
  <si>
    <t>Russia</t>
  </si>
  <si>
    <t>LIM KEE CHONG An Yan (MRI)</t>
  </si>
  <si>
    <t>RHARIB El Jilali Mohamed (MAR)</t>
  </si>
  <si>
    <t>RAMICONE Domenico (ITA)</t>
  </si>
  <si>
    <t>RUS</t>
  </si>
  <si>
    <t xml:space="preserve">21 Jun 1994 - 12:30 </t>
  </si>
  <si>
    <t>Foxboro Stadium</t>
  </si>
  <si>
    <t xml:space="preserve">Boston </t>
  </si>
  <si>
    <t>Greece</t>
  </si>
  <si>
    <t>ANGELES Arturo (USA)</t>
  </si>
  <si>
    <t>GRE</t>
  </si>
  <si>
    <t xml:space="preserve">21 Jun 1994 - 19:30 </t>
  </si>
  <si>
    <t>Nigeria</t>
  </si>
  <si>
    <t>BADILLA Rodrigo (CRC)</t>
  </si>
  <si>
    <t>NGA</t>
  </si>
  <si>
    <t xml:space="preserve">21 Jun 1994 - 16:00 </t>
  </si>
  <si>
    <t>FILIPPI Ernesto (URU)</t>
  </si>
  <si>
    <t xml:space="preserve">22 Jun 1994 - 16:00 </t>
  </si>
  <si>
    <t>HASSAN Abdel-Magid (EGY)</t>
  </si>
  <si>
    <t>FANAEI Mohammad (IRN)</t>
  </si>
  <si>
    <t xml:space="preserve">22 Jun 1994 - 19:30 </t>
  </si>
  <si>
    <t>BALDAS Fabio (ITA)</t>
  </si>
  <si>
    <t xml:space="preserve">23 Jun 1994 - 16:00 </t>
  </si>
  <si>
    <t>KRUG Hellmut (GER)</t>
  </si>
  <si>
    <t xml:space="preserve">23 Jun 1994 - 19:30 </t>
  </si>
  <si>
    <t>MOTTRAM Leslie (SCO)</t>
  </si>
  <si>
    <t>MATTHYS Luc (BEL)</t>
  </si>
  <si>
    <t>EVERSTIG Mikael (SWE)</t>
  </si>
  <si>
    <t xml:space="preserve">24 Jun 1994 - 12:30 </t>
  </si>
  <si>
    <t>ALVES Paulo Jorge (BRA)</t>
  </si>
  <si>
    <t xml:space="preserve">24 Jun 1994 - 19:30 </t>
  </si>
  <si>
    <t xml:space="preserve">24 Jun 1994 - 16:00 </t>
  </si>
  <si>
    <t xml:space="preserve">25 Jun 1994 - 12:30 </t>
  </si>
  <si>
    <t>MARSIGLIA Renato (BRA)</t>
  </si>
  <si>
    <t>DON Philip (ENG)</t>
  </si>
  <si>
    <t xml:space="preserve">25 Jun 1994 - 16:00 </t>
  </si>
  <si>
    <t>KARLSSON Bo (SWE)</t>
  </si>
  <si>
    <t xml:space="preserve">26 Jun 1994 - 12:30 </t>
  </si>
  <si>
    <t>BUJSAIM Ali (UAE)</t>
  </si>
  <si>
    <t xml:space="preserve">26 Jun 1994 - 16:00 </t>
  </si>
  <si>
    <t xml:space="preserve">27 Jun 1994 - 16:00 </t>
  </si>
  <si>
    <t xml:space="preserve">28 Jun 1994 - 12:30 </t>
  </si>
  <si>
    <t xml:space="preserve">28 Jun 1994 - 16:00 </t>
  </si>
  <si>
    <t xml:space="preserve">29 Jun 1994 - 12:30 </t>
  </si>
  <si>
    <t xml:space="preserve">30 Jun 1994 - 19:30 </t>
  </si>
  <si>
    <t xml:space="preserve">02 Jul 1994 - 12:00 </t>
  </si>
  <si>
    <t xml:space="preserve">02 Jul 1994 - 16:30 </t>
  </si>
  <si>
    <t xml:space="preserve">03 Jul 1994 - 12:00 </t>
  </si>
  <si>
    <t xml:space="preserve">03 Jul 1994 - 13:30 </t>
  </si>
  <si>
    <t xml:space="preserve">04 Jul 1994 - 12:00 </t>
  </si>
  <si>
    <t xml:space="preserve">04 Jul 1994 - 12:30 </t>
  </si>
  <si>
    <t xml:space="preserve">05 Jul 1994 - 13:00 </t>
  </si>
  <si>
    <t xml:space="preserve">05 Jul 1994 - 16:30 </t>
  </si>
  <si>
    <t xml:space="preserve">Bulgaria win on penalties (1 - 3) </t>
  </si>
  <si>
    <t xml:space="preserve">09 Jul 1994 - 12:00 </t>
  </si>
  <si>
    <t xml:space="preserve">09 Jul 1994 - 14:30 </t>
  </si>
  <si>
    <t xml:space="preserve">10 Jul 1994 - 12:00 </t>
  </si>
  <si>
    <t xml:space="preserve">10 Jul 1994 - 12:30 </t>
  </si>
  <si>
    <t xml:space="preserve">Sweden win on penalties (4 - 5) </t>
  </si>
  <si>
    <t xml:space="preserve">13 Jul 1994 - 16:00 </t>
  </si>
  <si>
    <t xml:space="preserve">13 Jul 1994 - 16:30 </t>
  </si>
  <si>
    <t xml:space="preserve">16 Jul 1994 - 12:30 </t>
  </si>
  <si>
    <t xml:space="preserve">17 Jul 1994 - 12:30 </t>
  </si>
  <si>
    <t xml:space="preserve">Brazil win on penalties (3 - 2) </t>
  </si>
  <si>
    <t xml:space="preserve">10 Jun 1998 - 17:30 </t>
  </si>
  <si>
    <t>Stade de France</t>
  </si>
  <si>
    <t xml:space="preserve">Saint-Denis </t>
  </si>
  <si>
    <t>GARCIA ARANDA Jose Maria (ESP)</t>
  </si>
  <si>
    <t>TRESACO GRACIA Fernando (ESP)</t>
  </si>
  <si>
    <t>ARANGO Jorge Luis (COL)</t>
  </si>
  <si>
    <t xml:space="preserve">10 Jun 1998 - 21:00 </t>
  </si>
  <si>
    <t>La Mosson</t>
  </si>
  <si>
    <t xml:space="preserve">Montpellier </t>
  </si>
  <si>
    <t>ANPRASERT Pirom (THA)</t>
  </si>
  <si>
    <t>ABDUL HAMID Halim (MAS)</t>
  </si>
  <si>
    <t>WICKRAMATUNGA Nimal (SRI)</t>
  </si>
  <si>
    <t xml:space="preserve">11 Jun 1998 - 17:30 </t>
  </si>
  <si>
    <t>BOUCHARDEAU Lucien (NIG)</t>
  </si>
  <si>
    <t>DANTE Dramane (MLI)</t>
  </si>
  <si>
    <t>MANSRI Mohamed (TUN)</t>
  </si>
  <si>
    <t xml:space="preserve">11 Jun 1998 - 21:00 </t>
  </si>
  <si>
    <t>GONZALEZ CHAVEZ Epifanio (PAR)</t>
  </si>
  <si>
    <t>GALVAN Celestino (PAR)</t>
  </si>
  <si>
    <t>SALINAS Reynaldo (HON)</t>
  </si>
  <si>
    <t xml:space="preserve">12 Jun 1998 - 14:30 </t>
  </si>
  <si>
    <t>ALZEID Abdulrahman (KSA)</t>
  </si>
  <si>
    <t>SALIE Achmat (RSA)</t>
  </si>
  <si>
    <t>GHADANFARI Hussain (KUW)</t>
  </si>
  <si>
    <t xml:space="preserve">12 Jun 1998 - 17:30 </t>
  </si>
  <si>
    <t>Stade Felix Bollaert</t>
  </si>
  <si>
    <t xml:space="preserve">Lens </t>
  </si>
  <si>
    <t>CASTRILLI Javier (ARG)</t>
  </si>
  <si>
    <t>ROSSI Claudio (ARG)</t>
  </si>
  <si>
    <t>DIAZ GALVEZ Jorge (CHI)</t>
  </si>
  <si>
    <t xml:space="preserve">12 Jun 1998 - 21:00 </t>
  </si>
  <si>
    <t>South Africa</t>
  </si>
  <si>
    <t>REZENDE Marcio (BRA)</t>
  </si>
  <si>
    <t>PINTO Arnaldo (BRA)</t>
  </si>
  <si>
    <t>GONZALES Merere (TRI)</t>
  </si>
  <si>
    <t>RSA</t>
  </si>
  <si>
    <t xml:space="preserve">13 Jun 1998 - 14:30 </t>
  </si>
  <si>
    <t>La Beaujoire</t>
  </si>
  <si>
    <t xml:space="preserve">Nantes </t>
  </si>
  <si>
    <t>BAHARMAST Esse (USA)</t>
  </si>
  <si>
    <t>TORRES ZUNIGA Luis (CRC)</t>
  </si>
  <si>
    <t>DUPANOV Yuri (BLR)</t>
  </si>
  <si>
    <t xml:space="preserve">13 Jun 1998 - 17:30 </t>
  </si>
  <si>
    <t>Stade de Gerland</t>
  </si>
  <si>
    <t xml:space="preserve">Lyon </t>
  </si>
  <si>
    <t>BENKO Gunter (AUT)</t>
  </si>
  <si>
    <t>FRED Lencie (VAN)</t>
  </si>
  <si>
    <t>SCHNEIDER Erich (GER)</t>
  </si>
  <si>
    <t xml:space="preserve">13 Jun 1998 - 21:00 </t>
  </si>
  <si>
    <t>COLLINA Pierluigi (ITA)</t>
  </si>
  <si>
    <t>MAZZEI Gennaro (ITA)</t>
  </si>
  <si>
    <t>ZAMMIT Emanuel (MLT)</t>
  </si>
  <si>
    <t xml:space="preserve">14 Jun 1998 - 14:30 </t>
  </si>
  <si>
    <t>Group H</t>
  </si>
  <si>
    <t>Japan</t>
  </si>
  <si>
    <t>VAN DEN BROECK Marc (BEL)</t>
  </si>
  <si>
    <t>FOLEY Eddie (IRL)</t>
  </si>
  <si>
    <t>JPN</t>
  </si>
  <si>
    <t xml:space="preserve">14 Jun 1998 - 17:30 </t>
  </si>
  <si>
    <t>Stade Geoffroy Guichard</t>
  </si>
  <si>
    <t xml:space="preserve">Saint-Etienne </t>
  </si>
  <si>
    <t>POWELL Owen (JAM)</t>
  </si>
  <si>
    <t>POCIEGIEL Jacek (POL)</t>
  </si>
  <si>
    <t xml:space="preserve">14 Jun 1998 - 21:00 </t>
  </si>
  <si>
    <t>Jamaica</t>
  </si>
  <si>
    <t>Croatia</t>
  </si>
  <si>
    <t>MELO PEREIRA Vitor (POR)</t>
  </si>
  <si>
    <t>GRIGORESCU Nicolae (ROU)</t>
  </si>
  <si>
    <t>POUDEVIGNE Jacques (FRA)</t>
  </si>
  <si>
    <t>JAM</t>
  </si>
  <si>
    <t>CRO</t>
  </si>
  <si>
    <t xml:space="preserve">15 Jun 1998 - 14:30 </t>
  </si>
  <si>
    <t>Group G</t>
  </si>
  <si>
    <t>OKADA Masayoshi (JPN)</t>
  </si>
  <si>
    <t>JEON Young Hyun (KOR)</t>
  </si>
  <si>
    <t xml:space="preserve">15 Jun 1998 - 17:30 </t>
  </si>
  <si>
    <t>AL MUSAWI Mohamed (OMA)</t>
  </si>
  <si>
    <t xml:space="preserve">15 Jun 1998 - 21:00 </t>
  </si>
  <si>
    <t>BELQOLA Said (MAR)</t>
  </si>
  <si>
    <t>NILSSON Mikael (SWE)</t>
  </si>
  <si>
    <t xml:space="preserve">16 Jun 1998 - 17:30 </t>
  </si>
  <si>
    <t>VAGNER Laszlo (HUN)</t>
  </si>
  <si>
    <t>AMLER Evzen (CZE)</t>
  </si>
  <si>
    <t>RAUSIS Laurent (SUI)</t>
  </si>
  <si>
    <t xml:space="preserve">16 Jun 1998 - 21:00 </t>
  </si>
  <si>
    <t>LEVNIKOV Nikolai (RUS)</t>
  </si>
  <si>
    <t>WARREN Mark (ENG)</t>
  </si>
  <si>
    <t xml:space="preserve">17 Jun 1998 - 17:30 </t>
  </si>
  <si>
    <t>EL GHANDOUR Gamal (EGY)</t>
  </si>
  <si>
    <t xml:space="preserve">17 Jun 1998 - 21:00 </t>
  </si>
  <si>
    <t>LENNIE Edward (AUS)</t>
  </si>
  <si>
    <t xml:space="preserve">18 Jun 1998 - 17:30 </t>
  </si>
  <si>
    <t>TORO RENDON John (COL)</t>
  </si>
  <si>
    <t xml:space="preserve">18 Jun 1998 - 21:00 </t>
  </si>
  <si>
    <t xml:space="preserve">19 Jun 1998 - 17:30 </t>
  </si>
  <si>
    <t>SANCHEZ YANTEN Mario (CHI)</t>
  </si>
  <si>
    <t xml:space="preserve">19 Jun 1998 - 21:00 </t>
  </si>
  <si>
    <t>McLEOD Ian (RSA)</t>
  </si>
  <si>
    <t>SOLDATOS Aristidis Chris (RSA)</t>
  </si>
  <si>
    <t xml:space="preserve">20 Jun 1998 - 14:30 </t>
  </si>
  <si>
    <t>RAMDHAN Ramesh (TRI)</t>
  </si>
  <si>
    <t xml:space="preserve">20 Jun 1998 - 17:30 </t>
  </si>
  <si>
    <t>DALLAS Hugh (SCO)</t>
  </si>
  <si>
    <t xml:space="preserve">20 Jun 1998 - 21:00 </t>
  </si>
  <si>
    <t>WOJCIK Ryszard (POL)</t>
  </si>
  <si>
    <t xml:space="preserve">21 Jun 1998 - 14:30 </t>
  </si>
  <si>
    <t>NIELSEN Kim Milton (DEN)</t>
  </si>
  <si>
    <t xml:space="preserve">21 Jun 1998 - 17:30 </t>
  </si>
  <si>
    <t>PEDERSEN Rune (NOR)</t>
  </si>
  <si>
    <t xml:space="preserve">21 Jun 1998 - 21:00 </t>
  </si>
  <si>
    <t>MEIER Urs (SUI)</t>
  </si>
  <si>
    <t xml:space="preserve">22 Jun 1998 - 17:30 </t>
  </si>
  <si>
    <t>HEYNEMANN Bernd (GER)</t>
  </si>
  <si>
    <t xml:space="preserve">22 Jun 1998 - 21:00 </t>
  </si>
  <si>
    <t>BATTA Marc (FRA)</t>
  </si>
  <si>
    <t xml:space="preserve">23 Jun 1998 - 16:00 </t>
  </si>
  <si>
    <t>DURKIN Paul (ENG)</t>
  </si>
  <si>
    <t xml:space="preserve">23 Jun 1998 - 21:00 </t>
  </si>
  <si>
    <t xml:space="preserve">24 Jun 1998 - 16:00 </t>
  </si>
  <si>
    <t xml:space="preserve">24 Jun 1998 - 21:00 </t>
  </si>
  <si>
    <t xml:space="preserve">25 Jun 1998 - 16:00 </t>
  </si>
  <si>
    <t xml:space="preserve">25 Jun 1998 - 21:00 </t>
  </si>
  <si>
    <t xml:space="preserve">26 Jun 1998 - 16:00 </t>
  </si>
  <si>
    <t xml:space="preserve">26 Jun 1998 - 21:00 </t>
  </si>
  <si>
    <t xml:space="preserve">27 Jun 1998 - 16:30 </t>
  </si>
  <si>
    <t xml:space="preserve">27 Jun 1998 - 21:00 </t>
  </si>
  <si>
    <t xml:space="preserve">28 Jun 1998 - 16:30 </t>
  </si>
  <si>
    <t xml:space="preserve">28 Jun 1998 - 21:00 </t>
  </si>
  <si>
    <t xml:space="preserve">29 Jun 1998 - 16:30 </t>
  </si>
  <si>
    <t xml:space="preserve">29 Jun 1998 - 21:00 </t>
  </si>
  <si>
    <t xml:space="preserve">30 Jun 1998 - 16:30 </t>
  </si>
  <si>
    <t xml:space="preserve">30 Jun 1998 - 21:00 </t>
  </si>
  <si>
    <t xml:space="preserve">Argentina win on penalties (4 - 3) </t>
  </si>
  <si>
    <t xml:space="preserve">03 Jul 1998 - 16:30 </t>
  </si>
  <si>
    <t xml:space="preserve">03 Jul 1998 - 21:00 </t>
  </si>
  <si>
    <t xml:space="preserve">04 Jul 1998 - 16:30 </t>
  </si>
  <si>
    <t xml:space="preserve">04 Jul 1998 - 21:00 </t>
  </si>
  <si>
    <t xml:space="preserve">07 Jul 1998 - 21:00 </t>
  </si>
  <si>
    <t xml:space="preserve">Brazil win on penalties (4 - 2) </t>
  </si>
  <si>
    <t xml:space="preserve">08 Jul 1998 - 21:00 </t>
  </si>
  <si>
    <t xml:space="preserve">11 Jul 1998 - 21:00 </t>
  </si>
  <si>
    <t xml:space="preserve">12 Jul 1998 - 21:00 </t>
  </si>
  <si>
    <t xml:space="preserve">31 May 2002 - 20:30 </t>
  </si>
  <si>
    <t>Seoul World Cup Stadium</t>
  </si>
  <si>
    <t xml:space="preserve">Seoul </t>
  </si>
  <si>
    <t>Senegal</t>
  </si>
  <si>
    <t>ALTRAIFI Ali (KSA)</t>
  </si>
  <si>
    <t>RATTALINO Jorge (ARG)</t>
  </si>
  <si>
    <t>SEN</t>
  </si>
  <si>
    <t xml:space="preserve">01 Jun 2002 - 18:00 </t>
  </si>
  <si>
    <t>Munsu Football Stadium</t>
  </si>
  <si>
    <t xml:space="preserve">Ulsan </t>
  </si>
  <si>
    <t>MANE Saad (KUW)</t>
  </si>
  <si>
    <t>HASSOUNEH Awni (JOR)</t>
  </si>
  <si>
    <t xml:space="preserve">01 Jun 2002 - 15:30 </t>
  </si>
  <si>
    <t>Niigata Stadium Big Swan</t>
  </si>
  <si>
    <t xml:space="preserve">Niigata </t>
  </si>
  <si>
    <t>KAMIKAWA Toru (JPN)</t>
  </si>
  <si>
    <t>AWANG HAMAT Mat Lazim (MAS)</t>
  </si>
  <si>
    <t>VAN NYLEN Roland (BEL)</t>
  </si>
  <si>
    <t xml:space="preserve">01 Jun 2002 - 20:30 </t>
  </si>
  <si>
    <t>Sapporo Dome</t>
  </si>
  <si>
    <t xml:space="preserve">Sapporo </t>
  </si>
  <si>
    <t>AQUINO Ubaldo (PAR)</t>
  </si>
  <si>
    <t>GIACOMUZZI Miguel (PAR)</t>
  </si>
  <si>
    <t>RAGOONATH Michael (TRI)</t>
  </si>
  <si>
    <t xml:space="preserve">02 Jun 2002 - 14:30 </t>
  </si>
  <si>
    <t>Kashima Stadium</t>
  </si>
  <si>
    <t xml:space="preserve">Ibaraki </t>
  </si>
  <si>
    <t>VEISSIERE Gilles (FRA)</t>
  </si>
  <si>
    <t>ARNAULT Frederic (FRA)</t>
  </si>
  <si>
    <t>MUELLER Heiner (GER)</t>
  </si>
  <si>
    <t xml:space="preserve">02 Jun 2002 - 16:30 </t>
  </si>
  <si>
    <t>Busan Asiad Main Stadium</t>
  </si>
  <si>
    <t xml:space="preserve">Busan </t>
  </si>
  <si>
    <t>MICHEL Lubos (SVK)</t>
  </si>
  <si>
    <t>SRAMKA Igor (SVK)</t>
  </si>
  <si>
    <t>CHARLES Curtis (ATG)</t>
  </si>
  <si>
    <t xml:space="preserve">02 Jun 2002 - 18:30 </t>
  </si>
  <si>
    <t>Saitama Stadium 2002</t>
  </si>
  <si>
    <t xml:space="preserve">Saitama </t>
  </si>
  <si>
    <t>SIMON Carlos (BRA)</t>
  </si>
  <si>
    <t>OLIVEIRA Jorge (BRA)</t>
  </si>
  <si>
    <t xml:space="preserve">02 Jun 2002 - 20:30 </t>
  </si>
  <si>
    <t>Gwangju World Cup Stadium</t>
  </si>
  <si>
    <t xml:space="preserve">Gwangju </t>
  </si>
  <si>
    <t>Slovenia</t>
  </si>
  <si>
    <t>GUEZZAZ Mohammed (MAR)</t>
  </si>
  <si>
    <t>TOMUSANGE Ali (UGA)</t>
  </si>
  <si>
    <t>BEREUTER Egon (AUT)</t>
  </si>
  <si>
    <t>SVN</t>
  </si>
  <si>
    <t xml:space="preserve">03 June 2002 - 18:00 </t>
  </si>
  <si>
    <t>KIM Young Joo (KOR)</t>
  </si>
  <si>
    <t>KRISHNAN Visva (SIN)</t>
  </si>
  <si>
    <t>FERNANDEZ Vladimir (SLV)</t>
  </si>
  <si>
    <t xml:space="preserve">03 Jun 2002 - 20:30 </t>
  </si>
  <si>
    <t>Ecuador</t>
  </si>
  <si>
    <t>HALL Brian (USA)</t>
  </si>
  <si>
    <t>VERGARA Hector (CAN)</t>
  </si>
  <si>
    <t>SHARP Philip (ENG)</t>
  </si>
  <si>
    <t>ECU</t>
  </si>
  <si>
    <t xml:space="preserve">03 Jun 2002 - 15:30 </t>
  </si>
  <si>
    <t>JUN Lu (CHN)</t>
  </si>
  <si>
    <t>KOMALEESWARAN Sankar (IND)</t>
  </si>
  <si>
    <t>ADJENGUI Taoufik (TUN)</t>
  </si>
  <si>
    <t xml:space="preserve">04 June 2002 - 15:30 </t>
  </si>
  <si>
    <t>China PR</t>
  </si>
  <si>
    <t>VASSARAS Kyros (GRE)</t>
  </si>
  <si>
    <t>MATOS Carlos (POR)</t>
  </si>
  <si>
    <t>POOL Jaap (NED)</t>
  </si>
  <si>
    <t>CHN</t>
  </si>
  <si>
    <t xml:space="preserve">04 June 2002 - 18:00 </t>
  </si>
  <si>
    <t>MATTUS William (CRC)</t>
  </si>
  <si>
    <t>KOLEIT Haidar (LIB)</t>
  </si>
  <si>
    <t xml:space="preserve">04 Jun 2002 - 20:30 </t>
  </si>
  <si>
    <t>RUIZ Oscar (COL)</t>
  </si>
  <si>
    <t>DORIRI Elise (VAN)</t>
  </si>
  <si>
    <t>LINDBERG Leif (SWE)</t>
  </si>
  <si>
    <t xml:space="preserve">05 Jun 2002 - 15:30 </t>
  </si>
  <si>
    <t>Kobe Wing Stadium</t>
  </si>
  <si>
    <t xml:space="preserve">Kobe </t>
  </si>
  <si>
    <t>PRENDERGAST Peter (JAM)</t>
  </si>
  <si>
    <t>SMITH Paul (NZL)</t>
  </si>
  <si>
    <t xml:space="preserve">05 Jun 2002 - 18:00 </t>
  </si>
  <si>
    <t>Suwon World Cup Stadium</t>
  </si>
  <si>
    <t xml:space="preserve">Suwon </t>
  </si>
  <si>
    <t>MORENO Byron (ECU)</t>
  </si>
  <si>
    <t>FIERRO Bomer (ECU)</t>
  </si>
  <si>
    <t xml:space="preserve">05 Jun 2002 - 20:30 </t>
  </si>
  <si>
    <t>LARSEN Jens (DEN)</t>
  </si>
  <si>
    <t xml:space="preserve">06 Jun 2002 - 15:30 </t>
  </si>
  <si>
    <t>Daegu World Cup Stadium</t>
  </si>
  <si>
    <t xml:space="preserve">Daegu </t>
  </si>
  <si>
    <t>BATRES Carlos (GUA)</t>
  </si>
  <si>
    <t>SZEKELY Ferenc (HUN)</t>
  </si>
  <si>
    <t xml:space="preserve">06 Jun 2002 - 18:00 </t>
  </si>
  <si>
    <t>HAUGE Terje (NOR)</t>
  </si>
  <si>
    <t>WIERZBOWSKI Maciej (POL)</t>
  </si>
  <si>
    <t xml:space="preserve">06 Jun 2002 - 20:30 </t>
  </si>
  <si>
    <t>RAMOS RIZO Felipe (MEX)</t>
  </si>
  <si>
    <t xml:space="preserve">07 Jun 2002 - 15:30 </t>
  </si>
  <si>
    <t>ORTUBE Rene (BOL)</t>
  </si>
  <si>
    <t xml:space="preserve">07 Jun 2002 - 20:30 </t>
  </si>
  <si>
    <t>SAEED Mohamed (MDV)</t>
  </si>
  <si>
    <t xml:space="preserve">07 June 2002 - 18:00 </t>
  </si>
  <si>
    <t>Jeonju World Cup Stadium</t>
  </si>
  <si>
    <t xml:space="preserve">Jeonju </t>
  </si>
  <si>
    <t>FARAG Wagih (EGY)</t>
  </si>
  <si>
    <t>MUDZAMIRI Brighton (ZIM)</t>
  </si>
  <si>
    <t xml:space="preserve">08 Jun 2002 - 15:30 </t>
  </si>
  <si>
    <t>SANCHEZ Angel (ARG)</t>
  </si>
  <si>
    <t xml:space="preserve">08 Jun 2002 - 20:30 </t>
  </si>
  <si>
    <t>Jeju World Cup Stadium</t>
  </si>
  <si>
    <t xml:space="preserve">Jeju </t>
  </si>
  <si>
    <t>FRISK Anders (SWE)</t>
  </si>
  <si>
    <t xml:space="preserve">08 June 2002 - 18:00 </t>
  </si>
  <si>
    <t>POLL Graham (ENG)</t>
  </si>
  <si>
    <t xml:space="preserve">09 Jun 2002 - 18:00 </t>
  </si>
  <si>
    <t>Incheon Football Stadium</t>
  </si>
  <si>
    <t xml:space="preserve">Incheon </t>
  </si>
  <si>
    <t>CODJIA Coffi (BEN)</t>
  </si>
  <si>
    <t xml:space="preserve">09 Jun 2002 - 20:30 </t>
  </si>
  <si>
    <t>International Stadium Yokohama</t>
  </si>
  <si>
    <t xml:space="preserve">Yokohama </t>
  </si>
  <si>
    <t>MERK Markus (GER)</t>
  </si>
  <si>
    <t xml:space="preserve">09 Jun 2002 - 15:30 </t>
  </si>
  <si>
    <t>Miyagi Stadium</t>
  </si>
  <si>
    <t xml:space="preserve">Rifu </t>
  </si>
  <si>
    <t>DAAMI Mourad (TUN)</t>
  </si>
  <si>
    <t xml:space="preserve">10 Jun 2002 - 15:30 </t>
  </si>
  <si>
    <t xml:space="preserve">10 Jun 2002 - 20:30 </t>
  </si>
  <si>
    <t xml:space="preserve">10 Jun 2002 - 18:00 </t>
  </si>
  <si>
    <t>Oita Stadium Big Eye</t>
  </si>
  <si>
    <t xml:space="preserve">Oita </t>
  </si>
  <si>
    <t>SHIELD Mark (AUS)</t>
  </si>
  <si>
    <t xml:space="preserve">11 Jun 2002 - 15:30 </t>
  </si>
  <si>
    <t xml:space="preserve">11 June 2002 - 15:30 </t>
  </si>
  <si>
    <t>WEGEREEF Jan (NED)</t>
  </si>
  <si>
    <t xml:space="preserve">11 Jun 2002 - 20:30 </t>
  </si>
  <si>
    <t>NDOYE Falla (SEN)</t>
  </si>
  <si>
    <t>Shizuoka Stadium Ecopa</t>
  </si>
  <si>
    <t xml:space="preserve">Shizuoka </t>
  </si>
  <si>
    <t>LOPEZ NIETO Antonio (ESP)</t>
  </si>
  <si>
    <t xml:space="preserve">12 Jun 2002 - 15:30 </t>
  </si>
  <si>
    <t>Osaka Nagai Stadium</t>
  </si>
  <si>
    <t xml:space="preserve">Osaka </t>
  </si>
  <si>
    <t xml:space="preserve">12 Jun 2002 - 20:30 </t>
  </si>
  <si>
    <t>Daejeon World Cup Stadium</t>
  </si>
  <si>
    <t xml:space="preserve">Daejeon </t>
  </si>
  <si>
    <t xml:space="preserve">13 Jun 2002 - 15:30 </t>
  </si>
  <si>
    <t xml:space="preserve">13 Jun 2002 - 20:30 </t>
  </si>
  <si>
    <t xml:space="preserve">14 Jun 2002 - 15:30 </t>
  </si>
  <si>
    <t xml:space="preserve">14 Jun 2002 - 20:30 </t>
  </si>
  <si>
    <t>LU Jun (CHN)</t>
  </si>
  <si>
    <t xml:space="preserve">15 Jun 2002 - 20:30 </t>
  </si>
  <si>
    <t xml:space="preserve">15 Jun 2002 - 15:30 </t>
  </si>
  <si>
    <t xml:space="preserve">16 Jun 2002 - 20:30 </t>
  </si>
  <si>
    <t xml:space="preserve">Spain win on penalties (3 - 2) </t>
  </si>
  <si>
    <t xml:space="preserve">16 Jun 2002 - 15:30 </t>
  </si>
  <si>
    <t xml:space="preserve">Win on Golden Goal </t>
  </si>
  <si>
    <t xml:space="preserve">17 Jun 2002 - 20:30 </t>
  </si>
  <si>
    <t xml:space="preserve">17 June 2002 - 15:30 </t>
  </si>
  <si>
    <t xml:space="preserve">18 Jun 2002 - 15:30 </t>
  </si>
  <si>
    <t xml:space="preserve">18 Jun 2002 - 20:30 </t>
  </si>
  <si>
    <t xml:space="preserve">21 Jun 2002 - 15:30 </t>
  </si>
  <si>
    <t xml:space="preserve">21 Jun 2002 - 20:30 </t>
  </si>
  <si>
    <t xml:space="preserve">22 Jun 2002 - 20:30 </t>
  </si>
  <si>
    <t xml:space="preserve">22 Jun 2002 - 15:30 </t>
  </si>
  <si>
    <t xml:space="preserve">Korea Republic win on penalties (3 - 5) </t>
  </si>
  <si>
    <t xml:space="preserve">25 Jun 2002 - 20:30 </t>
  </si>
  <si>
    <t xml:space="preserve">26 Jun 2002 - 20:30 </t>
  </si>
  <si>
    <t xml:space="preserve">29 Jun 2002 - 20:00 </t>
  </si>
  <si>
    <t>Third place</t>
  </si>
  <si>
    <t xml:space="preserve">30 Jun 2002 - 20:00 </t>
  </si>
  <si>
    <t xml:space="preserve">09 Jun 2006 - 18:00 </t>
  </si>
  <si>
    <t>FIFA World Cup Stadium, Munich</t>
  </si>
  <si>
    <t>ELIZONDO Horacio (ARG)</t>
  </si>
  <si>
    <t>GARCIA Dario (ARG)</t>
  </si>
  <si>
    <t>OTERO Rodolfo (ARG)</t>
  </si>
  <si>
    <t xml:space="preserve">09 Jun 2006 - 21:00 </t>
  </si>
  <si>
    <t>FIFA World Cup Stadium, Gelsenkirchen</t>
  </si>
  <si>
    <t>HIROSHIMA Yoshikazu (JPN)</t>
  </si>
  <si>
    <t>KIM Dae Young (KOR)</t>
  </si>
  <si>
    <t xml:space="preserve">10 Jun 2006 - 15:00 </t>
  </si>
  <si>
    <t>FIFA World Cup Stadium, Frankfurt</t>
  </si>
  <si>
    <t>RODRIGUEZ Marco (MEX)</t>
  </si>
  <si>
    <t>CAMARGO Jose Luis (MEX)</t>
  </si>
  <si>
    <t>LEAL Leonel (CRC)</t>
  </si>
  <si>
    <t xml:space="preserve">10 Jun 2006 - 18:00 </t>
  </si>
  <si>
    <t>FIFA World Cup Stadium, Dortmund</t>
  </si>
  <si>
    <t>rn"&gt;Trinidad and Tobago</t>
  </si>
  <si>
    <t>MAIDIN Shamsul (SIN)</t>
  </si>
  <si>
    <t>PERMPANICH Prachya (THA)</t>
  </si>
  <si>
    <t>GHULOUM Eisa (UAE)</t>
  </si>
  <si>
    <t>TRI</t>
  </si>
  <si>
    <t xml:space="preserve">10 Jun 2006 - 21:00 </t>
  </si>
  <si>
    <t>FIFA World Cup Stadium, Hamburg</t>
  </si>
  <si>
    <t>Cï¿½te d'Ivoire</t>
  </si>
  <si>
    <t>DE BLEECKERE Frank (BEL)</t>
  </si>
  <si>
    <t>HERMANS Peter (BEL)</t>
  </si>
  <si>
    <t>VROMANS Walter (BEL)</t>
  </si>
  <si>
    <t>CIV</t>
  </si>
  <si>
    <t xml:space="preserve">11 Jun 2006 - 15:00 </t>
  </si>
  <si>
    <t>Zentralstadion</t>
  </si>
  <si>
    <t xml:space="preserve">Leipzig </t>
  </si>
  <si>
    <t>rn"&gt;Serbia and Montenegro</t>
  </si>
  <si>
    <t>SCHRAER Christian (GER)</t>
  </si>
  <si>
    <t>SALVER Jan-Hendrik (GER)</t>
  </si>
  <si>
    <t>SCG</t>
  </si>
  <si>
    <t xml:space="preserve">11 Jun 2006 - 18:00 </t>
  </si>
  <si>
    <t>Franken-Stadion</t>
  </si>
  <si>
    <t xml:space="preserve">Nuremberg </t>
  </si>
  <si>
    <t>ROSETTI Roberto (ITA)</t>
  </si>
  <si>
    <t>COPELLI Cristiano (ITA)</t>
  </si>
  <si>
    <t>STAGNOLI Alessandro (ITA)</t>
  </si>
  <si>
    <t xml:space="preserve">11 Jun 2006 - 21:00 </t>
  </si>
  <si>
    <t>FIFA World Cup Stadium, Cologne</t>
  </si>
  <si>
    <t xml:space="preserve">Cologne </t>
  </si>
  <si>
    <t>Angola</t>
  </si>
  <si>
    <t>LARRIONDA Jorge (URU)</t>
  </si>
  <si>
    <t>RIAL Walter (URU)</t>
  </si>
  <si>
    <t>FANDINO Pablo (URU)</t>
  </si>
  <si>
    <t>ANG</t>
  </si>
  <si>
    <t xml:space="preserve">12 Jun 2006 - 15:00 </t>
  </si>
  <si>
    <t>Fritz-Walter-Stadion</t>
  </si>
  <si>
    <t xml:space="preserve">Kaiserslautern </t>
  </si>
  <si>
    <t>ABD EL FATAH Essam (EGY)</t>
  </si>
  <si>
    <t>NDOYE Mamadou (SEN)</t>
  </si>
  <si>
    <t xml:space="preserve">12 Jun 2006 - 18:00 </t>
  </si>
  <si>
    <t>Czech Republic</t>
  </si>
  <si>
    <t>AMARILLA Carlos (PAR)</t>
  </si>
  <si>
    <t>ANDINO Amelio (PAR)</t>
  </si>
  <si>
    <t>BERNAL Manuel (PAR)</t>
  </si>
  <si>
    <t>CZE</t>
  </si>
  <si>
    <t xml:space="preserve">12 Jun 2006 - 21:00 </t>
  </si>
  <si>
    <t>FIFA World Cup Stadium, Hanover</t>
  </si>
  <si>
    <t>Ghana</t>
  </si>
  <si>
    <t>TAVARES Aristeu (BRA)</t>
  </si>
  <si>
    <t>CORONA Ednilson (BRA)</t>
  </si>
  <si>
    <t>GHA</t>
  </si>
  <si>
    <t xml:space="preserve">13 Jun 2006 - 15:00 </t>
  </si>
  <si>
    <t>Togo</t>
  </si>
  <si>
    <t>TURNER Glenn (ENG)</t>
  </si>
  <si>
    <t>TOG</t>
  </si>
  <si>
    <t xml:space="preserve">13 Jun 2006 - 18:00 </t>
  </si>
  <si>
    <t>Gottlieb-Daimler-Stadion</t>
  </si>
  <si>
    <t>GOLUBEV Nikolai (RUS)</t>
  </si>
  <si>
    <t>VOLNIN Evgueni (RUS)</t>
  </si>
  <si>
    <t xml:space="preserve">13 Jun 2006 - 21:00 </t>
  </si>
  <si>
    <t xml:space="preserve">Berlin </t>
  </si>
  <si>
    <t>ARCHUNDIA Benito (MEX)</t>
  </si>
  <si>
    <t>RAMIREZ Jose (MEX)</t>
  </si>
  <si>
    <t xml:space="preserve">14 Jun 2006 - 15:00 </t>
  </si>
  <si>
    <t>Ukraine</t>
  </si>
  <si>
    <t>BUSACCA Massimo (SUI)</t>
  </si>
  <si>
    <t>BURAGINA Francesco (SUI)</t>
  </si>
  <si>
    <t>ARNET Matthias (SUI)</t>
  </si>
  <si>
    <t>UKR</t>
  </si>
  <si>
    <t xml:space="preserve">14 Jun 2006 - 18:00 </t>
  </si>
  <si>
    <t>GIBSON Nathan (AUS)</t>
  </si>
  <si>
    <t>WILSON Ben (AUS)</t>
  </si>
  <si>
    <t xml:space="preserve">14 Jun 2006 - 21:00 </t>
  </si>
  <si>
    <t>MEDINA CANTALEJO Luis (ESP)</t>
  </si>
  <si>
    <t>GIRALDEZ CARRASCO Victoriano (ESP)</t>
  </si>
  <si>
    <t>MEDINA HERNANDEZ Pedro (ESP)</t>
  </si>
  <si>
    <t xml:space="preserve">15 Jun 2006 - 15:00 </t>
  </si>
  <si>
    <t>NTAGUNGIRA Celestin (RWA)</t>
  </si>
  <si>
    <t>ADERODJOU Aboudou (BEN)</t>
  </si>
  <si>
    <t xml:space="preserve">15 Jun 2006 - 18:00 </t>
  </si>
  <si>
    <t xml:space="preserve">15 Jun 2006 - 21:00 </t>
  </si>
  <si>
    <t>Roman SLYSKO (SVK)</t>
  </si>
  <si>
    <t>BALKO Martin (SVK)</t>
  </si>
  <si>
    <t xml:space="preserve">16 Jun 2006 - 15:00 </t>
  </si>
  <si>
    <t xml:space="preserve">16 Jun 2006 - 18:00 </t>
  </si>
  <si>
    <t>TAMAYO Fernando (ECU)</t>
  </si>
  <si>
    <t>NAVIA Jose (COL)</t>
  </si>
  <si>
    <t xml:space="preserve">16 Jun 2006 - 21:00 </t>
  </si>
  <si>
    <t xml:space="preserve">17 Jun 2006 - 15:00 </t>
  </si>
  <si>
    <t>POULAT Eric (FRA)</t>
  </si>
  <si>
    <t>DAGORNE Lionel (FRA)</t>
  </si>
  <si>
    <t>TEXIER Vincent (FRA)</t>
  </si>
  <si>
    <t xml:space="preserve">17 Jun 2006 - 18:00 </t>
  </si>
  <si>
    <t xml:space="preserve">17 Jun 2006 - 21:00 </t>
  </si>
  <si>
    <t xml:space="preserve">18 Jun 2006 - 15:00 </t>
  </si>
  <si>
    <t xml:space="preserve">18 Jun 2006 - 18:00 </t>
  </si>
  <si>
    <t xml:space="preserve">18 Jun 2006 - 21:00 </t>
  </si>
  <si>
    <t xml:space="preserve">19 Jun 2006 - 15:00 </t>
  </si>
  <si>
    <t xml:space="preserve">19 Jun 2006 - 18:00 </t>
  </si>
  <si>
    <t xml:space="preserve">19 Jun 2006 - 21:00 </t>
  </si>
  <si>
    <t xml:space="preserve">20 Jun 2006 - 16:00 </t>
  </si>
  <si>
    <t xml:space="preserve">20 Jun 2006 - 21:00 </t>
  </si>
  <si>
    <t xml:space="preserve">21 Jun 2006 - 16:00 </t>
  </si>
  <si>
    <t xml:space="preserve">21 Jun 2006 - 21:00 </t>
  </si>
  <si>
    <t xml:space="preserve">22 Jun 2006 - 16:00 </t>
  </si>
  <si>
    <t xml:space="preserve">22 Jun 2006 - 21:00 </t>
  </si>
  <si>
    <t xml:space="preserve">23 Jun 2006 - 16:00 </t>
  </si>
  <si>
    <t xml:space="preserve">23 Jun 2006 - 21:00 </t>
  </si>
  <si>
    <t xml:space="preserve">24 Jun 2006 - 17:00 </t>
  </si>
  <si>
    <t xml:space="preserve">24 Jun 2006 - 21:00 </t>
  </si>
  <si>
    <t xml:space="preserve">25 Jun 2006 - 17:00 </t>
  </si>
  <si>
    <t xml:space="preserve">25 Jun 2006 - 21:00 </t>
  </si>
  <si>
    <t xml:space="preserve">26 Jun 2006 - 17:00 </t>
  </si>
  <si>
    <t xml:space="preserve">26 Jun 2006 - 21:00 </t>
  </si>
  <si>
    <t xml:space="preserve">Ukraine win on penalties (0 - 3) </t>
  </si>
  <si>
    <t xml:space="preserve">27 Jun 2006 - 17:00 </t>
  </si>
  <si>
    <t xml:space="preserve">27 Jun 2006 - 21:00 </t>
  </si>
  <si>
    <t xml:space="preserve">30 Jun 2006 - 17:00 </t>
  </si>
  <si>
    <t xml:space="preserve">Germany win on penalties (4 - 2) </t>
  </si>
  <si>
    <t xml:space="preserve">30 Jun 2006 - 21:00 </t>
  </si>
  <si>
    <t xml:space="preserve">01 Jul 2006 - 17:00 </t>
  </si>
  <si>
    <t xml:space="preserve">Portugal win on penalties (1 - 3) </t>
  </si>
  <si>
    <t xml:space="preserve">01 Jul 2006 - 21:00 </t>
  </si>
  <si>
    <t xml:space="preserve">04 Jul 2006 - 21:00 </t>
  </si>
  <si>
    <t xml:space="preserve">05 Jul 2006 - 21:00 </t>
  </si>
  <si>
    <t xml:space="preserve">08 Jul 2006 - 21:00 </t>
  </si>
  <si>
    <t xml:space="preserve">09 Jul 2006 - 20:00 </t>
  </si>
  <si>
    <t xml:space="preserve">Italy win on penalties (5 - 3) </t>
  </si>
  <si>
    <t xml:space="preserve">11 Jun 2010 - 16:00 </t>
  </si>
  <si>
    <t>Soccer City Stadium</t>
  </si>
  <si>
    <t xml:space="preserve">Johannesburg </t>
  </si>
  <si>
    <t>Ravshan IRMATOV (UZB)</t>
  </si>
  <si>
    <t>ILYASOV Rafael (UZB)</t>
  </si>
  <si>
    <t>KOCHKAROV Bakhadyr (KGZ)</t>
  </si>
  <si>
    <t xml:space="preserve">11 Jun 2010 - 20:30 </t>
  </si>
  <si>
    <t>Cape Town Stadium</t>
  </si>
  <si>
    <t xml:space="preserve">Cape Town </t>
  </si>
  <si>
    <t>NISHIMURA Yuichi (JPN)</t>
  </si>
  <si>
    <t>SAGARA Toru (JPN)</t>
  </si>
  <si>
    <t>JEONG Hae Sang (KOR)</t>
  </si>
  <si>
    <t xml:space="preserve">12 Jun 2010 - 13:30 </t>
  </si>
  <si>
    <t>Port Elizabeth Stadium</t>
  </si>
  <si>
    <t xml:space="preserve">Nelson Mandela Bay/Port Elizabeth </t>
  </si>
  <si>
    <t>HESTER Michael (NZL)</t>
  </si>
  <si>
    <t>HINTZ Jan Hendrik (NZL)</t>
  </si>
  <si>
    <t>MAKASINI Tevita (TGA)</t>
  </si>
  <si>
    <t xml:space="preserve">12 Jun 2010 - 16:00 </t>
  </si>
  <si>
    <t>Ellis Park Stadium</t>
  </si>
  <si>
    <t>Wolfgang STARK (GER)</t>
  </si>
  <si>
    <t>PICKEL Mike (GER)</t>
  </si>
  <si>
    <t xml:space="preserve">12 Jun 2010 - 20:30 </t>
  </si>
  <si>
    <t>Royal Bafokeng Sports Palace</t>
  </si>
  <si>
    <t xml:space="preserve">Phokeng </t>
  </si>
  <si>
    <t>HAUSMANN Altemir (BRA)</t>
  </si>
  <si>
    <t>BRAATZ Roberto (BRA)</t>
  </si>
  <si>
    <t xml:space="preserve">13 Jun 2010 - 13:30 </t>
  </si>
  <si>
    <t>Peter Mokaba Stadium</t>
  </si>
  <si>
    <t xml:space="preserve">Polokwane </t>
  </si>
  <si>
    <t>PASTRANA Carlos (HON)</t>
  </si>
  <si>
    <t xml:space="preserve">13 Jun 2010 - 16:00 </t>
  </si>
  <si>
    <t>Loftus Versfeld Stadium</t>
  </si>
  <si>
    <t xml:space="preserve">Tshwane/Pretoria </t>
  </si>
  <si>
    <t>Serbia</t>
  </si>
  <si>
    <t>BALDASSI Hector (ARG)</t>
  </si>
  <si>
    <t>CASAS Ricardo (ARG)</t>
  </si>
  <si>
    <t>MAIDANA Hernan (ARG)</t>
  </si>
  <si>
    <t>SRB</t>
  </si>
  <si>
    <t xml:space="preserve">13 Jun 2010 - 20:30 </t>
  </si>
  <si>
    <t>Durban Stadium</t>
  </si>
  <si>
    <t xml:space="preserve">Durban </t>
  </si>
  <si>
    <t>MORIN Alberto (MEX)</t>
  </si>
  <si>
    <t xml:space="preserve">14 Jun 2010 - 13:30 </t>
  </si>
  <si>
    <t>Stï¿½phane LANNOY (FRA)</t>
  </si>
  <si>
    <t>DANSAULT Eric (FRA)</t>
  </si>
  <si>
    <t>UGO Laurent (FRA)</t>
  </si>
  <si>
    <t xml:space="preserve">14 Jun 2010 - 16:00 </t>
  </si>
  <si>
    <t>Free State Stadium</t>
  </si>
  <si>
    <t xml:space="preserve">Mangaung/Bloemfontein </t>
  </si>
  <si>
    <t>Olegï¿½rio BENQUERENï¿½A (POR)</t>
  </si>
  <si>
    <t>CARDINAL Jose (POR)</t>
  </si>
  <si>
    <t>MIRANDA Bertino (POR)</t>
  </si>
  <si>
    <t xml:space="preserve">14 Jun 2010 - 20:30 </t>
  </si>
  <si>
    <t>TORRENTERA Marvin (MEX)</t>
  </si>
  <si>
    <t xml:space="preserve">15 Jun 2010 - 13:30 </t>
  </si>
  <si>
    <t>Slovakia</t>
  </si>
  <si>
    <t>DAMON Jerome (RSA)</t>
  </si>
  <si>
    <t>MOLEFE Enock (RSA)</t>
  </si>
  <si>
    <t>SVK</t>
  </si>
  <si>
    <t xml:space="preserve">15 Jun 2010 - 16:00 </t>
  </si>
  <si>
    <t>ESPINOSA Mauricio (URU)</t>
  </si>
  <si>
    <t xml:space="preserve">15 Jun 2010 - 20:30 </t>
  </si>
  <si>
    <t>KASSAI Viktor (HUN)</t>
  </si>
  <si>
    <t>EROS Gabor (HUN)</t>
  </si>
  <si>
    <t>VAMOS Tibor (HUN)</t>
  </si>
  <si>
    <t xml:space="preserve">16 Jun 2010 - 13:30 </t>
  </si>
  <si>
    <t>Mbombela Stadium</t>
  </si>
  <si>
    <t xml:space="preserve">Nelspruit </t>
  </si>
  <si>
    <t>MAILLET Eddy (SEY)</t>
  </si>
  <si>
    <t>MENKOUANDE Evarist (CMR)</t>
  </si>
  <si>
    <t>HASSANI Bechir (TUN)</t>
  </si>
  <si>
    <t xml:space="preserve">16 Jun 2010 - 16:00 </t>
  </si>
  <si>
    <t>WEBB Howard (ENG)</t>
  </si>
  <si>
    <t>Darren CANN (ENG)</t>
  </si>
  <si>
    <t>MULLARKEY Michael (ENG)</t>
  </si>
  <si>
    <t xml:space="preserve">16 Jun 2010 - 20:30 </t>
  </si>
  <si>
    <t xml:space="preserve">17 Jun 2010 - 13:30 </t>
  </si>
  <si>
    <t xml:space="preserve">17 Jun 2010 - 16:00 </t>
  </si>
  <si>
    <t>GONZALEZ Abraham (COL)</t>
  </si>
  <si>
    <t>CLAVIJO Humberto (COL)</t>
  </si>
  <si>
    <t xml:space="preserve">17 Jun 2010 - 20:30 </t>
  </si>
  <si>
    <t>AL GHAMDI Khalil (KSA)</t>
  </si>
  <si>
    <t>KAMRANIFAR Hassan (IRN)</t>
  </si>
  <si>
    <t>AL MARZOUQI Saleh (UAE)</t>
  </si>
  <si>
    <t xml:space="preserve">18 Jun 2010 - 13:30 </t>
  </si>
  <si>
    <t>Alberto UNDIANO MALLENCO (ESP)</t>
  </si>
  <si>
    <t>MARTINEZ Fermin (ESP)</t>
  </si>
  <si>
    <t>YUSTE Juan (ESP)</t>
  </si>
  <si>
    <t xml:space="preserve">18 Jun 2010 - 16:00 </t>
  </si>
  <si>
    <t>Koman COULIBALY (MLI)</t>
  </si>
  <si>
    <t>ACHIK Redouane (MAR)</t>
  </si>
  <si>
    <t>MANUEL CANDIDO Inacio (ANG)</t>
  </si>
  <si>
    <t xml:space="preserve">18 Jun 2010 - 20:30 </t>
  </si>
  <si>
    <t xml:space="preserve">19 Jun 2010 - 13:30 </t>
  </si>
  <si>
    <t xml:space="preserve">19 Jun 2010 - 16:00 </t>
  </si>
  <si>
    <t>CALCAGNO Paolo (ITA)</t>
  </si>
  <si>
    <t>AYROLDI Stefano (ITA)</t>
  </si>
  <si>
    <t xml:space="preserve">19 Jun 2010 - 20:30 </t>
  </si>
  <si>
    <t xml:space="preserve">20 Jun 2010 - 13:30 </t>
  </si>
  <si>
    <t xml:space="preserve">20 Jun 2010 - 16:00 </t>
  </si>
  <si>
    <t xml:space="preserve">20 Jun 2010 - 20:30 </t>
  </si>
  <si>
    <t xml:space="preserve">21 Jun 2010 - 13:30 </t>
  </si>
  <si>
    <t>POZO Pablo (CHI)</t>
  </si>
  <si>
    <t>BASUALTO Patricio (CHI)</t>
  </si>
  <si>
    <t>MONDRIA Francisco (CHI)</t>
  </si>
  <si>
    <t xml:space="preserve">21 Jun 2010 - 16:00 </t>
  </si>
  <si>
    <t xml:space="preserve">21 Jun 2010 - 20:30 </t>
  </si>
  <si>
    <t xml:space="preserve">22 Jun 2010 - 16:00 </t>
  </si>
  <si>
    <t xml:space="preserve">22 Jun 2010 - 20:30 </t>
  </si>
  <si>
    <t xml:space="preserve">23 Jun 2010 - 16:00 </t>
  </si>
  <si>
    <t xml:space="preserve">23 Jun 2010 - 20:30 </t>
  </si>
  <si>
    <t xml:space="preserve">24 Jun 2010 - 16:00 </t>
  </si>
  <si>
    <t xml:space="preserve">24 Jun 2010 - 20:30 </t>
  </si>
  <si>
    <t xml:space="preserve">25 Jun 2010 - 16:00 </t>
  </si>
  <si>
    <t xml:space="preserve">25 Jun 2010 - 20:30 </t>
  </si>
  <si>
    <t xml:space="preserve">26 Jun 2010 - 16:00 </t>
  </si>
  <si>
    <t xml:space="preserve">26 Jun 2010 - 20:30 </t>
  </si>
  <si>
    <t xml:space="preserve">Ghana win after extra time </t>
  </si>
  <si>
    <t xml:space="preserve">27 Jun 2010 - 16:00 </t>
  </si>
  <si>
    <t xml:space="preserve">27 Jun 2010 - 20:30 </t>
  </si>
  <si>
    <t xml:space="preserve">28 Jun 2010 - 16:00 </t>
  </si>
  <si>
    <t xml:space="preserve">28 Jun 2010 - 20:30 </t>
  </si>
  <si>
    <t xml:space="preserve">29 Jun 2010 - 16:00 </t>
  </si>
  <si>
    <t xml:space="preserve">Paraguay win on penalties (5 - 3) </t>
  </si>
  <si>
    <t xml:space="preserve">29 Jun 2010 - 20:30 </t>
  </si>
  <si>
    <t xml:space="preserve">02 Jul 2010 - 16:00 </t>
  </si>
  <si>
    <t xml:space="preserve">02 Jul 2010 - 20:30 </t>
  </si>
  <si>
    <t xml:space="preserve">Uruguay win on penalties (4 - 2) </t>
  </si>
  <si>
    <t xml:space="preserve">03 Jul 2010 - 16:00 </t>
  </si>
  <si>
    <t xml:space="preserve">03 Jul 2010 - 20:30 </t>
  </si>
  <si>
    <t xml:space="preserve">06 Jul 2010 - 20:30 </t>
  </si>
  <si>
    <t xml:space="preserve">07 Jul 2010 - 20:30 </t>
  </si>
  <si>
    <t xml:space="preserve">10 Jul 2010 - 20:30 </t>
  </si>
  <si>
    <t xml:space="preserve">11 Jul 2010 - 20:30 </t>
  </si>
  <si>
    <t xml:space="preserve">Spain win after extra time </t>
  </si>
  <si>
    <t xml:space="preserve">12 Jun 2014 - 17:00 </t>
  </si>
  <si>
    <t>Arena de Sao Paulo</t>
  </si>
  <si>
    <t>NAGI Toshiyuki (JPN)</t>
  </si>
  <si>
    <t xml:space="preserve">13 Jun 2014 - 13:00 </t>
  </si>
  <si>
    <t>Estadio das Dunas</t>
  </si>
  <si>
    <t xml:space="preserve">Natal </t>
  </si>
  <si>
    <t>ROLDAN Wilmar (COL)</t>
  </si>
  <si>
    <t>DIAZ Eduardo (COL)</t>
  </si>
  <si>
    <t xml:space="preserve">13 Jun 2014 - 16:00 </t>
  </si>
  <si>
    <t>Arena Fonte Nova</t>
  </si>
  <si>
    <t xml:space="preserve">Salvador </t>
  </si>
  <si>
    <t>Nicola RIZZOLI (ITA)</t>
  </si>
  <si>
    <t>Renato FAVERANI (ITA)</t>
  </si>
  <si>
    <t>Andrea STEFANI (ITA)</t>
  </si>
  <si>
    <t xml:space="preserve">13 Jun 2014 - 18:00 </t>
  </si>
  <si>
    <t>Arena Pantanal</t>
  </si>
  <si>
    <t xml:space="preserve">Cuiaba </t>
  </si>
  <si>
    <t>Noumandiez DOUE (CIV)</t>
  </si>
  <si>
    <t>YEO Songuifolo (CIV)</t>
  </si>
  <si>
    <t>BIRUMUSHAHU Jean Claude (BDI)</t>
  </si>
  <si>
    <t xml:space="preserve">14 Jun 2014 - 13:00 </t>
  </si>
  <si>
    <t>Estadio Mineirao</t>
  </si>
  <si>
    <t>GEIGER Mark (USA)</t>
  </si>
  <si>
    <t>HURD Sean (USA)</t>
  </si>
  <si>
    <t>FLETCHER Joe (CAN)</t>
  </si>
  <si>
    <t xml:space="preserve">14 Jun 2014 - 16:00 </t>
  </si>
  <si>
    <t>Estadio Castelao</t>
  </si>
  <si>
    <t xml:space="preserve">Fortaleza </t>
  </si>
  <si>
    <t>BRYCH Felix (GER)</t>
  </si>
  <si>
    <t>BORSCH Mark (GER)</t>
  </si>
  <si>
    <t>LUPP Stefan (GER)</t>
  </si>
  <si>
    <t xml:space="preserve">14 Jun 2014 - 18:00 </t>
  </si>
  <si>
    <t>Arena Amazonia</t>
  </si>
  <si>
    <t xml:space="preserve">Manaus </t>
  </si>
  <si>
    <t>Bjï¿½rn KUIPERS (NED)</t>
  </si>
  <si>
    <t>Sander VAN ROEKEL (NED)</t>
  </si>
  <si>
    <t>Erwin ZEINSTRA (NED)</t>
  </si>
  <si>
    <t xml:space="preserve">14 Jun 2014 - 22:00 </t>
  </si>
  <si>
    <t>Arena Pernambuco</t>
  </si>
  <si>
    <t>OSSES Enrique (CHI)</t>
  </si>
  <si>
    <t>ASTROZA Carlos (CHI)</t>
  </si>
  <si>
    <t>ROMAN Sergio (CHI)</t>
  </si>
  <si>
    <t xml:space="preserve">15 Jun 2014 - 13:00 </t>
  </si>
  <si>
    <t>Estadio Nacional</t>
  </si>
  <si>
    <t xml:space="preserve">Brasilia </t>
  </si>
  <si>
    <t>RASULOV Abduxamidullo (UZB)</t>
  </si>
  <si>
    <t xml:space="preserve">15 Jun 2014 - 16:00 </t>
  </si>
  <si>
    <t>Estadio Beira-Rio</t>
  </si>
  <si>
    <t>RICCI Sandro (BRA)</t>
  </si>
  <si>
    <t>DE CARVALHO Emerson (BRA)</t>
  </si>
  <si>
    <t>VAN GASSE Marcelo (BRA)</t>
  </si>
  <si>
    <t xml:space="preserve">15 Jun 2014 - 19:00 </t>
  </si>
  <si>
    <t>Estadio do Maracana</t>
  </si>
  <si>
    <t>rn"&gt;Bosnia and Herzegovina</t>
  </si>
  <si>
    <t>AGUILAR Joel (SLV)</t>
  </si>
  <si>
    <t>TORRES William (SLV)</t>
  </si>
  <si>
    <t>ZUMBA Juan (SLV)</t>
  </si>
  <si>
    <t>BIH</t>
  </si>
  <si>
    <t xml:space="preserve">16 Jun 2014 - 13:00 </t>
  </si>
  <si>
    <t>MAZIC Milorad (SRB)</t>
  </si>
  <si>
    <t>RISTIC Milovan (SRB)</t>
  </si>
  <si>
    <t>DJURDJEVIC Dalibor (SRB)</t>
  </si>
  <si>
    <t xml:space="preserve">16 Jun 2014 - 16:00 </t>
  </si>
  <si>
    <t>Arena da Baixada</t>
  </si>
  <si>
    <t>VERA Carlos (ECU)</t>
  </si>
  <si>
    <t>LESCANO Christian (ECU)</t>
  </si>
  <si>
    <t>ROMERO Byron (ECU)</t>
  </si>
  <si>
    <t xml:space="preserve">16 Jun 2014 - 19:00 </t>
  </si>
  <si>
    <t>ERIKSSON Jonas (SWE)</t>
  </si>
  <si>
    <t>KLASENIUS Mathias (SWE)</t>
  </si>
  <si>
    <t>WARNMARK Daniel (SWE)</t>
  </si>
  <si>
    <t xml:space="preserve">17 Jun 2014 - 13:00 </t>
  </si>
  <si>
    <t>QUINTERO Marcos (MEX)</t>
  </si>
  <si>
    <t xml:space="preserve">17 Jun 2014 - 16:00 </t>
  </si>
  <si>
    <t>Cï¿½neyt ï¿½AKIR (TUR)</t>
  </si>
  <si>
    <t>DURAN Bahattin (TUR)</t>
  </si>
  <si>
    <t>ONGUN Tarik (TUR)</t>
  </si>
  <si>
    <t xml:space="preserve">17 Jun 2014 - 18:00 </t>
  </si>
  <si>
    <t>PITANA Nestor (ARG)</t>
  </si>
  <si>
    <t>BELATTI Juan Pablo (ARG)</t>
  </si>
  <si>
    <t xml:space="preserve">18 Jun 2014 - 13:00 </t>
  </si>
  <si>
    <t>HAIMOUDI Djamel (ALG)</t>
  </si>
  <si>
    <t>ETCHIALI Abdelhak (ALG)</t>
  </si>
  <si>
    <t xml:space="preserve">18 Jun 2014 - 16:00 </t>
  </si>
  <si>
    <t xml:space="preserve">18 Jun 2014 - 18:00 </t>
  </si>
  <si>
    <t>PROENCA Pedro (POR)</t>
  </si>
  <si>
    <t>TRIGO Jose (POR)</t>
  </si>
  <si>
    <t xml:space="preserve">19 Jun 2014 - 13:00 </t>
  </si>
  <si>
    <t xml:space="preserve">19 Jun 2014 - 16:00 </t>
  </si>
  <si>
    <t>Carlos VELASCO CARBALLO (ESP)</t>
  </si>
  <si>
    <t>ALONSO FERNANDEZ Roberto (ESP)</t>
  </si>
  <si>
    <t xml:space="preserve">19 Jun 2014 - 19:00 </t>
  </si>
  <si>
    <t xml:space="preserve">20 Jun 2014 - 13:00 </t>
  </si>
  <si>
    <t xml:space="preserve">20 Jun 2014 - 16:00 </t>
  </si>
  <si>
    <t xml:space="preserve">20 Jun 2014 - 19:00 </t>
  </si>
  <si>
    <t>Ben WILLIAMS (AUS)</t>
  </si>
  <si>
    <t>CREAM Matthew (AUS)</t>
  </si>
  <si>
    <t>ANAZ Hakan (AUS)</t>
  </si>
  <si>
    <t xml:space="preserve">21 Jun 2014 - 13:00 </t>
  </si>
  <si>
    <t xml:space="preserve">21 Jun 2014 - 16:00 </t>
  </si>
  <si>
    <t xml:space="preserve">21 Jun 2014 - 18:00 </t>
  </si>
  <si>
    <t>Peter O'LEARY (NZL)</t>
  </si>
  <si>
    <t>RULE Mark (NZL)</t>
  </si>
  <si>
    <t xml:space="preserve">22 Jun 2014 - 13:00 </t>
  </si>
  <si>
    <t xml:space="preserve">22 Jun 2014 - 16:00 </t>
  </si>
  <si>
    <t xml:space="preserve">22 Jun 2014 - 18:00 </t>
  </si>
  <si>
    <t xml:space="preserve">23 Jun 2014 - 13:00 </t>
  </si>
  <si>
    <t>SHUKRALLA Nawaf (BHR)</t>
  </si>
  <si>
    <t>TULEFAT Yaser (BHR)</t>
  </si>
  <si>
    <t>SALEH Ebrahim (BHR)</t>
  </si>
  <si>
    <t>Bakary GASSAMA (GAM)</t>
  </si>
  <si>
    <t>KABANDA Felicien (RWA)</t>
  </si>
  <si>
    <t xml:space="preserve">23 Jun 2014 - 17:00 </t>
  </si>
  <si>
    <t xml:space="preserve">24 Jun 2014 - 13:00 </t>
  </si>
  <si>
    <t xml:space="preserve">24 Jun 2014 - 16:00 </t>
  </si>
  <si>
    <t xml:space="preserve">24 Jun 2014 - 17:00 </t>
  </si>
  <si>
    <t xml:space="preserve">25 Jun 2014 - 13:00 </t>
  </si>
  <si>
    <t xml:space="preserve">25 Jun 2014 - 16:00 </t>
  </si>
  <si>
    <t xml:space="preserve">25 Jun 2014 - 17:00 </t>
  </si>
  <si>
    <t xml:space="preserve">26 Jun 2014 - 13:00 </t>
  </si>
  <si>
    <t xml:space="preserve">26 Jun 2014 - 17:00 </t>
  </si>
  <si>
    <t xml:space="preserve">28 Jun 2014 - 13:00 </t>
  </si>
  <si>
    <t xml:space="preserve">28 Jun 2014 - 17:00 </t>
  </si>
  <si>
    <t xml:space="preserve">30 Jun 2014 - 13:00 </t>
  </si>
  <si>
    <t xml:space="preserve">30 Jun 2014 - 17:00 </t>
  </si>
  <si>
    <t xml:space="preserve">Germany win after extra time </t>
  </si>
  <si>
    <t xml:space="preserve">04 Jul 2014 - 17:00 </t>
  </si>
  <si>
    <t xml:space="preserve">04 Jul 2014 - 13:00 </t>
  </si>
  <si>
    <t xml:space="preserve">08 Jul 2014 - 17:00 </t>
  </si>
  <si>
    <t xml:space="preserve">12 Jul 2014 - 17:00 </t>
  </si>
  <si>
    <t>Play-off for third place</t>
  </si>
  <si>
    <t xml:space="preserve">13 Jul 2014 - 16:00 </t>
  </si>
  <si>
    <t xml:space="preserve">09 Jul 2014 - 17:00 </t>
  </si>
  <si>
    <t xml:space="preserve">Argentina win on penalties (2 - 4) </t>
  </si>
  <si>
    <t xml:space="preserve">05 Jul 2014 - 17:00 </t>
  </si>
  <si>
    <t xml:space="preserve">Netherlands win on penalties (4 - 3) </t>
  </si>
  <si>
    <t xml:space="preserve">05 Jul 2014 - 13:00 </t>
  </si>
  <si>
    <t xml:space="preserve">29 Jun 2014 - 13:00 </t>
  </si>
  <si>
    <t xml:space="preserve">29 Jun 2014 - 17:00 </t>
  </si>
  <si>
    <t xml:space="preserve">Costa Rica win on penalties (5 - 3) </t>
  </si>
  <si>
    <t xml:space="preserve">01 Jul 2014 - 13:00 </t>
  </si>
  <si>
    <t xml:space="preserve">01 Jul 2014 - 17:00 </t>
  </si>
  <si>
    <t>Unknown</t>
  </si>
  <si>
    <t>total goals</t>
  </si>
  <si>
    <t>Goal Difference</t>
  </si>
  <si>
    <t>Result</t>
  </si>
  <si>
    <t>Winner</t>
  </si>
  <si>
    <t>Grand Total</t>
  </si>
  <si>
    <t>Number of Matches</t>
  </si>
  <si>
    <t>Years</t>
  </si>
  <si>
    <t>Number of Goals</t>
  </si>
  <si>
    <t>Average of total goals</t>
  </si>
  <si>
    <t>years</t>
  </si>
  <si>
    <t>Row Labels</t>
  </si>
  <si>
    <t>Montevideo</t>
  </si>
  <si>
    <t>Belo Horizonte</t>
  </si>
  <si>
    <t>Rio De Janeiro</t>
  </si>
  <si>
    <t>Sao Paulo</t>
  </si>
  <si>
    <t>Guadalajara</t>
  </si>
  <si>
    <t>Leon</t>
  </si>
  <si>
    <t>Mexico City</t>
  </si>
  <si>
    <t>Munich</t>
  </si>
  <si>
    <t>Buenos Aires</t>
  </si>
  <si>
    <t>Boston</t>
  </si>
  <si>
    <t>Chicago</t>
  </si>
  <si>
    <t>Dallas</t>
  </si>
  <si>
    <t>Detroit</t>
  </si>
  <si>
    <t>Los Angeles</t>
  </si>
  <si>
    <t>New York/New Jersey</t>
  </si>
  <si>
    <t>Orlando</t>
  </si>
  <si>
    <t>San Francisco</t>
  </si>
  <si>
    <t>Washington Dc</t>
  </si>
  <si>
    <t>Johannesburg</t>
  </si>
  <si>
    <t>Number of matches</t>
  </si>
  <si>
    <t>Team</t>
  </si>
  <si>
    <t>Teams</t>
  </si>
  <si>
    <t>Times</t>
  </si>
  <si>
    <t>Team Name</t>
  </si>
  <si>
    <t>Team Goals</t>
  </si>
  <si>
    <t>Total Goals</t>
  </si>
  <si>
    <t>Number of Maches</t>
  </si>
  <si>
    <t>Average Goals per Match</t>
  </si>
  <si>
    <t>Average Attendance</t>
  </si>
  <si>
    <t>World_Cup_Matches[Year]</t>
  </si>
  <si>
    <t>World_Cup_Matches[Datetime]</t>
  </si>
  <si>
    <t>World_Cup_Matches[Stage]</t>
  </si>
  <si>
    <t>World_Cup_Matches[Stadium]</t>
  </si>
  <si>
    <t>World_Cup_Matches[City]</t>
  </si>
  <si>
    <t>World_Cup_Matches[Home Team Name]</t>
  </si>
  <si>
    <t>World_Cup_Matches[Home Team Goals]</t>
  </si>
  <si>
    <t>World_Cup_Matches[Away Team Goals]</t>
  </si>
  <si>
    <t>World_Cup_Matches[Away Team Name]</t>
  </si>
  <si>
    <t>World_Cup_Matches[Win conditions]</t>
  </si>
  <si>
    <t>World_Cup_Matches[Attendance]</t>
  </si>
  <si>
    <t>World_Cup_Matches[Half-time Home Goals]</t>
  </si>
  <si>
    <t>World_Cup_Matches[Half-time Away Goals]</t>
  </si>
  <si>
    <t>World_Cup_Matches[Referee]</t>
  </si>
  <si>
    <t>World_Cup_Matches[Assistant 1]</t>
  </si>
  <si>
    <t>World_Cup_Matches[Assistant 2]</t>
  </si>
  <si>
    <t>World_Cup_Matches[RoundID]</t>
  </si>
  <si>
    <t>World_Cup_Matches[MatchID]</t>
  </si>
  <si>
    <t>World_Cup_Matches[Home Team Initials]</t>
  </si>
  <si>
    <t>World_Cup_Matches[Away Team Initials]</t>
  </si>
  <si>
    <t>World_Cup_Matches[total goals]</t>
  </si>
  <si>
    <t>World_Cup_Matches[Goal Difference]</t>
  </si>
  <si>
    <t>World_Cup_Matches[Winner]</t>
  </si>
  <si>
    <t>World_Cup_Matches[Result]</t>
  </si>
  <si>
    <t>17 Jun 1994 - 19:30</t>
  </si>
  <si>
    <t>Draw</t>
  </si>
  <si>
    <t>17 Jun 1994 - 15:00</t>
  </si>
  <si>
    <t>Hime Win</t>
  </si>
  <si>
    <t>18 Jun 1994 - 11:30</t>
  </si>
  <si>
    <t>18 Jun 1994 - 16:00</t>
  </si>
  <si>
    <t>Away win</t>
  </si>
  <si>
    <t>18 Jun 1994 - 19:30</t>
  </si>
  <si>
    <t>19 Jun 1994 - 12:30</t>
  </si>
  <si>
    <t>19 Jun 1994 - 16:00</t>
  </si>
  <si>
    <t>19 Jun 1994 - 19:30</t>
  </si>
  <si>
    <t>20 Jun 1994 - 19:30</t>
  </si>
  <si>
    <t>20 Jun 1994 - 16:00</t>
  </si>
  <si>
    <t>21 Jun 1994 - 12:30</t>
  </si>
  <si>
    <t>21 Jun 1994 - 19:30</t>
  </si>
  <si>
    <t>21 Jun 1994 - 16:00</t>
  </si>
  <si>
    <t>22 Jun 1994 - 16:00</t>
  </si>
  <si>
    <t>22 Jun 1994 - 19:30</t>
  </si>
  <si>
    <t>23 Jun 1994 - 16:00</t>
  </si>
  <si>
    <t>23 Jun 1994 - 19:30</t>
  </si>
  <si>
    <t>24 Jun 1994 - 12:30</t>
  </si>
  <si>
    <t>24 Jun 1994 - 19:30</t>
  </si>
  <si>
    <t>24 Jun 1994 - 16:00</t>
  </si>
  <si>
    <t>25 Jun 1994 - 12:30</t>
  </si>
  <si>
    <t>25 Jun 1994 - 16:00</t>
  </si>
  <si>
    <t>26 Jun 1994 - 12:30</t>
  </si>
  <si>
    <t>26 Jun 1994 - 16:00</t>
  </si>
  <si>
    <t>27 Jun 1994 - 16:00</t>
  </si>
  <si>
    <t>28 Jun 1994 - 12:30</t>
  </si>
  <si>
    <t>28 Jun 1994 - 16:00</t>
  </si>
  <si>
    <t>29 Jun 1994 - 12:30</t>
  </si>
  <si>
    <t>30 Jun 1994 - 19:30</t>
  </si>
  <si>
    <t>02 Jul 1994 - 12:00</t>
  </si>
  <si>
    <t>02 Jul 1994 - 16:30</t>
  </si>
  <si>
    <t>03 Jul 1994 - 12:00</t>
  </si>
  <si>
    <t>03 Jul 1994 - 13:30</t>
  </si>
  <si>
    <t>04 Jul 1994 - 12:00</t>
  </si>
  <si>
    <t>04 Jul 1994 - 12:30</t>
  </si>
  <si>
    <t>05 Jul 1994 - 13:00</t>
  </si>
  <si>
    <t>Italy win after extra time</t>
  </si>
  <si>
    <t>05 Jul 1994 - 16:30</t>
  </si>
  <si>
    <t>Bulgaria win on penalties (1 - 3)</t>
  </si>
  <si>
    <t>09 Jul 1994 - 12:00</t>
  </si>
  <si>
    <t>09 Jul 1994 - 14:30</t>
  </si>
  <si>
    <t>10 Jul 1994 - 12:00</t>
  </si>
  <si>
    <t>10 Jul 1994 - 12:30</t>
  </si>
  <si>
    <t>Sweden win on penalties (4 - 5)</t>
  </si>
  <si>
    <t>13 Jul 1994 - 16:00</t>
  </si>
  <si>
    <t>13 Jul 1994 - 16:30</t>
  </si>
  <si>
    <t>16 Jul 1994 - 12:30</t>
  </si>
  <si>
    <t>17 Jul 1994 - 12:30</t>
  </si>
  <si>
    <t>Brazil win on penalties (3 - 2)</t>
  </si>
  <si>
    <t>Data returned for Attendance, 1994 (First 1000 rows).</t>
  </si>
  <si>
    <t>Sum of Goals</t>
  </si>
  <si>
    <t>Avarege of goals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</si>
</sst>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_(* \(#,##0.00\);_(* &quot;-&quot;??_);_(@_)"/>
    <numFmt numFmtId="164" formatCode="0.0"/>
    <numFmt numFmtId="174" formatCode="_(* #,##0_);_(* \(#,##0\);_(* &quot;-&quot;??_);_(@_)"/>
  </numFmts>
  <fonts count="4" x14ac:knownFonts="1">
    <font>
      <sz val="10"/>
      <name val="Arial"/>
      <family val="2"/>
    </font>
    <font>
      <sz val="10"/>
      <color theme="0"/>
      <name val="Arial"/>
      <family val="2"/>
    </font>
    <font>
      <sz val="10"/>
      <name val="Arial"/>
      <family val="2"/>
    </font>
    <font>
      <b/>
      <sz val="10"/>
      <name val="Arial"/>
      <family val="2"/>
    </font>
  </fonts>
  <fills count="3">
    <fill>
      <patternFill patternType="none"/>
    </fill>
    <fill>
      <patternFill patternType="gray125"/>
    </fill>
    <fill>
      <patternFill patternType="solid">
        <fgColor rgb="FF00206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s>
  <cellStyleXfs count="2">
    <xf numFmtId="0" fontId="0" fillId="0" borderId="0"/>
    <xf numFmtId="43" fontId="2" fillId="0" borderId="0" applyFont="0" applyFill="0" applyBorder="0" applyAlignment="0" applyProtection="0"/>
  </cellStyleXfs>
  <cellXfs count="39">
    <xf numFmtId="0" fontId="0" fillId="0" borderId="0" xfId="0"/>
    <xf numFmtId="0" fontId="1" fillId="2" borderId="3" xfId="0" applyFont="1" applyFill="1" applyBorder="1" applyAlignment="1">
      <alignment horizontal="center"/>
    </xf>
    <xf numFmtId="0" fontId="1" fillId="2" borderId="4" xfId="0" applyFont="1" applyFill="1" applyBorder="1" applyAlignment="1">
      <alignment horizontal="center"/>
    </xf>
    <xf numFmtId="0" fontId="0" fillId="0" borderId="1" xfId="0" applyBorder="1" applyAlignment="1">
      <alignment horizontal="center"/>
    </xf>
    <xf numFmtId="0" fontId="0" fillId="0" borderId="6" xfId="0" applyBorder="1" applyAlignment="1">
      <alignment horizontal="center"/>
    </xf>
    <xf numFmtId="0" fontId="0" fillId="0" borderId="0" xfId="0"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164" fontId="0" fillId="0" borderId="1" xfId="0" applyNumberFormat="1" applyBorder="1" applyAlignment="1">
      <alignment horizontal="center"/>
    </xf>
    <xf numFmtId="1" fontId="1" fillId="2" borderId="3" xfId="0" applyNumberFormat="1" applyFont="1" applyFill="1" applyBorder="1" applyAlignment="1">
      <alignment horizontal="center"/>
    </xf>
    <xf numFmtId="1" fontId="0" fillId="0" borderId="1" xfId="0" applyNumberFormat="1" applyBorder="1" applyAlignment="1">
      <alignment horizontal="center"/>
    </xf>
    <xf numFmtId="1" fontId="0" fillId="0" borderId="8" xfId="0" applyNumberFormat="1" applyBorder="1" applyAlignment="1">
      <alignment horizontal="center"/>
    </xf>
    <xf numFmtId="1" fontId="0" fillId="0" borderId="0" xfId="0" applyNumberFormat="1" applyAlignment="1">
      <alignment horizontal="center"/>
    </xf>
    <xf numFmtId="14" fontId="1" fillId="2" borderId="3" xfId="0" applyNumberFormat="1" applyFont="1" applyFill="1" applyBorder="1" applyAlignment="1">
      <alignment horizontal="center"/>
    </xf>
    <xf numFmtId="14" fontId="0" fillId="0" borderId="1" xfId="0" applyNumberFormat="1" applyBorder="1" applyAlignment="1">
      <alignment horizontal="center"/>
    </xf>
    <xf numFmtId="14" fontId="0" fillId="0" borderId="8" xfId="0" applyNumberFormat="1" applyBorder="1" applyAlignment="1">
      <alignment horizontal="center"/>
    </xf>
    <xf numFmtId="14" fontId="0" fillId="0" borderId="0" xfId="0" applyNumberFormat="1" applyAlignment="1">
      <alignment horizontal="center"/>
    </xf>
    <xf numFmtId="1" fontId="1" fillId="2" borderId="2" xfId="0" applyNumberFormat="1" applyFont="1" applyFill="1" applyBorder="1" applyAlignment="1">
      <alignment horizontal="center"/>
    </xf>
    <xf numFmtId="1" fontId="0" fillId="0" borderId="5" xfId="0" applyNumberFormat="1" applyBorder="1" applyAlignment="1">
      <alignment horizontal="center"/>
    </xf>
    <xf numFmtId="1" fontId="0" fillId="0" borderId="7" xfId="0" applyNumberFormat="1" applyBorder="1" applyAlignment="1">
      <alignment horizontal="center"/>
    </xf>
    <xf numFmtId="0" fontId="0" fillId="0" borderId="10" xfId="0" applyBorder="1" applyAlignment="1">
      <alignment horizontal="center"/>
    </xf>
    <xf numFmtId="0" fontId="1" fillId="0" borderId="0" xfId="0" applyFont="1" applyAlignment="1">
      <alignment horizontal="center"/>
    </xf>
    <xf numFmtId="0" fontId="0" fillId="0" borderId="1" xfId="0" pivotButton="1" applyBorder="1" applyAlignment="1">
      <alignment horizontal="center"/>
    </xf>
    <xf numFmtId="164" fontId="0" fillId="0" borderId="0" xfId="0" applyNumberFormat="1"/>
    <xf numFmtId="2" fontId="0" fillId="0" borderId="0" xfId="0" applyNumberFormat="1"/>
    <xf numFmtId="2" fontId="0" fillId="0" borderId="1" xfId="0" applyNumberFormat="1" applyBorder="1" applyAlignment="1">
      <alignment horizontal="center"/>
    </xf>
    <xf numFmtId="0" fontId="0" fillId="0" borderId="1" xfId="0" applyNumberFormat="1" applyBorder="1" applyAlignment="1">
      <alignment horizontal="center"/>
    </xf>
    <xf numFmtId="0" fontId="0" fillId="0" borderId="5" xfId="0" applyBorder="1" applyAlignment="1">
      <alignment horizontal="center"/>
    </xf>
    <xf numFmtId="1" fontId="0" fillId="0" borderId="0" xfId="0" applyNumberFormat="1"/>
    <xf numFmtId="0" fontId="0" fillId="0" borderId="0" xfId="0" applyBorder="1"/>
    <xf numFmtId="1" fontId="0" fillId="0" borderId="0" xfId="0" applyNumberFormat="1" applyBorder="1" applyAlignment="1">
      <alignment horizontal="center"/>
    </xf>
    <xf numFmtId="0" fontId="1" fillId="2" borderId="2" xfId="0" applyFont="1" applyFill="1" applyBorder="1" applyAlignment="1">
      <alignment horizontal="center"/>
    </xf>
    <xf numFmtId="1" fontId="1" fillId="2" borderId="4" xfId="0" applyNumberFormat="1" applyFont="1" applyFill="1" applyBorder="1" applyAlignment="1">
      <alignment horizontal="center"/>
    </xf>
    <xf numFmtId="1" fontId="0" fillId="0" borderId="6" xfId="0" applyNumberFormat="1" applyBorder="1" applyAlignment="1">
      <alignment horizontal="center"/>
    </xf>
    <xf numFmtId="1" fontId="0" fillId="0" borderId="9" xfId="0" applyNumberFormat="1" applyBorder="1" applyAlignment="1">
      <alignment horizontal="center"/>
    </xf>
    <xf numFmtId="174" fontId="0" fillId="0" borderId="0" xfId="1" applyNumberFormat="1" applyFont="1"/>
    <xf numFmtId="0" fontId="3" fillId="0" borderId="0" xfId="0" applyFont="1"/>
    <xf numFmtId="174" fontId="0" fillId="0" borderId="1" xfId="0" applyNumberFormat="1" applyBorder="1" applyAlignment="1">
      <alignment horizontal="center"/>
    </xf>
  </cellXfs>
  <cellStyles count="2">
    <cellStyle name="Comma" xfId="1" builtinId="3"/>
    <cellStyle name="Normal" xfId="0" builtinId="0"/>
  </cellStyles>
  <dxfs count="187">
    <dxf>
      <numFmt numFmtId="1" formatCode="0"/>
      <alignment horizontal="center" vertical="bottom" textRotation="0" wrapText="0" indent="0" justifyLastLine="0" shrinkToFit="0" readingOrder="0"/>
      <border diagonalUp="0" diagonalDown="0" outline="0">
        <left style="thin">
          <color indexed="64"/>
        </left>
        <right/>
        <top style="thin">
          <color indexed="64"/>
        </top>
        <bottom/>
      </border>
    </dxf>
    <dxf>
      <alignment horizontal="center" vertical="bottom" textRotation="0" wrapText="0" indent="0" justifyLastLine="0" shrinkToFit="0" readingOrder="0"/>
      <border diagonalUp="0" diagonalDown="0" outline="0">
        <left/>
        <right style="thin">
          <color indexed="64"/>
        </right>
        <top style="thin">
          <color indexed="64"/>
        </top>
        <bottom/>
      </border>
    </dxf>
    <dxf>
      <border>
        <left style="thin">
          <color auto="1"/>
        </left>
        <right style="thin">
          <color auto="1"/>
        </right>
        <top style="thin">
          <color auto="1"/>
        </top>
        <bottom style="thin">
          <color auto="1"/>
        </bottom>
      </border>
    </dxf>
    <dxf>
      <fill>
        <patternFill>
          <bgColor theme="0"/>
        </patternFill>
      </fill>
    </dxf>
    <dxf>
      <fill>
        <patternFill patternType="solid">
          <fgColor rgb="FF002060"/>
        </patternFill>
      </fill>
    </dxf>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4" formatCode="_(* #,##0_);_(* \(#,##0\);_(* &quot;-&quot;??_);_(@_)"/>
    </dxf>
    <dxf>
      <numFmt numFmtId="17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numFmt numFmtId="164" formatCode="0.0"/>
    </dxf>
    <dxf>
      <numFmt numFmtId="164"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ill>
        <patternFill>
          <bgColor rgb="FF002060"/>
        </patternFill>
      </fill>
    </dxf>
    <dxf>
      <font>
        <color rgb="FF9C0006"/>
      </font>
      <fill>
        <patternFill>
          <bgColor rgb="FFFFC7CE"/>
        </patternFill>
      </fill>
    </dxf>
    <dxf>
      <font>
        <color rgb="FF006100"/>
      </font>
      <fill>
        <patternFill>
          <bgColor rgb="FFC6EFCE"/>
        </patternFill>
      </fill>
    </dxf>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outline="0">
        <left/>
        <right/>
        <top style="thin">
          <color indexed="64"/>
        </top>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right style="thin">
          <color indexed="64"/>
        </right>
        <top style="thin">
          <color indexed="64"/>
        </top>
        <bottom/>
      </border>
    </dxf>
    <dxf>
      <alignment horizontal="center" vertical="bottom" textRotation="0" wrapText="0" indent="0" justifyLastLine="0" shrinkToFit="0" readingOrder="0"/>
      <border diagonalUp="0" diagonalDown="0" outline="0">
        <left/>
        <right/>
        <top style="thin">
          <color indexed="64"/>
        </top>
        <bottom/>
      </border>
    </dxf>
    <dxf>
      <alignment horizontal="center" vertical="bottom" textRotation="0" wrapText="0" indent="0" justifyLastLine="0" shrinkToFit="0" readingOrder="0"/>
      <border diagonalUp="0" diagonalDown="0" outline="0">
        <left/>
        <right style="thin">
          <color indexed="64"/>
        </right>
        <top style="thin">
          <color indexed="64"/>
        </top>
        <bottom/>
      </border>
    </dxf>
    <dxf>
      <alignment horizontal="center" vertical="bottom" textRotation="0" wrapText="0" indent="0" justifyLastLine="0" shrinkToFit="0" readingOrder="0"/>
      <border diagonalUp="0" diagonalDown="0" outline="0">
        <left/>
        <right style="thin">
          <color indexed="64"/>
        </right>
        <top style="thin">
          <color indexed="64"/>
        </top>
        <bottom/>
      </border>
    </dxf>
    <dxf>
      <alignment horizontal="center" vertical="bottom" textRotation="0" wrapText="0" indent="0" justifyLastLine="0" shrinkToFit="0" readingOrder="0"/>
      <border diagonalUp="0" diagonalDown="0" outline="0">
        <left/>
        <right style="thin">
          <color indexed="64"/>
        </right>
        <top style="thin">
          <color indexed="64"/>
        </top>
        <bottom/>
      </border>
    </dxf>
    <dxf>
      <alignment horizontal="center" vertical="bottom" textRotation="0" wrapText="0" indent="0" justifyLastLine="0" shrinkToFit="0" readingOrder="0"/>
      <border diagonalUp="0" diagonalDown="0" outline="0">
        <left/>
        <right style="thin">
          <color indexed="64"/>
        </right>
        <top style="thin">
          <color indexed="64"/>
        </top>
        <bottom/>
      </border>
    </dxf>
    <dxf>
      <alignment horizontal="center" vertical="bottom" textRotation="0" wrapText="0" indent="0" justifyLastLine="0" shrinkToFit="0" readingOrder="0"/>
      <border diagonalUp="0" diagonalDown="0" outline="0">
        <left/>
        <right style="thin">
          <color indexed="64"/>
        </right>
        <top style="thin">
          <color indexed="64"/>
        </top>
        <bottom/>
      </border>
    </dxf>
    <dxf>
      <alignment horizontal="center" vertical="bottom" textRotation="0" wrapText="0" indent="0" justifyLastLine="0" shrinkToFit="0" readingOrder="0"/>
      <border diagonalUp="0" diagonalDown="0" outline="0">
        <left/>
        <right style="thin">
          <color indexed="64"/>
        </right>
        <top style="thin">
          <color indexed="64"/>
        </top>
        <bottom/>
      </border>
    </dxf>
    <dxf>
      <alignment horizontal="center" vertical="bottom" textRotation="0" wrapText="0" indent="0" justifyLastLine="0" shrinkToFit="0" readingOrder="0"/>
      <border diagonalUp="0" diagonalDown="0" outline="0">
        <left/>
        <right style="thin">
          <color indexed="64"/>
        </right>
        <top style="thin">
          <color indexed="64"/>
        </top>
        <bottom/>
      </border>
    </dxf>
    <dxf>
      <alignment horizontal="center" vertical="bottom" textRotation="0" wrapText="0" indent="0" justifyLastLine="0" shrinkToFit="0" readingOrder="0"/>
      <border diagonalUp="0" diagonalDown="0" outline="0">
        <left/>
        <right style="thin">
          <color indexed="64"/>
        </right>
        <top style="thin">
          <color indexed="64"/>
        </top>
        <bottom/>
      </border>
    </dxf>
    <dxf>
      <alignment horizontal="center" vertical="bottom" textRotation="0" wrapText="0" indent="0" justifyLastLine="0" shrinkToFit="0" readingOrder="0"/>
      <border diagonalUp="0" diagonalDown="0" outline="0">
        <left/>
        <right style="thin">
          <color indexed="64"/>
        </right>
        <top style="thin">
          <color indexed="64"/>
        </top>
        <bottom/>
      </border>
    </dxf>
    <dxf>
      <alignment horizontal="center" vertical="bottom" textRotation="0" wrapText="0" indent="0" justifyLastLine="0" shrinkToFit="0" readingOrder="0"/>
      <border diagonalUp="0" diagonalDown="0" outline="0">
        <left/>
        <right style="thin">
          <color indexed="64"/>
        </right>
        <top style="thin">
          <color indexed="64"/>
        </top>
        <bottom/>
      </border>
    </dxf>
    <dxf>
      <alignment horizontal="center" vertical="bottom" textRotation="0" wrapText="0" indent="0" justifyLastLine="0" shrinkToFit="0" readingOrder="0"/>
      <border diagonalUp="0" diagonalDown="0" outline="0">
        <left/>
        <right style="thin">
          <color indexed="64"/>
        </right>
        <top style="thin">
          <color indexed="64"/>
        </top>
        <bottom/>
      </border>
    </dxf>
    <dxf>
      <alignment horizontal="center" vertical="bottom" textRotation="0" wrapText="0" indent="0" justifyLastLine="0" shrinkToFit="0" readingOrder="0"/>
      <border diagonalUp="0" diagonalDown="0" outline="0">
        <left/>
        <right style="thin">
          <color indexed="64"/>
        </right>
        <top style="thin">
          <color indexed="64"/>
        </top>
        <bottom/>
      </border>
    </dxf>
    <dxf>
      <alignment horizontal="center" vertical="bottom" textRotation="0" wrapText="0" indent="0" justifyLastLine="0" shrinkToFit="0" readingOrder="0"/>
      <border diagonalUp="0" diagonalDown="0" outline="0">
        <left/>
        <right style="thin">
          <color indexed="64"/>
        </right>
        <top style="thin">
          <color indexed="64"/>
        </top>
        <bottom/>
      </border>
    </dxf>
    <dxf>
      <alignment horizontal="center" vertical="bottom" textRotation="0" wrapText="0" indent="0" justifyLastLine="0" shrinkToFit="0" readingOrder="0"/>
      <border diagonalUp="0" diagonalDown="0" outline="0">
        <left/>
        <right style="thin">
          <color indexed="64"/>
        </right>
        <top style="thin">
          <color indexed="64"/>
        </top>
        <bottom/>
      </border>
    </dxf>
    <dxf>
      <alignment horizontal="center" vertical="bottom" textRotation="0" wrapText="0" indent="0" justifyLastLine="0" shrinkToFit="0" readingOrder="0"/>
      <border diagonalUp="0" diagonalDown="0" outline="0">
        <left/>
        <right style="thin">
          <color indexed="64"/>
        </right>
        <top style="thin">
          <color indexed="64"/>
        </top>
        <bottom/>
      </border>
    </dxf>
    <dxf>
      <alignment horizontal="center" vertical="bottom" textRotation="0" wrapText="0" indent="0" justifyLastLine="0" shrinkToFit="0" readingOrder="0"/>
      <border diagonalUp="0" diagonalDown="0" outline="0">
        <left/>
        <right style="thin">
          <color indexed="64"/>
        </right>
        <top style="thin">
          <color indexed="64"/>
        </top>
        <bottom/>
      </border>
    </dxf>
    <dxf>
      <alignment horizontal="center" vertical="bottom" textRotation="0" wrapText="0" indent="0" justifyLastLine="0" shrinkToFit="0" readingOrder="0"/>
      <border diagonalUp="0" diagonalDown="0" outline="0">
        <left/>
        <right style="thin">
          <color indexed="64"/>
        </right>
        <top style="thin">
          <color indexed="64"/>
        </top>
        <bottom/>
      </border>
    </dxf>
    <dxf>
      <numFmt numFmtId="19" formatCode="m/d/yyyy"/>
      <alignment horizontal="center" vertical="bottom" textRotation="0" wrapText="0" indent="0" justifyLastLine="0" shrinkToFit="0" readingOrder="0"/>
      <border diagonalUp="0" diagonalDown="0" outline="0">
        <left/>
        <right style="thin">
          <color indexed="64"/>
        </right>
        <top style="thin">
          <color indexed="64"/>
        </top>
        <bottom/>
      </border>
    </dxf>
    <dxf>
      <numFmt numFmtId="1" formatCode="0"/>
      <alignment horizontal="center" vertical="bottom" textRotation="0" wrapText="0" indent="0" justifyLastLine="0" shrinkToFit="0" readingOrder="0"/>
      <border diagonalUp="0" diagonalDown="0" outline="0">
        <left/>
        <right style="thin">
          <color indexed="64"/>
        </right>
        <top style="thin">
          <color indexed="64"/>
        </top>
        <bottom/>
      </border>
    </dxf>
    <dxf>
      <numFmt numFmtId="1" formatCode="0"/>
      <alignment horizontal="center" vertical="bottom" textRotation="0" wrapText="0" indent="0" justifyLastLine="0" shrinkToFit="0" readingOrder="0"/>
      <border diagonalUp="0" diagonalDown="0">
        <left style="thin">
          <color indexed="64"/>
        </left>
        <right/>
        <top style="thin">
          <color indexed="64"/>
        </top>
        <bottom/>
        <vertical/>
        <horizontal/>
      </border>
    </dxf>
    <dxf>
      <alignment horizontal="center" vertical="bottom" textRotation="0" wrapText="0" indent="0" justifyLastLine="0" shrinkToFit="0" readingOrder="0"/>
      <border diagonalUp="0" diagonalDown="0">
        <left/>
        <right style="thin">
          <color indexed="64"/>
        </right>
        <top style="thin">
          <color indexed="64"/>
        </top>
        <bottom/>
        <vertical/>
        <horizontal/>
      </border>
    </dxf>
    <dxf>
      <border outline="0">
        <top style="thin">
          <color indexed="64"/>
        </top>
      </border>
    </dxf>
    <dxf>
      <border outline="0">
        <bottom style="thin">
          <color indexed="64"/>
        </bottom>
      </border>
    </dxf>
    <dxf>
      <border outline="0">
        <left style="thin">
          <color indexed="64"/>
        </left>
        <right style="thin">
          <color indexed="64"/>
        </right>
        <bottom style="thin">
          <color indexed="64"/>
        </bottom>
      </bord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auto="1"/>
        <name val="Arial"/>
        <family val="2"/>
        <scheme val="none"/>
      </font>
      <numFmt numFmtId="0" formatCode="Genera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numFmt numFmtId="1" formatCode="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alignment horizontal="center" vertical="bottom" textRotation="0" wrapText="0" indent="0" justifyLastLine="0" shrinkToFit="0" readingOrder="0"/>
    </dxf>
    <dxf>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 formatCode="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 formatCode="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 formatCode="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 formatCode="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 formatCode="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 formatCode="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m/d/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1" formatCode="0"/>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bottom style="thin">
          <color indexed="64"/>
        </bottom>
      </border>
    </dxf>
    <dxf>
      <font>
        <strike val="0"/>
        <outline val="0"/>
        <shadow val="0"/>
        <u val="none"/>
        <vertAlign val="baseline"/>
        <sz val="10"/>
        <color theme="0"/>
        <name val="Arial"/>
        <family val="2"/>
        <scheme val="none"/>
      </font>
      <fill>
        <patternFill patternType="solid">
          <fgColor indexed="64"/>
          <bgColor rgb="FF002060"/>
        </patternFill>
      </fill>
      <alignment horizontal="center" vertical="bottom" textRotation="0" wrapText="0" indent="0" justifyLastLine="0" shrinkToFit="0" readingOrder="0"/>
      <border diagonalUp="0" diagonalDown="0" outline="0">
        <left style="thin">
          <color indexed="64"/>
        </left>
        <right style="thin">
          <color indexed="64"/>
        </right>
        <top/>
        <bottom/>
      </border>
    </dxf>
  </dxfs>
  <tableStyles count="5" defaultTableStyle="TableStyleMedium2" defaultPivotStyle="PivotStyleLight16">
    <tableStyle name="Slicer Style 1" pivot="0" table="0" count="1" xr9:uid="{E48DF5D2-70A5-4048-BEC8-1B52388472F3}">
      <tableStyleElement type="wholeTable" dxfId="60"/>
    </tableStyle>
    <tableStyle name="Slicer Style 2" pivot="0" table="0" count="2" xr9:uid="{49FE65F6-8779-48E5-A1B3-F5DA66945EA4}">
      <tableStyleElement type="wholeTable" dxfId="4"/>
      <tableStyleElement type="headerRow" dxfId="3"/>
    </tableStyle>
    <tableStyle name="Slicer Style 3" pivot="0" table="0" count="0" xr9:uid="{FD536DD0-7291-4E5B-8F91-F3C19835D153}"/>
    <tableStyle name="Slicer Style 4" pivot="0" table="0" count="1" xr9:uid="{4ABFE0EF-98FF-4B72-B6F7-8D55D7F3ADCE}">
      <tableStyleElement type="wholeTable" dxfId="2"/>
    </tableStyle>
    <tableStyle name="Slicer Style 5" pivot="0" table="0" count="1" xr9:uid="{3112292F-4C2B-41F1-8652-8AB66B930D3B}"/>
  </tableStyles>
  <extLst>
    <ext xmlns:x14="http://schemas.microsoft.com/office/spreadsheetml/2009/9/main" uri="{46F421CA-312F-682f-3DD2-61675219B42D}">
      <x14:dxfs count="1">
        <dxf>
          <fill>
            <patternFill>
              <bgColor theme="0"/>
            </patternFill>
          </fill>
        </dxf>
      </x14:dxfs>
    </ext>
    <ext xmlns:x14="http://schemas.microsoft.com/office/spreadsheetml/2009/9/main" uri="{EB79DEF2-80B8-43e5-95BD-54CBDDF9020C}">
      <x14:slicerStyles defaultSlicerStyle="Slicer Style 3">
        <x14:slicerStyle name="Slicer Style 1"/>
        <x14:slicerStyle name="Slicer Style 2"/>
        <x14:slicerStyle name="Slicer Style 3"/>
        <x14:slicerStyle name="Slicer Style 4"/>
        <x14:slicerStyle name="Slicer Style 5">
          <x14:slicerStyleElements>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5.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pivotCacheDefinition" Target="pivotCache/pivotCacheDefinition8.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4.xml"/><Relationship Id="rId25"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0" Type="http://schemas.openxmlformats.org/officeDocument/2006/relationships/pivotCacheDefinition" Target="pivotCache/pivotCacheDefinition7.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microsoft.com/office/2007/relationships/slicerCache" Target="slicerCaches/slicerCache1.xml"/><Relationship Id="rId28" Type="http://schemas.openxmlformats.org/officeDocument/2006/relationships/powerPivotData" Target="model/item.data"/><Relationship Id="rId10" Type="http://schemas.openxmlformats.org/officeDocument/2006/relationships/worksheet" Target="worksheets/sheet10.xml"/><Relationship Id="rId19" Type="http://schemas.openxmlformats.org/officeDocument/2006/relationships/pivotCacheDefinition" Target="pivotCache/pivotCacheDefinition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pivotCacheDefinition" Target="pivotCache/pivotCacheDefinition9.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[WorldCupMatches.xlsx]Number of Matches!Number of Matches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 of Matches by World Cup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'Number of Matches'!$B$3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'Number of Matches'!$A$4:$A$24</c:f>
              <c:strCache>
                <c:ptCount val="20"/>
                <c:pt idx="0">
                  <c:v>1930</c:v>
                </c:pt>
                <c:pt idx="1">
                  <c:v>1934</c:v>
                </c:pt>
                <c:pt idx="2">
                  <c:v>1938</c:v>
                </c:pt>
                <c:pt idx="3">
                  <c:v>1950</c:v>
                </c:pt>
                <c:pt idx="4">
                  <c:v>1954</c:v>
                </c:pt>
                <c:pt idx="5">
                  <c:v>1958</c:v>
                </c:pt>
                <c:pt idx="6">
                  <c:v>1962</c:v>
                </c:pt>
                <c:pt idx="7">
                  <c:v>1966</c:v>
                </c:pt>
                <c:pt idx="8">
                  <c:v>1970</c:v>
                </c:pt>
                <c:pt idx="9">
                  <c:v>1974</c:v>
                </c:pt>
                <c:pt idx="10">
                  <c:v>1978</c:v>
                </c:pt>
                <c:pt idx="11">
                  <c:v>1982</c:v>
                </c:pt>
                <c:pt idx="12">
                  <c:v>1986</c:v>
                </c:pt>
                <c:pt idx="13">
                  <c:v>1990</c:v>
                </c:pt>
                <c:pt idx="14">
                  <c:v>1994</c:v>
                </c:pt>
                <c:pt idx="15">
                  <c:v>1998</c:v>
                </c:pt>
                <c:pt idx="16">
                  <c:v>2002</c:v>
                </c:pt>
                <c:pt idx="17">
                  <c:v>2006</c:v>
                </c:pt>
                <c:pt idx="18">
                  <c:v>2010</c:v>
                </c:pt>
                <c:pt idx="19">
                  <c:v>2014</c:v>
                </c:pt>
              </c:strCache>
            </c:strRef>
          </c:cat>
          <c:val>
            <c:numRef>
              <c:f>'Number of Matches'!$B$4:$B$24</c:f>
              <c:numCache>
                <c:formatCode>General</c:formatCode>
                <c:ptCount val="20"/>
                <c:pt idx="0">
                  <c:v>18</c:v>
                </c:pt>
                <c:pt idx="1">
                  <c:v>17</c:v>
                </c:pt>
                <c:pt idx="2">
                  <c:v>18</c:v>
                </c:pt>
                <c:pt idx="3">
                  <c:v>22</c:v>
                </c:pt>
                <c:pt idx="4">
                  <c:v>26</c:v>
                </c:pt>
                <c:pt idx="5">
                  <c:v>35</c:v>
                </c:pt>
                <c:pt idx="6">
                  <c:v>32</c:v>
                </c:pt>
                <c:pt idx="7">
                  <c:v>32</c:v>
                </c:pt>
                <c:pt idx="8">
                  <c:v>32</c:v>
                </c:pt>
                <c:pt idx="9">
                  <c:v>38</c:v>
                </c:pt>
                <c:pt idx="10">
                  <c:v>38</c:v>
                </c:pt>
                <c:pt idx="11">
                  <c:v>52</c:v>
                </c:pt>
                <c:pt idx="12">
                  <c:v>52</c:v>
                </c:pt>
                <c:pt idx="13">
                  <c:v>52</c:v>
                </c:pt>
                <c:pt idx="14">
                  <c:v>52</c:v>
                </c:pt>
                <c:pt idx="15">
                  <c:v>64</c:v>
                </c:pt>
                <c:pt idx="16">
                  <c:v>64</c:v>
                </c:pt>
                <c:pt idx="17">
                  <c:v>64</c:v>
                </c:pt>
                <c:pt idx="18">
                  <c:v>64</c:v>
                </c:pt>
                <c:pt idx="19">
                  <c:v>80</c:v>
                </c:pt>
              </c:numCache>
            </c:numRef>
          </c:val>
          <c:extLst>
            <c:ext xmlns:c16="http://schemas.microsoft.com/office/drawing/2014/chart" uri="{C3380CC4-5D6E-409C-BE32-E72D297353CC}">
              <c16:uniqueId val="{00000000-1FCC-4D72-8115-C8DCE5582DA0}"/>
            </c:ext>
          </c:extLst>
        </c:ser>
        <c:dLbls>
          <c:dLblPos val="outEnd"/>
          <c:showLegendKey val="0"/>
          <c:showVal val="1"/>
          <c:showCatName val="0"/>
          <c:showSerName val="0"/>
          <c:showPercent val="0"/>
          <c:showBubbleSize val="0"/>
        </c:dLbls>
        <c:gapWidth val="219"/>
        <c:overlap val="-27"/>
        <c:axId val="99950831"/>
        <c:axId val="99933071"/>
      </c:barChart>
      <c:catAx>
        <c:axId val="99950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933071"/>
        <c:crosses val="autoZero"/>
        <c:auto val="1"/>
        <c:lblAlgn val="ctr"/>
        <c:lblOffset val="100"/>
        <c:noMultiLvlLbl val="0"/>
      </c:catAx>
      <c:valAx>
        <c:axId val="999330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950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[WorldCupMatches.xlsx]Number of Goals!Number of Goals</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Goals by FIFA World Cup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'Number of Goals'!$B$3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'Number of Goals'!$A$4:$A$24</c:f>
              <c:strCache>
                <c:ptCount val="20"/>
                <c:pt idx="0">
                  <c:v>1930</c:v>
                </c:pt>
                <c:pt idx="1">
                  <c:v>1934</c:v>
                </c:pt>
                <c:pt idx="2">
                  <c:v>1938</c:v>
                </c:pt>
                <c:pt idx="3">
                  <c:v>1950</c:v>
                </c:pt>
                <c:pt idx="4">
                  <c:v>1954</c:v>
                </c:pt>
                <c:pt idx="5">
                  <c:v>1958</c:v>
                </c:pt>
                <c:pt idx="6">
                  <c:v>1962</c:v>
                </c:pt>
                <c:pt idx="7">
                  <c:v>1966</c:v>
                </c:pt>
                <c:pt idx="8">
                  <c:v>1970</c:v>
                </c:pt>
                <c:pt idx="9">
                  <c:v>1974</c:v>
                </c:pt>
                <c:pt idx="10">
                  <c:v>1978</c:v>
                </c:pt>
                <c:pt idx="11">
                  <c:v>1982</c:v>
                </c:pt>
                <c:pt idx="12">
                  <c:v>1986</c:v>
                </c:pt>
                <c:pt idx="13">
                  <c:v>1990</c:v>
                </c:pt>
                <c:pt idx="14">
                  <c:v>1994</c:v>
                </c:pt>
                <c:pt idx="15">
                  <c:v>1998</c:v>
                </c:pt>
                <c:pt idx="16">
                  <c:v>2002</c:v>
                </c:pt>
                <c:pt idx="17">
                  <c:v>2006</c:v>
                </c:pt>
                <c:pt idx="18">
                  <c:v>2010</c:v>
                </c:pt>
                <c:pt idx="19">
                  <c:v>2014</c:v>
                </c:pt>
              </c:strCache>
            </c:strRef>
          </c:cat>
          <c:val>
            <c:numRef>
              <c:f>'Number of Goals'!$B$4:$B$24</c:f>
              <c:numCache>
                <c:formatCode>General</c:formatCode>
                <c:ptCount val="20"/>
                <c:pt idx="0">
                  <c:v>70</c:v>
                </c:pt>
                <c:pt idx="1">
                  <c:v>70</c:v>
                </c:pt>
                <c:pt idx="2">
                  <c:v>84</c:v>
                </c:pt>
                <c:pt idx="3">
                  <c:v>88</c:v>
                </c:pt>
                <c:pt idx="4">
                  <c:v>140</c:v>
                </c:pt>
                <c:pt idx="5">
                  <c:v>126</c:v>
                </c:pt>
                <c:pt idx="6">
                  <c:v>89</c:v>
                </c:pt>
                <c:pt idx="7">
                  <c:v>89</c:v>
                </c:pt>
                <c:pt idx="8">
                  <c:v>95</c:v>
                </c:pt>
                <c:pt idx="9">
                  <c:v>97</c:v>
                </c:pt>
                <c:pt idx="10">
                  <c:v>102</c:v>
                </c:pt>
                <c:pt idx="11">
                  <c:v>146</c:v>
                </c:pt>
                <c:pt idx="12">
                  <c:v>132</c:v>
                </c:pt>
                <c:pt idx="13">
                  <c:v>115</c:v>
                </c:pt>
                <c:pt idx="14">
                  <c:v>141</c:v>
                </c:pt>
                <c:pt idx="15">
                  <c:v>171</c:v>
                </c:pt>
                <c:pt idx="16">
                  <c:v>161</c:v>
                </c:pt>
                <c:pt idx="17">
                  <c:v>147</c:v>
                </c:pt>
                <c:pt idx="18">
                  <c:v>145</c:v>
                </c:pt>
                <c:pt idx="19">
                  <c:v>206</c:v>
                </c:pt>
              </c:numCache>
            </c:numRef>
          </c:val>
          <c:smooth val="0"/>
          <c:extLst>
            <c:ext xmlns:c16="http://schemas.microsoft.com/office/drawing/2014/chart" uri="{C3380CC4-5D6E-409C-BE32-E72D297353CC}">
              <c16:uniqueId val="{00000000-A7BE-492C-AC42-2AD1BDC25932}"/>
            </c:ext>
          </c:extLst>
        </c:ser>
        <c:dLbls>
          <c:dLblPos val="t"/>
          <c:showLegendKey val="0"/>
          <c:showVal val="1"/>
          <c:showCatName val="0"/>
          <c:showSerName val="0"/>
          <c:showPercent val="0"/>
          <c:showBubbleSize val="0"/>
        </c:dLbls>
        <c:marker val="1"/>
        <c:smooth val="0"/>
        <c:axId val="705555327"/>
        <c:axId val="705555807"/>
      </c:lineChart>
      <c:catAx>
        <c:axId val="7055553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5555807"/>
        <c:crosses val="autoZero"/>
        <c:auto val="1"/>
        <c:lblAlgn val="ctr"/>
        <c:lblOffset val="100"/>
        <c:noMultiLvlLbl val="0"/>
      </c:catAx>
      <c:valAx>
        <c:axId val="7055558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Goals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5555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[WorldCupMatches.xlsx]Average of Total Goals per Year!Avarage of goals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of Total Goals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'Average of Total Goals per Year'!$B$3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'Average of Total Goals per Year'!$A$4:$A$24</c:f>
              <c:strCache>
                <c:ptCount val="20"/>
                <c:pt idx="0">
                  <c:v>1930</c:v>
                </c:pt>
                <c:pt idx="1">
                  <c:v>1934</c:v>
                </c:pt>
                <c:pt idx="2">
                  <c:v>1938</c:v>
                </c:pt>
                <c:pt idx="3">
                  <c:v>1950</c:v>
                </c:pt>
                <c:pt idx="4">
                  <c:v>1954</c:v>
                </c:pt>
                <c:pt idx="5">
                  <c:v>1958</c:v>
                </c:pt>
                <c:pt idx="6">
                  <c:v>1962</c:v>
                </c:pt>
                <c:pt idx="7">
                  <c:v>1966</c:v>
                </c:pt>
                <c:pt idx="8">
                  <c:v>1970</c:v>
                </c:pt>
                <c:pt idx="9">
                  <c:v>1974</c:v>
                </c:pt>
                <c:pt idx="10">
                  <c:v>1978</c:v>
                </c:pt>
                <c:pt idx="11">
                  <c:v>1982</c:v>
                </c:pt>
                <c:pt idx="12">
                  <c:v>1986</c:v>
                </c:pt>
                <c:pt idx="13">
                  <c:v>1990</c:v>
                </c:pt>
                <c:pt idx="14">
                  <c:v>1994</c:v>
                </c:pt>
                <c:pt idx="15">
                  <c:v>1998</c:v>
                </c:pt>
                <c:pt idx="16">
                  <c:v>2002</c:v>
                </c:pt>
                <c:pt idx="17">
                  <c:v>2006</c:v>
                </c:pt>
                <c:pt idx="18">
                  <c:v>2010</c:v>
                </c:pt>
                <c:pt idx="19">
                  <c:v>2014</c:v>
                </c:pt>
              </c:strCache>
            </c:strRef>
          </c:cat>
          <c:val>
            <c:numRef>
              <c:f>'Average of Total Goals per Year'!$B$4:$B$24</c:f>
              <c:numCache>
                <c:formatCode>0.0</c:formatCode>
                <c:ptCount val="20"/>
                <c:pt idx="0">
                  <c:v>3.8888888888888888</c:v>
                </c:pt>
                <c:pt idx="1">
                  <c:v>4.117647058823529</c:v>
                </c:pt>
                <c:pt idx="2">
                  <c:v>4.666666666666667</c:v>
                </c:pt>
                <c:pt idx="3">
                  <c:v>4</c:v>
                </c:pt>
                <c:pt idx="4">
                  <c:v>5.384615384615385</c:v>
                </c:pt>
                <c:pt idx="5">
                  <c:v>3.6</c:v>
                </c:pt>
                <c:pt idx="6">
                  <c:v>2.78125</c:v>
                </c:pt>
                <c:pt idx="7">
                  <c:v>2.78125</c:v>
                </c:pt>
                <c:pt idx="8">
                  <c:v>2.96875</c:v>
                </c:pt>
                <c:pt idx="9">
                  <c:v>2.5526315789473686</c:v>
                </c:pt>
                <c:pt idx="10">
                  <c:v>2.6842105263157894</c:v>
                </c:pt>
                <c:pt idx="11">
                  <c:v>2.8076923076923075</c:v>
                </c:pt>
                <c:pt idx="12">
                  <c:v>2.5384615384615383</c:v>
                </c:pt>
                <c:pt idx="13">
                  <c:v>2.2115384615384617</c:v>
                </c:pt>
                <c:pt idx="14">
                  <c:v>2.7115384615384617</c:v>
                </c:pt>
                <c:pt idx="15">
                  <c:v>2.671875</c:v>
                </c:pt>
                <c:pt idx="16">
                  <c:v>2.515625</c:v>
                </c:pt>
                <c:pt idx="17">
                  <c:v>2.296875</c:v>
                </c:pt>
                <c:pt idx="18">
                  <c:v>2.265625</c:v>
                </c:pt>
                <c:pt idx="19">
                  <c:v>2.5750000000000002</c:v>
                </c:pt>
              </c:numCache>
            </c:numRef>
          </c:val>
          <c:smooth val="0"/>
          <c:extLst>
            <c:ext xmlns:c16="http://schemas.microsoft.com/office/drawing/2014/chart" uri="{C3380CC4-5D6E-409C-BE32-E72D297353CC}">
              <c16:uniqueId val="{00000000-0223-414B-9160-17656A1F6D8B}"/>
            </c:ext>
          </c:extLst>
        </c:ser>
        <c:dLbls>
          <c:dLblPos val="t"/>
          <c:showLegendKey val="0"/>
          <c:showVal val="1"/>
          <c:showCatName val="0"/>
          <c:showSerName val="0"/>
          <c:showPercent val="0"/>
          <c:showBubbleSize val="0"/>
        </c:dLbls>
        <c:smooth val="0"/>
        <c:axId val="742561183"/>
        <c:axId val="742570783"/>
      </c:lineChart>
      <c:catAx>
        <c:axId val="742561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2570783"/>
        <c:crosses val="autoZero"/>
        <c:auto val="1"/>
        <c:lblAlgn val="ctr"/>
        <c:lblOffset val="100"/>
        <c:noMultiLvlLbl val="0"/>
      </c:catAx>
      <c:valAx>
        <c:axId val="742570783"/>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2561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[WorldCupMatches.xlsx]Avarage of goals per stage!Avarage of goals per stage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Avarage of goals per stage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'Avarage of goals per stage'!$B$3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'Avarage of goals per stage'!$A$4:$A$14</c:f>
              <c:strCache>
                <c:ptCount val="10"/>
                <c:pt idx="0">
                  <c:v>Preliminary round</c:v>
                </c:pt>
                <c:pt idx="1">
                  <c:v>First round</c:v>
                </c:pt>
                <c:pt idx="2">
                  <c:v>Group 6</c:v>
                </c:pt>
                <c:pt idx="3">
                  <c:v>Third place</c:v>
                </c:pt>
                <c:pt idx="4">
                  <c:v>Match for third place</c:v>
                </c:pt>
                <c:pt idx="5">
                  <c:v>Semi-finals</c:v>
                </c:pt>
                <c:pt idx="6">
                  <c:v>Final</c:v>
                </c:pt>
                <c:pt idx="7">
                  <c:v>Group 4</c:v>
                </c:pt>
                <c:pt idx="8">
                  <c:v>Group 2</c:v>
                </c:pt>
                <c:pt idx="9">
                  <c:v>Play-off for third place</c:v>
                </c:pt>
              </c:strCache>
            </c:strRef>
          </c:cat>
          <c:val>
            <c:numRef>
              <c:f>'Avarage of goals per stage'!$B$4:$B$14</c:f>
              <c:numCache>
                <c:formatCode>0.00</c:formatCode>
                <c:ptCount val="10"/>
                <c:pt idx="0">
                  <c:v>5.375</c:v>
                </c:pt>
                <c:pt idx="1">
                  <c:v>4.8888888888888893</c:v>
                </c:pt>
                <c:pt idx="2">
                  <c:v>4.75</c:v>
                </c:pt>
                <c:pt idx="3">
                  <c:v>4.5</c:v>
                </c:pt>
                <c:pt idx="4">
                  <c:v>3.9333333333333331</c:v>
                </c:pt>
                <c:pt idx="5">
                  <c:v>3.6388888888888888</c:v>
                </c:pt>
                <c:pt idx="6">
                  <c:v>3.45</c:v>
                </c:pt>
                <c:pt idx="7">
                  <c:v>3.2</c:v>
                </c:pt>
                <c:pt idx="8">
                  <c:v>3.1694915254237288</c:v>
                </c:pt>
                <c:pt idx="9">
                  <c:v>3</c:v>
                </c:pt>
              </c:numCache>
            </c:numRef>
          </c:val>
          <c:extLst>
            <c:ext xmlns:c16="http://schemas.microsoft.com/office/drawing/2014/chart" uri="{C3380CC4-5D6E-409C-BE32-E72D297353CC}">
              <c16:uniqueId val="{00000000-8388-4FDC-A6FD-A19AC2AC7C7D}"/>
            </c:ext>
          </c:extLst>
        </c:ser>
        <c:dLbls>
          <c:dLblPos val="outEnd"/>
          <c:showLegendKey val="0"/>
          <c:showVal val="1"/>
          <c:showCatName val="0"/>
          <c:showSerName val="0"/>
          <c:showPercent val="0"/>
          <c:showBubbleSize val="0"/>
        </c:dLbls>
        <c:gapWidth val="182"/>
        <c:axId val="582395247"/>
        <c:axId val="582398607"/>
      </c:barChart>
      <c:catAx>
        <c:axId val="5823952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398607"/>
        <c:crosses val="autoZero"/>
        <c:auto val="1"/>
        <c:lblAlgn val="ctr"/>
        <c:lblOffset val="100"/>
        <c:noMultiLvlLbl val="0"/>
      </c:catAx>
      <c:valAx>
        <c:axId val="582398607"/>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395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[WorldCupMatches.xlsx]Top 10 Host Cities by Number of!PivotTable2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Host Cities by Number of Matches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Host Cities by Number of'!$B$3</c:f>
              <c:strCache>
                <c:ptCount val="1"/>
                <c:pt idx="0">
                  <c:v>Total</c:v>
                </c:pt>
              </c:strCache>
            </c:strRef>
          </c:tx>
          <c:spPr>
            <a:solidFill>
              <a:schemeClr val="accent1"/>
            </a:solidFill>
            <a:ln>
              <a:noFill/>
            </a:ln>
            <a:effectLst/>
          </c:spPr>
          <c:invertIfNegative val="0"/>
          <c:cat>
            <c:strRef>
              <c:f>'Top 10 Host Cities by Number of'!$A$4:$A$14</c:f>
              <c:strCache>
                <c:ptCount val="10"/>
                <c:pt idx="0">
                  <c:v>Mexico City</c:v>
                </c:pt>
                <c:pt idx="1">
                  <c:v>Rio De Janeiro</c:v>
                </c:pt>
                <c:pt idx="2">
                  <c:v>Montevideo</c:v>
                </c:pt>
                <c:pt idx="3">
                  <c:v>Guadalajara</c:v>
                </c:pt>
                <c:pt idx="4">
                  <c:v>Johannesburg</c:v>
                </c:pt>
                <c:pt idx="5">
                  <c:v>Sao Paulo</c:v>
                </c:pt>
                <c:pt idx="6">
                  <c:v>Buenos Aires</c:v>
                </c:pt>
                <c:pt idx="7">
                  <c:v>Munich</c:v>
                </c:pt>
                <c:pt idx="8">
                  <c:v>Belo Horizonte</c:v>
                </c:pt>
                <c:pt idx="9">
                  <c:v>Leon</c:v>
                </c:pt>
              </c:strCache>
            </c:strRef>
          </c:cat>
          <c:val>
            <c:numRef>
              <c:f>'Top 10 Host Cities by Number of'!$B$4:$B$14</c:f>
              <c:numCache>
                <c:formatCode>General</c:formatCode>
                <c:ptCount val="10"/>
                <c:pt idx="0">
                  <c:v>23</c:v>
                </c:pt>
                <c:pt idx="1">
                  <c:v>18</c:v>
                </c:pt>
                <c:pt idx="2">
                  <c:v>18</c:v>
                </c:pt>
                <c:pt idx="3">
                  <c:v>17</c:v>
                </c:pt>
                <c:pt idx="4">
                  <c:v>15</c:v>
                </c:pt>
                <c:pt idx="5">
                  <c:v>14</c:v>
                </c:pt>
                <c:pt idx="6">
                  <c:v>12</c:v>
                </c:pt>
                <c:pt idx="7">
                  <c:v>11</c:v>
                </c:pt>
                <c:pt idx="8">
                  <c:v>11</c:v>
                </c:pt>
                <c:pt idx="9">
                  <c:v>11</c:v>
                </c:pt>
              </c:numCache>
            </c:numRef>
          </c:val>
          <c:extLst>
            <c:ext xmlns:c16="http://schemas.microsoft.com/office/drawing/2014/chart" uri="{C3380CC4-5D6E-409C-BE32-E72D297353CC}">
              <c16:uniqueId val="{00000000-E975-4B31-BBEB-CD66B5864673}"/>
            </c:ext>
          </c:extLst>
        </c:ser>
        <c:dLbls>
          <c:showLegendKey val="0"/>
          <c:showVal val="0"/>
          <c:showCatName val="0"/>
          <c:showSerName val="0"/>
          <c:showPercent val="0"/>
          <c:showBubbleSize val="0"/>
        </c:dLbls>
        <c:gapWidth val="182"/>
        <c:axId val="1637721039"/>
        <c:axId val="1637723919"/>
      </c:barChart>
      <c:catAx>
        <c:axId val="16377210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7723919"/>
        <c:crosses val="autoZero"/>
        <c:auto val="1"/>
        <c:lblAlgn val="ctr"/>
        <c:lblOffset val="100"/>
        <c:noMultiLvlLbl val="0"/>
      </c:catAx>
      <c:valAx>
        <c:axId val="16377239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7721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[WorldCupMatches.xlsx]Average Attendance by World Cup!Average Attendance by World Cup Year</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Attendance by World Cup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Attendance by World Cup'!$B$3</c:f>
              <c:strCache>
                <c:ptCount val="1"/>
                <c:pt idx="0">
                  <c:v>Total</c:v>
                </c:pt>
              </c:strCache>
            </c:strRef>
          </c:tx>
          <c:spPr>
            <a:solidFill>
              <a:schemeClr val="accent1"/>
            </a:solidFill>
            <a:ln>
              <a:noFill/>
            </a:ln>
            <a:effectLst/>
          </c:spPr>
          <c:invertIfNegative val="0"/>
          <c:cat>
            <c:strRef>
              <c:f>'Average Attendance by World Cup'!$A$4:$A$24</c:f>
              <c:strCache>
                <c:ptCount val="20"/>
                <c:pt idx="0">
                  <c:v>1930</c:v>
                </c:pt>
                <c:pt idx="1">
                  <c:v>1934</c:v>
                </c:pt>
                <c:pt idx="2">
                  <c:v>1938</c:v>
                </c:pt>
                <c:pt idx="3">
                  <c:v>1950</c:v>
                </c:pt>
                <c:pt idx="4">
                  <c:v>1954</c:v>
                </c:pt>
                <c:pt idx="5">
                  <c:v>1958</c:v>
                </c:pt>
                <c:pt idx="6">
                  <c:v>1962</c:v>
                </c:pt>
                <c:pt idx="7">
                  <c:v>1966</c:v>
                </c:pt>
                <c:pt idx="8">
                  <c:v>1970</c:v>
                </c:pt>
                <c:pt idx="9">
                  <c:v>1974</c:v>
                </c:pt>
                <c:pt idx="10">
                  <c:v>1978</c:v>
                </c:pt>
                <c:pt idx="11">
                  <c:v>1982</c:v>
                </c:pt>
                <c:pt idx="12">
                  <c:v>1986</c:v>
                </c:pt>
                <c:pt idx="13">
                  <c:v>1990</c:v>
                </c:pt>
                <c:pt idx="14">
                  <c:v>1994</c:v>
                </c:pt>
                <c:pt idx="15">
                  <c:v>1998</c:v>
                </c:pt>
                <c:pt idx="16">
                  <c:v>2002</c:v>
                </c:pt>
                <c:pt idx="17">
                  <c:v>2006</c:v>
                </c:pt>
                <c:pt idx="18">
                  <c:v>2010</c:v>
                </c:pt>
                <c:pt idx="19">
                  <c:v>2014</c:v>
                </c:pt>
              </c:strCache>
            </c:strRef>
          </c:cat>
          <c:val>
            <c:numRef>
              <c:f>'Average Attendance by World Cup'!$B$4:$B$24</c:f>
              <c:numCache>
                <c:formatCode>_(* #,##0_);_(* \(#,##0\);_(* "-"??_);_(@_)</c:formatCode>
                <c:ptCount val="20"/>
                <c:pt idx="0">
                  <c:v>32808.277777777781</c:v>
                </c:pt>
                <c:pt idx="1">
                  <c:v>21352.941176470587</c:v>
                </c:pt>
                <c:pt idx="2">
                  <c:v>20872.222222222223</c:v>
                </c:pt>
                <c:pt idx="3">
                  <c:v>47511.181818181816</c:v>
                </c:pt>
                <c:pt idx="4">
                  <c:v>29561.807692307691</c:v>
                </c:pt>
                <c:pt idx="5">
                  <c:v>23423.142857142859</c:v>
                </c:pt>
                <c:pt idx="6">
                  <c:v>27911.625</c:v>
                </c:pt>
                <c:pt idx="7">
                  <c:v>48847.96875</c:v>
                </c:pt>
                <c:pt idx="8">
                  <c:v>50124.21875</c:v>
                </c:pt>
                <c:pt idx="9">
                  <c:v>49098.76315789474</c:v>
                </c:pt>
                <c:pt idx="10">
                  <c:v>40678.710526315786</c:v>
                </c:pt>
                <c:pt idx="11">
                  <c:v>40571.596153846156</c:v>
                </c:pt>
                <c:pt idx="12">
                  <c:v>46039.057692307695</c:v>
                </c:pt>
                <c:pt idx="13">
                  <c:v>48388.75</c:v>
                </c:pt>
                <c:pt idx="14">
                  <c:v>68991.11538461539</c:v>
                </c:pt>
                <c:pt idx="15">
                  <c:v>43517.1875</c:v>
                </c:pt>
                <c:pt idx="16">
                  <c:v>42268.703125</c:v>
                </c:pt>
                <c:pt idx="17">
                  <c:v>52491.234375</c:v>
                </c:pt>
                <c:pt idx="18">
                  <c:v>49669.625</c:v>
                </c:pt>
                <c:pt idx="19">
                  <c:v>55374.910256410258</c:v>
                </c:pt>
              </c:numCache>
            </c:numRef>
          </c:val>
          <c:extLst>
            <c:ext xmlns:c16="http://schemas.microsoft.com/office/drawing/2014/chart" uri="{C3380CC4-5D6E-409C-BE32-E72D297353CC}">
              <c16:uniqueId val="{00000000-B779-46D7-9C64-9A4F3868556D}"/>
            </c:ext>
          </c:extLst>
        </c:ser>
        <c:dLbls>
          <c:showLegendKey val="0"/>
          <c:showVal val="0"/>
          <c:showCatName val="0"/>
          <c:showSerName val="0"/>
          <c:showPercent val="0"/>
          <c:showBubbleSize val="0"/>
        </c:dLbls>
        <c:gapWidth val="219"/>
        <c:overlap val="-27"/>
        <c:axId val="1637731119"/>
        <c:axId val="1637739759"/>
      </c:barChart>
      <c:catAx>
        <c:axId val="1637731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7739759"/>
        <c:crosses val="autoZero"/>
        <c:auto val="1"/>
        <c:lblAlgn val="ctr"/>
        <c:lblOffset val="100"/>
        <c:noMultiLvlLbl val="0"/>
      </c:catAx>
      <c:valAx>
        <c:axId val="1637739759"/>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7731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[WorldCupMatches.xlsx]Top 10 Team plaied matches!PivotTable5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Team</a:t>
            </a:r>
            <a:r>
              <a:rPr lang="ar-EG"/>
              <a:t> </a:t>
            </a:r>
            <a:r>
              <a:rPr lang="en-US"/>
              <a:t>plaied</a:t>
            </a:r>
            <a:r>
              <a:rPr lang="en-US" baseline="0"/>
              <a:t> matches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Team plaied matches'!$B$3</c:f>
              <c:strCache>
                <c:ptCount val="1"/>
                <c:pt idx="0">
                  <c:v>Total</c:v>
                </c:pt>
              </c:strCache>
            </c:strRef>
          </c:tx>
          <c:spPr>
            <a:solidFill>
              <a:schemeClr val="accent1"/>
            </a:solidFill>
            <a:ln>
              <a:noFill/>
            </a:ln>
            <a:effectLst/>
          </c:spPr>
          <c:invertIfNegative val="0"/>
          <c:cat>
            <c:strRef>
              <c:f>'Top 10 Team plaied matches'!$A$4:$A$87</c:f>
              <c:strCache>
                <c:ptCount val="83"/>
                <c:pt idx="0">
                  <c:v>Brazil</c:v>
                </c:pt>
                <c:pt idx="1">
                  <c:v>Italy</c:v>
                </c:pt>
                <c:pt idx="2">
                  <c:v>Argentina</c:v>
                </c:pt>
                <c:pt idx="3">
                  <c:v>England</c:v>
                </c:pt>
                <c:pt idx="4">
                  <c:v>Germany FR</c:v>
                </c:pt>
                <c:pt idx="5">
                  <c:v>France</c:v>
                </c:pt>
                <c:pt idx="6">
                  <c:v>Spain</c:v>
                </c:pt>
                <c:pt idx="7">
                  <c:v>Netherlands</c:v>
                </c:pt>
                <c:pt idx="8">
                  <c:v>Mexico</c:v>
                </c:pt>
                <c:pt idx="9">
                  <c:v>Uruguay</c:v>
                </c:pt>
                <c:pt idx="10">
                  <c:v>Germany</c:v>
                </c:pt>
                <c:pt idx="11">
                  <c:v>Sweden</c:v>
                </c:pt>
                <c:pt idx="12">
                  <c:v>Belgium</c:v>
                </c:pt>
                <c:pt idx="13">
                  <c:v>Yugoslavia</c:v>
                </c:pt>
                <c:pt idx="14">
                  <c:v>Switzerland</c:v>
                </c:pt>
                <c:pt idx="15">
                  <c:v>USA</c:v>
                </c:pt>
                <c:pt idx="16">
                  <c:v>Chile</c:v>
                </c:pt>
                <c:pt idx="17">
                  <c:v>Hungary</c:v>
                </c:pt>
                <c:pt idx="18">
                  <c:v>Poland</c:v>
                </c:pt>
                <c:pt idx="19">
                  <c:v>Soviet Union</c:v>
                </c:pt>
                <c:pt idx="20">
                  <c:v>Korea Republic</c:v>
                </c:pt>
                <c:pt idx="21">
                  <c:v>Czechoslovakia</c:v>
                </c:pt>
                <c:pt idx="22">
                  <c:v>Austria</c:v>
                </c:pt>
                <c:pt idx="23">
                  <c:v>Paraguay</c:v>
                </c:pt>
                <c:pt idx="24">
                  <c:v>Bulgaria</c:v>
                </c:pt>
                <c:pt idx="25">
                  <c:v>Portugal</c:v>
                </c:pt>
                <c:pt idx="26">
                  <c:v>Cameroon</c:v>
                </c:pt>
                <c:pt idx="27">
                  <c:v>Scotland</c:v>
                </c:pt>
                <c:pt idx="28">
                  <c:v>Romania</c:v>
                </c:pt>
                <c:pt idx="29">
                  <c:v>Colombia</c:v>
                </c:pt>
                <c:pt idx="30">
                  <c:v>Nigeria</c:v>
                </c:pt>
                <c:pt idx="31">
                  <c:v>Costa Rica</c:v>
                </c:pt>
                <c:pt idx="32">
                  <c:v>Japan</c:v>
                </c:pt>
                <c:pt idx="33">
                  <c:v>Denmark</c:v>
                </c:pt>
                <c:pt idx="34">
                  <c:v>Croatia</c:v>
                </c:pt>
                <c:pt idx="35">
                  <c:v>Peru</c:v>
                </c:pt>
                <c:pt idx="36">
                  <c:v>Algeria</c:v>
                </c:pt>
                <c:pt idx="37">
                  <c:v>Northern Ireland</c:v>
                </c:pt>
                <c:pt idx="38">
                  <c:v>Saudi Arabia</c:v>
                </c:pt>
                <c:pt idx="39">
                  <c:v>Australia</c:v>
                </c:pt>
                <c:pt idx="40">
                  <c:v>Morocco</c:v>
                </c:pt>
                <c:pt idx="41">
                  <c:v>rn"&gt;Republic of Ireland</c:v>
                </c:pt>
                <c:pt idx="42">
                  <c:v>Ghana</c:v>
                </c:pt>
                <c:pt idx="43">
                  <c:v>Tunisia</c:v>
                </c:pt>
                <c:pt idx="44">
                  <c:v>Greece</c:v>
                </c:pt>
                <c:pt idx="45">
                  <c:v>Turkey</c:v>
                </c:pt>
                <c:pt idx="46">
                  <c:v>Ecuador</c:v>
                </c:pt>
                <c:pt idx="47">
                  <c:v>Honduras</c:v>
                </c:pt>
                <c:pt idx="48">
                  <c:v>Cï¿½te d'Ivoire</c:v>
                </c:pt>
                <c:pt idx="49">
                  <c:v>South Africa</c:v>
                </c:pt>
                <c:pt idx="50">
                  <c:v>Russia</c:v>
                </c:pt>
                <c:pt idx="51">
                  <c:v>Norway</c:v>
                </c:pt>
                <c:pt idx="52">
                  <c:v>Korea DPR</c:v>
                </c:pt>
                <c:pt idx="53">
                  <c:v>German DR</c:v>
                </c:pt>
                <c:pt idx="54">
                  <c:v>El Salvador</c:v>
                </c:pt>
                <c:pt idx="55">
                  <c:v>Iran</c:v>
                </c:pt>
                <c:pt idx="56">
                  <c:v>IR Iran</c:v>
                </c:pt>
                <c:pt idx="57">
                  <c:v>New Zealand</c:v>
                </c:pt>
                <c:pt idx="58">
                  <c:v>Slovenia</c:v>
                </c:pt>
                <c:pt idx="59">
                  <c:v>Bolivia</c:v>
                </c:pt>
                <c:pt idx="60">
                  <c:v>Ukraine</c:v>
                </c:pt>
                <c:pt idx="61">
                  <c:v>Senegal</c:v>
                </c:pt>
                <c:pt idx="62">
                  <c:v>Wales</c:v>
                </c:pt>
                <c:pt idx="63">
                  <c:v>Egypt</c:v>
                </c:pt>
                <c:pt idx="64">
                  <c:v>Slovakia</c:v>
                </c:pt>
                <c:pt idx="65">
                  <c:v>Haiti</c:v>
                </c:pt>
                <c:pt idx="66">
                  <c:v>Angola</c:v>
                </c:pt>
                <c:pt idx="67">
                  <c:v>Canada</c:v>
                </c:pt>
                <c:pt idx="68">
                  <c:v>rn"&gt;Serbia and Montenegro</c:v>
                </c:pt>
                <c:pt idx="69">
                  <c:v>Israel</c:v>
                </c:pt>
                <c:pt idx="70">
                  <c:v>rn"&gt;Trinidad and Tobago</c:v>
                </c:pt>
                <c:pt idx="71">
                  <c:v>Togo</c:v>
                </c:pt>
                <c:pt idx="72">
                  <c:v>Czech Republic</c:v>
                </c:pt>
                <c:pt idx="73">
                  <c:v>Jamaica</c:v>
                </c:pt>
                <c:pt idx="74">
                  <c:v>China PR</c:v>
                </c:pt>
                <c:pt idx="75">
                  <c:v>Iraq</c:v>
                </c:pt>
                <c:pt idx="76">
                  <c:v>rn"&gt;United Arab Emirates</c:v>
                </c:pt>
                <c:pt idx="77">
                  <c:v>Kuwait</c:v>
                </c:pt>
                <c:pt idx="78">
                  <c:v>Cuba</c:v>
                </c:pt>
                <c:pt idx="79">
                  <c:v>Zaire</c:v>
                </c:pt>
                <c:pt idx="80">
                  <c:v>rn"&gt;Bosnia and Herzegovina</c:v>
                </c:pt>
                <c:pt idx="81">
                  <c:v>Serbia</c:v>
                </c:pt>
                <c:pt idx="82">
                  <c:v>Dutch East Indies</c:v>
                </c:pt>
              </c:strCache>
            </c:strRef>
          </c:cat>
          <c:val>
            <c:numRef>
              <c:f>'Top 10 Team plaied matches'!$B$4:$B$87</c:f>
              <c:numCache>
                <c:formatCode>General</c:formatCode>
                <c:ptCount val="83"/>
                <c:pt idx="0">
                  <c:v>108</c:v>
                </c:pt>
                <c:pt idx="1">
                  <c:v>83</c:v>
                </c:pt>
                <c:pt idx="2">
                  <c:v>81</c:v>
                </c:pt>
                <c:pt idx="3">
                  <c:v>62</c:v>
                </c:pt>
                <c:pt idx="4">
                  <c:v>62</c:v>
                </c:pt>
                <c:pt idx="5">
                  <c:v>61</c:v>
                </c:pt>
                <c:pt idx="6">
                  <c:v>59</c:v>
                </c:pt>
                <c:pt idx="7">
                  <c:v>54</c:v>
                </c:pt>
                <c:pt idx="8">
                  <c:v>54</c:v>
                </c:pt>
                <c:pt idx="9">
                  <c:v>52</c:v>
                </c:pt>
                <c:pt idx="10">
                  <c:v>48</c:v>
                </c:pt>
                <c:pt idx="11">
                  <c:v>46</c:v>
                </c:pt>
                <c:pt idx="12">
                  <c:v>43</c:v>
                </c:pt>
                <c:pt idx="13">
                  <c:v>37</c:v>
                </c:pt>
                <c:pt idx="14">
                  <c:v>34</c:v>
                </c:pt>
                <c:pt idx="15">
                  <c:v>34</c:v>
                </c:pt>
                <c:pt idx="16">
                  <c:v>34</c:v>
                </c:pt>
                <c:pt idx="17">
                  <c:v>32</c:v>
                </c:pt>
                <c:pt idx="18">
                  <c:v>31</c:v>
                </c:pt>
                <c:pt idx="19">
                  <c:v>31</c:v>
                </c:pt>
                <c:pt idx="20">
                  <c:v>31</c:v>
                </c:pt>
                <c:pt idx="21">
                  <c:v>30</c:v>
                </c:pt>
                <c:pt idx="22">
                  <c:v>29</c:v>
                </c:pt>
                <c:pt idx="23">
                  <c:v>27</c:v>
                </c:pt>
                <c:pt idx="24">
                  <c:v>26</c:v>
                </c:pt>
                <c:pt idx="25">
                  <c:v>26</c:v>
                </c:pt>
                <c:pt idx="26">
                  <c:v>23</c:v>
                </c:pt>
                <c:pt idx="27">
                  <c:v>23</c:v>
                </c:pt>
                <c:pt idx="28">
                  <c:v>21</c:v>
                </c:pt>
                <c:pt idx="29">
                  <c:v>20</c:v>
                </c:pt>
                <c:pt idx="30">
                  <c:v>19</c:v>
                </c:pt>
                <c:pt idx="31">
                  <c:v>17</c:v>
                </c:pt>
                <c:pt idx="32">
                  <c:v>17</c:v>
                </c:pt>
                <c:pt idx="33">
                  <c:v>16</c:v>
                </c:pt>
                <c:pt idx="34">
                  <c:v>16</c:v>
                </c:pt>
                <c:pt idx="35">
                  <c:v>15</c:v>
                </c:pt>
                <c:pt idx="36">
                  <c:v>14</c:v>
                </c:pt>
                <c:pt idx="37">
                  <c:v>13</c:v>
                </c:pt>
                <c:pt idx="38">
                  <c:v>13</c:v>
                </c:pt>
                <c:pt idx="39">
                  <c:v>13</c:v>
                </c:pt>
                <c:pt idx="40">
                  <c:v>13</c:v>
                </c:pt>
                <c:pt idx="41">
                  <c:v>13</c:v>
                </c:pt>
                <c:pt idx="42">
                  <c:v>12</c:v>
                </c:pt>
                <c:pt idx="43">
                  <c:v>12</c:v>
                </c:pt>
                <c:pt idx="44">
                  <c:v>11</c:v>
                </c:pt>
                <c:pt idx="45">
                  <c:v>10</c:v>
                </c:pt>
                <c:pt idx="46">
                  <c:v>10</c:v>
                </c:pt>
                <c:pt idx="47">
                  <c:v>9</c:v>
                </c:pt>
                <c:pt idx="48">
                  <c:v>9</c:v>
                </c:pt>
                <c:pt idx="49">
                  <c:v>9</c:v>
                </c:pt>
                <c:pt idx="50">
                  <c:v>9</c:v>
                </c:pt>
                <c:pt idx="51">
                  <c:v>8</c:v>
                </c:pt>
                <c:pt idx="52">
                  <c:v>7</c:v>
                </c:pt>
                <c:pt idx="53">
                  <c:v>6</c:v>
                </c:pt>
                <c:pt idx="54">
                  <c:v>6</c:v>
                </c:pt>
                <c:pt idx="55">
                  <c:v>6</c:v>
                </c:pt>
                <c:pt idx="56">
                  <c:v>6</c:v>
                </c:pt>
                <c:pt idx="57">
                  <c:v>6</c:v>
                </c:pt>
                <c:pt idx="58">
                  <c:v>6</c:v>
                </c:pt>
                <c:pt idx="59">
                  <c:v>6</c:v>
                </c:pt>
                <c:pt idx="60">
                  <c:v>5</c:v>
                </c:pt>
                <c:pt idx="61">
                  <c:v>5</c:v>
                </c:pt>
                <c:pt idx="62">
                  <c:v>5</c:v>
                </c:pt>
                <c:pt idx="63">
                  <c:v>4</c:v>
                </c:pt>
                <c:pt idx="64">
                  <c:v>4</c:v>
                </c:pt>
                <c:pt idx="65">
                  <c:v>3</c:v>
                </c:pt>
                <c:pt idx="66">
                  <c:v>3</c:v>
                </c:pt>
                <c:pt idx="67">
                  <c:v>3</c:v>
                </c:pt>
                <c:pt idx="68">
                  <c:v>3</c:v>
                </c:pt>
                <c:pt idx="69">
                  <c:v>3</c:v>
                </c:pt>
                <c:pt idx="70">
                  <c:v>3</c:v>
                </c:pt>
                <c:pt idx="71">
                  <c:v>3</c:v>
                </c:pt>
                <c:pt idx="72">
                  <c:v>3</c:v>
                </c:pt>
                <c:pt idx="73">
                  <c:v>3</c:v>
                </c:pt>
                <c:pt idx="74">
                  <c:v>3</c:v>
                </c:pt>
                <c:pt idx="75">
                  <c:v>3</c:v>
                </c:pt>
                <c:pt idx="76">
                  <c:v>3</c:v>
                </c:pt>
                <c:pt idx="77">
                  <c:v>3</c:v>
                </c:pt>
                <c:pt idx="78">
                  <c:v>3</c:v>
                </c:pt>
                <c:pt idx="79">
                  <c:v>3</c:v>
                </c:pt>
                <c:pt idx="80">
                  <c:v>3</c:v>
                </c:pt>
                <c:pt idx="81">
                  <c:v>3</c:v>
                </c:pt>
                <c:pt idx="82">
                  <c:v>1</c:v>
                </c:pt>
              </c:numCache>
            </c:numRef>
          </c:val>
          <c:extLst>
            <c:ext xmlns:c16="http://schemas.microsoft.com/office/drawing/2014/chart" uri="{C3380CC4-5D6E-409C-BE32-E72D297353CC}">
              <c16:uniqueId val="{00000000-8AF6-43D9-A42B-425BFBAB7F1D}"/>
            </c:ext>
          </c:extLst>
        </c:ser>
        <c:dLbls>
          <c:showLegendKey val="0"/>
          <c:showVal val="0"/>
          <c:showCatName val="0"/>
          <c:showSerName val="0"/>
          <c:showPercent val="0"/>
          <c:showBubbleSize val="0"/>
        </c:dLbls>
        <c:gapWidth val="182"/>
        <c:axId val="1637719119"/>
        <c:axId val="1637702799"/>
      </c:barChart>
      <c:catAx>
        <c:axId val="16377191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7702799"/>
        <c:crosses val="autoZero"/>
        <c:auto val="1"/>
        <c:lblAlgn val="ctr"/>
        <c:lblOffset val="100"/>
        <c:noMultiLvlLbl val="0"/>
      </c:catAx>
      <c:valAx>
        <c:axId val="16377027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7719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[WorldCupMatches.xlsx]Top 10 Teams by Total Goals!PivotTable8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Teams by Total Goals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Teams by Total Goals'!$B$3</c:f>
              <c:strCache>
                <c:ptCount val="1"/>
                <c:pt idx="0">
                  <c:v>Total</c:v>
                </c:pt>
              </c:strCache>
            </c:strRef>
          </c:tx>
          <c:spPr>
            <a:solidFill>
              <a:schemeClr val="accent1"/>
            </a:solidFill>
            <a:ln>
              <a:noFill/>
            </a:ln>
            <a:effectLst/>
          </c:spPr>
          <c:invertIfNegative val="0"/>
          <c:cat>
            <c:strRef>
              <c:f>'Top 10 Teams by Total Goals'!$A$4:$A$14</c:f>
              <c:strCache>
                <c:ptCount val="10"/>
                <c:pt idx="0">
                  <c:v>Brazil</c:v>
                </c:pt>
                <c:pt idx="1">
                  <c:v>Argentina</c:v>
                </c:pt>
                <c:pt idx="2">
                  <c:v>Italy</c:v>
                </c:pt>
                <c:pt idx="3">
                  <c:v>Germany FR</c:v>
                </c:pt>
                <c:pt idx="4">
                  <c:v>France</c:v>
                </c:pt>
                <c:pt idx="5">
                  <c:v>Spain</c:v>
                </c:pt>
                <c:pt idx="6">
                  <c:v>Uruguay</c:v>
                </c:pt>
                <c:pt idx="7">
                  <c:v>Hungary</c:v>
                </c:pt>
                <c:pt idx="8">
                  <c:v>Netherlands</c:v>
                </c:pt>
                <c:pt idx="9">
                  <c:v>England</c:v>
                </c:pt>
              </c:strCache>
            </c:strRef>
          </c:cat>
          <c:val>
            <c:numRef>
              <c:f>'Top 10 Teams by Total Goals'!$B$4:$B$14</c:f>
              <c:numCache>
                <c:formatCode>General</c:formatCode>
                <c:ptCount val="10"/>
                <c:pt idx="0">
                  <c:v>208</c:v>
                </c:pt>
                <c:pt idx="1">
                  <c:v>151</c:v>
                </c:pt>
                <c:pt idx="2">
                  <c:v>129</c:v>
                </c:pt>
                <c:pt idx="3">
                  <c:v>124</c:v>
                </c:pt>
                <c:pt idx="4">
                  <c:v>102</c:v>
                </c:pt>
                <c:pt idx="5">
                  <c:v>91</c:v>
                </c:pt>
                <c:pt idx="6">
                  <c:v>87</c:v>
                </c:pt>
                <c:pt idx="7">
                  <c:v>85</c:v>
                </c:pt>
                <c:pt idx="8">
                  <c:v>85</c:v>
                </c:pt>
                <c:pt idx="9">
                  <c:v>84</c:v>
                </c:pt>
              </c:numCache>
            </c:numRef>
          </c:val>
          <c:extLst>
            <c:ext xmlns:c16="http://schemas.microsoft.com/office/drawing/2014/chart" uri="{C3380CC4-5D6E-409C-BE32-E72D297353CC}">
              <c16:uniqueId val="{00000000-B01A-483D-B71D-D8CABB690D14}"/>
            </c:ext>
          </c:extLst>
        </c:ser>
        <c:dLbls>
          <c:showLegendKey val="0"/>
          <c:showVal val="0"/>
          <c:showCatName val="0"/>
          <c:showSerName val="0"/>
          <c:showPercent val="0"/>
          <c:showBubbleSize val="0"/>
        </c:dLbls>
        <c:gapWidth val="182"/>
        <c:axId val="1637744559"/>
        <c:axId val="1637749359"/>
      </c:barChart>
      <c:catAx>
        <c:axId val="16377445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7749359"/>
        <c:crosses val="autoZero"/>
        <c:auto val="1"/>
        <c:lblAlgn val="ctr"/>
        <c:lblOffset val="100"/>
        <c:noMultiLvlLbl val="0"/>
      </c:catAx>
      <c:valAx>
        <c:axId val="16377493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7744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[WorldCupMatches.xlsx]Number of Matches!Number of Matches</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i="0" u="none" strike="noStrike" baseline="0">
                <a:solidFill>
                  <a:schemeClr val="bg1"/>
                </a:solidFill>
              </a:rPr>
              <a:t>World Cup Matches by Year</a:t>
            </a:r>
            <a:endParaRPr lang="en-US" sz="3600"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70C0"/>
          </a:solidFill>
          <a:ln>
            <a:noFill/>
          </a:ln>
          <a:effectLst/>
        </c:spPr>
      </c:pivotFmt>
    </c:pivotFmts>
    <c:plotArea>
      <c:layout>
        <c:manualLayout>
          <c:layoutTarget val="inner"/>
          <c:xMode val="edge"/>
          <c:yMode val="edge"/>
          <c:x val="3.4015221523336803E-2"/>
          <c:y val="0.21245852592639097"/>
          <c:w val="0.95037439226207565"/>
          <c:h val="0.71852702268389379"/>
        </c:manualLayout>
      </c:layout>
      <c:barChart>
        <c:barDir val="col"/>
        <c:grouping val="clustered"/>
        <c:varyColors val="0"/>
        <c:ser>
          <c:idx val="0"/>
          <c:order val="0"/>
          <c:tx>
            <c:strRef>
              <c:f>'Number of Matches'!$B$3</c:f>
              <c:strCache>
                <c:ptCount val="1"/>
                <c:pt idx="0">
                  <c:v>Total</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'Number of Matches'!$A$4:$A$24</c:f>
              <c:strCache>
                <c:ptCount val="20"/>
                <c:pt idx="0">
                  <c:v>1930</c:v>
                </c:pt>
                <c:pt idx="1">
                  <c:v>1934</c:v>
                </c:pt>
                <c:pt idx="2">
                  <c:v>1938</c:v>
                </c:pt>
                <c:pt idx="3">
                  <c:v>1950</c:v>
                </c:pt>
                <c:pt idx="4">
                  <c:v>1954</c:v>
                </c:pt>
                <c:pt idx="5">
                  <c:v>1958</c:v>
                </c:pt>
                <c:pt idx="6">
                  <c:v>1962</c:v>
                </c:pt>
                <c:pt idx="7">
                  <c:v>1966</c:v>
                </c:pt>
                <c:pt idx="8">
                  <c:v>1970</c:v>
                </c:pt>
                <c:pt idx="9">
                  <c:v>1974</c:v>
                </c:pt>
                <c:pt idx="10">
                  <c:v>1978</c:v>
                </c:pt>
                <c:pt idx="11">
                  <c:v>1982</c:v>
                </c:pt>
                <c:pt idx="12">
                  <c:v>1986</c:v>
                </c:pt>
                <c:pt idx="13">
                  <c:v>1990</c:v>
                </c:pt>
                <c:pt idx="14">
                  <c:v>1994</c:v>
                </c:pt>
                <c:pt idx="15">
                  <c:v>1998</c:v>
                </c:pt>
                <c:pt idx="16">
                  <c:v>2002</c:v>
                </c:pt>
                <c:pt idx="17">
                  <c:v>2006</c:v>
                </c:pt>
                <c:pt idx="18">
                  <c:v>2010</c:v>
                </c:pt>
                <c:pt idx="19">
                  <c:v>2014</c:v>
                </c:pt>
              </c:strCache>
            </c:strRef>
          </c:cat>
          <c:val>
            <c:numRef>
              <c:f>'Number of Matches'!$B$4:$B$24</c:f>
              <c:numCache>
                <c:formatCode>General</c:formatCode>
                <c:ptCount val="20"/>
                <c:pt idx="0">
                  <c:v>18</c:v>
                </c:pt>
                <c:pt idx="1">
                  <c:v>17</c:v>
                </c:pt>
                <c:pt idx="2">
                  <c:v>18</c:v>
                </c:pt>
                <c:pt idx="3">
                  <c:v>22</c:v>
                </c:pt>
                <c:pt idx="4">
                  <c:v>26</c:v>
                </c:pt>
                <c:pt idx="5">
                  <c:v>35</c:v>
                </c:pt>
                <c:pt idx="6">
                  <c:v>32</c:v>
                </c:pt>
                <c:pt idx="7">
                  <c:v>32</c:v>
                </c:pt>
                <c:pt idx="8">
                  <c:v>32</c:v>
                </c:pt>
                <c:pt idx="9">
                  <c:v>38</c:v>
                </c:pt>
                <c:pt idx="10">
                  <c:v>38</c:v>
                </c:pt>
                <c:pt idx="11">
                  <c:v>52</c:v>
                </c:pt>
                <c:pt idx="12">
                  <c:v>52</c:v>
                </c:pt>
                <c:pt idx="13">
                  <c:v>52</c:v>
                </c:pt>
                <c:pt idx="14">
                  <c:v>52</c:v>
                </c:pt>
                <c:pt idx="15">
                  <c:v>64</c:v>
                </c:pt>
                <c:pt idx="16">
                  <c:v>64</c:v>
                </c:pt>
                <c:pt idx="17">
                  <c:v>64</c:v>
                </c:pt>
                <c:pt idx="18">
                  <c:v>64</c:v>
                </c:pt>
                <c:pt idx="19">
                  <c:v>80</c:v>
                </c:pt>
              </c:numCache>
            </c:numRef>
          </c:val>
          <c:extLst>
            <c:ext xmlns:c16="http://schemas.microsoft.com/office/drawing/2014/chart" uri="{C3380CC4-5D6E-409C-BE32-E72D297353CC}">
              <c16:uniqueId val="{00000000-519A-424E-83E2-C93E08A8ADA7}"/>
            </c:ext>
          </c:extLst>
        </c:ser>
        <c:dLbls>
          <c:dLblPos val="outEnd"/>
          <c:showLegendKey val="0"/>
          <c:showVal val="1"/>
          <c:showCatName val="0"/>
          <c:showSerName val="0"/>
          <c:showPercent val="0"/>
          <c:showBubbleSize val="0"/>
        </c:dLbls>
        <c:gapWidth val="219"/>
        <c:overlap val="-27"/>
        <c:axId val="99950831"/>
        <c:axId val="99933071"/>
      </c:barChart>
      <c:catAx>
        <c:axId val="999508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99933071"/>
        <c:crosses val="autoZero"/>
        <c:auto val="1"/>
        <c:lblAlgn val="ctr"/>
        <c:lblOffset val="100"/>
        <c:noMultiLvlLbl val="0"/>
      </c:catAx>
      <c:valAx>
        <c:axId val="9993307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99950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w="9525" cap="flat" cmpd="sng" algn="ctr">
      <a:no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[WorldCupMatches.xlsx]Number of Goals!Number of Goals</c:name>
    <c:fmtId val="10"/>
  </c:pivotSource>
  <c:chart>
    <c:title>
      <c:tx>
        <c:rich>
          <a:bodyPr rot="0" spcFirstLastPara="1" vertOverflow="ellipsis" vert="horz" wrap="square" anchor="ctr" anchorCtr="1"/>
          <a:lstStyle/>
          <a:p>
            <a:pPr algn="ctr" rtl="0">
              <a:defRPr lang="en-US" sz="2400" b="1" i="0" u="none" strike="noStrike" kern="1200" spc="0" baseline="0">
                <a:solidFill>
                  <a:schemeClr val="bg1"/>
                </a:solidFill>
                <a:latin typeface="+mn-lt"/>
                <a:ea typeface="+mn-ea"/>
                <a:cs typeface="+mn-cs"/>
              </a:defRPr>
            </a:pPr>
            <a:r>
              <a:rPr lang="en-US" sz="2400" b="1" i="0" u="none" strike="noStrike" kern="1200" spc="0" baseline="0">
                <a:solidFill>
                  <a:schemeClr val="bg1"/>
                </a:solidFill>
                <a:latin typeface="+mn-lt"/>
                <a:ea typeface="+mn-ea"/>
                <a:cs typeface="+mn-cs"/>
              </a:rPr>
              <a:t>Total Goals Year</a:t>
            </a:r>
          </a:p>
        </c:rich>
      </c:tx>
      <c:overlay val="0"/>
      <c:spPr>
        <a:noFill/>
        <a:ln>
          <a:noFill/>
        </a:ln>
        <a:effectLst/>
      </c:spPr>
      <c:txPr>
        <a:bodyPr rot="0" spcFirstLastPara="1" vertOverflow="ellipsis" vert="horz" wrap="square" anchor="ctr" anchorCtr="1"/>
        <a:lstStyle/>
        <a:p>
          <a:pPr algn="ctr" rtl="0">
            <a:defRPr lang="en-US" sz="2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rgbClr val="0070C0"/>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lang="en-US" sz="16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134540968603792E-2"/>
          <c:y val="7.8882108486439201E-2"/>
          <c:w val="0.94041682077779276"/>
          <c:h val="0.79319663167104115"/>
        </c:manualLayout>
      </c:layout>
      <c:lineChart>
        <c:grouping val="standard"/>
        <c:varyColors val="0"/>
        <c:ser>
          <c:idx val="0"/>
          <c:order val="0"/>
          <c:tx>
            <c:strRef>
              <c:f>'Number of Goals'!$B$3</c:f>
              <c:strCache>
                <c:ptCount val="1"/>
                <c:pt idx="0">
                  <c:v>Total</c:v>
                </c:pt>
              </c:strCache>
            </c:strRef>
          </c:tx>
          <c:spPr>
            <a:ln w="28575" cap="rnd">
              <a:solidFill>
                <a:schemeClr val="accent1"/>
              </a:solidFill>
              <a:round/>
            </a:ln>
            <a:effectLst/>
          </c:spPr>
          <c:marker>
            <c:symbol val="circle"/>
            <c:size val="5"/>
            <c:spPr>
              <a:solidFill>
                <a:srgbClr val="0070C0"/>
              </a:solidFill>
              <a:ln w="9525">
                <a:solidFill>
                  <a:schemeClr val="accent1"/>
                </a:solidFill>
              </a:ln>
              <a:effectLst/>
            </c:spPr>
          </c:marker>
          <c:dLbls>
            <c:spPr>
              <a:noFill/>
              <a:ln>
                <a:noFill/>
              </a:ln>
              <a:effectLst/>
            </c:spPr>
            <c:txPr>
              <a:bodyPr rot="0" spcFirstLastPara="1" vertOverflow="ellipsis" vert="horz" wrap="square" anchor="ctr" anchorCtr="1"/>
              <a:lstStyle/>
              <a:p>
                <a:pPr>
                  <a:defRPr lang="en-US" sz="16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'Number of Goals'!$A$4:$A$24</c:f>
              <c:strCache>
                <c:ptCount val="20"/>
                <c:pt idx="0">
                  <c:v>1930</c:v>
                </c:pt>
                <c:pt idx="1">
                  <c:v>1934</c:v>
                </c:pt>
                <c:pt idx="2">
                  <c:v>1938</c:v>
                </c:pt>
                <c:pt idx="3">
                  <c:v>1950</c:v>
                </c:pt>
                <c:pt idx="4">
                  <c:v>1954</c:v>
                </c:pt>
                <c:pt idx="5">
                  <c:v>1958</c:v>
                </c:pt>
                <c:pt idx="6">
                  <c:v>1962</c:v>
                </c:pt>
                <c:pt idx="7">
                  <c:v>1966</c:v>
                </c:pt>
                <c:pt idx="8">
                  <c:v>1970</c:v>
                </c:pt>
                <c:pt idx="9">
                  <c:v>1974</c:v>
                </c:pt>
                <c:pt idx="10">
                  <c:v>1978</c:v>
                </c:pt>
                <c:pt idx="11">
                  <c:v>1982</c:v>
                </c:pt>
                <c:pt idx="12">
                  <c:v>1986</c:v>
                </c:pt>
                <c:pt idx="13">
                  <c:v>1990</c:v>
                </c:pt>
                <c:pt idx="14">
                  <c:v>1994</c:v>
                </c:pt>
                <c:pt idx="15">
                  <c:v>1998</c:v>
                </c:pt>
                <c:pt idx="16">
                  <c:v>2002</c:v>
                </c:pt>
                <c:pt idx="17">
                  <c:v>2006</c:v>
                </c:pt>
                <c:pt idx="18">
                  <c:v>2010</c:v>
                </c:pt>
                <c:pt idx="19">
                  <c:v>2014</c:v>
                </c:pt>
              </c:strCache>
            </c:strRef>
          </c:cat>
          <c:val>
            <c:numRef>
              <c:f>'Number of Goals'!$B$4:$B$24</c:f>
              <c:numCache>
                <c:formatCode>General</c:formatCode>
                <c:ptCount val="20"/>
                <c:pt idx="0">
                  <c:v>70</c:v>
                </c:pt>
                <c:pt idx="1">
                  <c:v>70</c:v>
                </c:pt>
                <c:pt idx="2">
                  <c:v>84</c:v>
                </c:pt>
                <c:pt idx="3">
                  <c:v>88</c:v>
                </c:pt>
                <c:pt idx="4">
                  <c:v>140</c:v>
                </c:pt>
                <c:pt idx="5">
                  <c:v>126</c:v>
                </c:pt>
                <c:pt idx="6">
                  <c:v>89</c:v>
                </c:pt>
                <c:pt idx="7">
                  <c:v>89</c:v>
                </c:pt>
                <c:pt idx="8">
                  <c:v>95</c:v>
                </c:pt>
                <c:pt idx="9">
                  <c:v>97</c:v>
                </c:pt>
                <c:pt idx="10">
                  <c:v>102</c:v>
                </c:pt>
                <c:pt idx="11">
                  <c:v>146</c:v>
                </c:pt>
                <c:pt idx="12">
                  <c:v>132</c:v>
                </c:pt>
                <c:pt idx="13">
                  <c:v>115</c:v>
                </c:pt>
                <c:pt idx="14">
                  <c:v>141</c:v>
                </c:pt>
                <c:pt idx="15">
                  <c:v>171</c:v>
                </c:pt>
                <c:pt idx="16">
                  <c:v>161</c:v>
                </c:pt>
                <c:pt idx="17">
                  <c:v>147</c:v>
                </c:pt>
                <c:pt idx="18">
                  <c:v>145</c:v>
                </c:pt>
                <c:pt idx="19">
                  <c:v>206</c:v>
                </c:pt>
              </c:numCache>
            </c:numRef>
          </c:val>
          <c:smooth val="0"/>
          <c:extLst>
            <c:ext xmlns:c16="http://schemas.microsoft.com/office/drawing/2014/chart" uri="{C3380CC4-5D6E-409C-BE32-E72D297353CC}">
              <c16:uniqueId val="{00000000-98CF-4AE0-B7E3-A934C547D838}"/>
            </c:ext>
          </c:extLst>
        </c:ser>
        <c:dLbls>
          <c:dLblPos val="t"/>
          <c:showLegendKey val="0"/>
          <c:showVal val="1"/>
          <c:showCatName val="0"/>
          <c:showSerName val="0"/>
          <c:showPercent val="0"/>
          <c:showBubbleSize val="0"/>
        </c:dLbls>
        <c:marker val="1"/>
        <c:smooth val="0"/>
        <c:axId val="705555327"/>
        <c:axId val="705555807"/>
      </c:lineChart>
      <c:catAx>
        <c:axId val="705555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crossAx val="705555807"/>
        <c:crosses val="autoZero"/>
        <c:auto val="1"/>
        <c:lblAlgn val="ctr"/>
        <c:lblOffset val="100"/>
        <c:noMultiLvlLbl val="0"/>
      </c:catAx>
      <c:valAx>
        <c:axId val="7055558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crossAx val="705555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w="9525" cap="flat" cmpd="sng" algn="ctr">
      <a:noFill/>
      <a:round/>
    </a:ln>
    <a:effectLst>
      <a:outerShdw blurRad="63500" sx="102000" sy="102000" algn="ctr" rotWithShape="0">
        <a:prstClr val="black">
          <a:alpha val="40000"/>
        </a:prstClr>
      </a:outerShdw>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[WorldCupMatches.xlsx]Top 10 Teams by Total Goals!PivotTable8</c:name>
    <c:fmtId val="4"/>
  </c:pivotSource>
  <c:chart>
    <c:title>
      <c:tx>
        <c:rich>
          <a:bodyPr rot="0" spcFirstLastPara="1" vertOverflow="ellipsis" vert="horz" wrap="square" anchor="ctr" anchorCtr="1"/>
          <a:lstStyle/>
          <a:p>
            <a:pPr algn="ctr" rtl="0">
              <a:defRPr lang="en-US" sz="2400" b="1" i="0" u="none" strike="noStrike" kern="1200" spc="0" baseline="0">
                <a:solidFill>
                  <a:schemeClr val="bg1"/>
                </a:solidFill>
                <a:latin typeface="+mn-lt"/>
                <a:ea typeface="+mn-ea"/>
                <a:cs typeface="+mn-cs"/>
              </a:defRPr>
            </a:pPr>
            <a:r>
              <a:rPr lang="en-US" sz="2400" b="1" i="0" u="none" strike="noStrike" kern="1200" spc="0" baseline="0">
                <a:solidFill>
                  <a:schemeClr val="bg1"/>
                </a:solidFill>
                <a:latin typeface="+mn-lt"/>
                <a:ea typeface="+mn-ea"/>
                <a:cs typeface="+mn-cs"/>
              </a:rPr>
              <a:t>Top 10 Teams Score Goals</a:t>
            </a:r>
          </a:p>
        </c:rich>
      </c:tx>
      <c:overlay val="0"/>
      <c:spPr>
        <a:noFill/>
        <a:ln>
          <a:noFill/>
        </a:ln>
        <a:effectLst/>
      </c:spPr>
      <c:txPr>
        <a:bodyPr rot="0" spcFirstLastPara="1" vertOverflow="ellipsis" vert="horz" wrap="square" anchor="ctr" anchorCtr="1"/>
        <a:lstStyle/>
        <a:p>
          <a:pPr algn="ctr" rtl="0">
            <a:defRPr lang="en-US" sz="2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70C0"/>
          </a:solidFill>
          <a:ln>
            <a:noFill/>
          </a:ln>
          <a:effectLst/>
        </c:spPr>
      </c:pivotFmt>
    </c:pivotFmts>
    <c:plotArea>
      <c:layout/>
      <c:barChart>
        <c:barDir val="bar"/>
        <c:grouping val="clustered"/>
        <c:varyColors val="0"/>
        <c:ser>
          <c:idx val="0"/>
          <c:order val="0"/>
          <c:tx>
            <c:strRef>
              <c:f>'Top 10 Teams by Total Goals'!$B$3</c:f>
              <c:strCache>
                <c:ptCount val="1"/>
                <c:pt idx="0">
                  <c:v>Total</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Teams by Total Goals'!$A$4:$A$14</c:f>
              <c:strCache>
                <c:ptCount val="10"/>
                <c:pt idx="0">
                  <c:v>Brazil</c:v>
                </c:pt>
                <c:pt idx="1">
                  <c:v>Argentina</c:v>
                </c:pt>
                <c:pt idx="2">
                  <c:v>Italy</c:v>
                </c:pt>
                <c:pt idx="3">
                  <c:v>Germany FR</c:v>
                </c:pt>
                <c:pt idx="4">
                  <c:v>France</c:v>
                </c:pt>
                <c:pt idx="5">
                  <c:v>Spain</c:v>
                </c:pt>
                <c:pt idx="6">
                  <c:v>Uruguay</c:v>
                </c:pt>
                <c:pt idx="7">
                  <c:v>Hungary</c:v>
                </c:pt>
                <c:pt idx="8">
                  <c:v>Netherlands</c:v>
                </c:pt>
                <c:pt idx="9">
                  <c:v>England</c:v>
                </c:pt>
              </c:strCache>
            </c:strRef>
          </c:cat>
          <c:val>
            <c:numRef>
              <c:f>'Top 10 Teams by Total Goals'!$B$4:$B$14</c:f>
              <c:numCache>
                <c:formatCode>General</c:formatCode>
                <c:ptCount val="10"/>
                <c:pt idx="0">
                  <c:v>208</c:v>
                </c:pt>
                <c:pt idx="1">
                  <c:v>151</c:v>
                </c:pt>
                <c:pt idx="2">
                  <c:v>129</c:v>
                </c:pt>
                <c:pt idx="3">
                  <c:v>124</c:v>
                </c:pt>
                <c:pt idx="4">
                  <c:v>102</c:v>
                </c:pt>
                <c:pt idx="5">
                  <c:v>91</c:v>
                </c:pt>
                <c:pt idx="6">
                  <c:v>87</c:v>
                </c:pt>
                <c:pt idx="7">
                  <c:v>85</c:v>
                </c:pt>
                <c:pt idx="8">
                  <c:v>85</c:v>
                </c:pt>
                <c:pt idx="9">
                  <c:v>84</c:v>
                </c:pt>
              </c:numCache>
            </c:numRef>
          </c:val>
          <c:extLst>
            <c:ext xmlns:c16="http://schemas.microsoft.com/office/drawing/2014/chart" uri="{C3380CC4-5D6E-409C-BE32-E72D297353CC}">
              <c16:uniqueId val="{00000000-ECF2-4F3E-BF9D-AF89F5CD8345}"/>
            </c:ext>
          </c:extLst>
        </c:ser>
        <c:dLbls>
          <c:dLblPos val="outEnd"/>
          <c:showLegendKey val="0"/>
          <c:showVal val="1"/>
          <c:showCatName val="0"/>
          <c:showSerName val="0"/>
          <c:showPercent val="0"/>
          <c:showBubbleSize val="0"/>
        </c:dLbls>
        <c:gapWidth val="182"/>
        <c:axId val="1637744559"/>
        <c:axId val="1637749359"/>
      </c:barChart>
      <c:catAx>
        <c:axId val="16377445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1637749359"/>
        <c:crosses val="autoZero"/>
        <c:auto val="1"/>
        <c:lblAlgn val="ctr"/>
        <c:lblOffset val="100"/>
        <c:noMultiLvlLbl val="0"/>
      </c:catAx>
      <c:valAx>
        <c:axId val="1637749359"/>
        <c:scaling>
          <c:orientation val="minMax"/>
        </c:scaling>
        <c:delete val="1"/>
        <c:axPos val="b"/>
        <c:numFmt formatCode="General" sourceLinked="1"/>
        <c:majorTickMark val="none"/>
        <c:minorTickMark val="none"/>
        <c:tickLblPos val="nextTo"/>
        <c:crossAx val="1637744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w="9525" cap="flat" cmpd="sng" algn="ctr">
      <a:no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[WorldCupMatches.xlsx]Average Attendance by World Cup!Average Attendance by World Cup Year</c:name>
    <c:fmtId val="4"/>
  </c:pivotSource>
  <c:chart>
    <c:title>
      <c:tx>
        <c:rich>
          <a:bodyPr rot="0" spcFirstLastPara="1" vertOverflow="ellipsis" vert="horz" wrap="square" anchor="ctr" anchorCtr="1"/>
          <a:lstStyle/>
          <a:p>
            <a:pPr algn="ctr" rtl="0">
              <a:defRPr lang="en-US" sz="2400" b="1" i="0" u="none" strike="noStrike" kern="1200" spc="0" baseline="0">
                <a:solidFill>
                  <a:schemeClr val="bg1"/>
                </a:solidFill>
                <a:latin typeface="+mn-lt"/>
                <a:ea typeface="+mn-ea"/>
                <a:cs typeface="+mn-cs"/>
              </a:defRPr>
            </a:pPr>
            <a:r>
              <a:rPr lang="en-US" sz="2400" b="1" i="0" u="none" strike="noStrike" kern="1200" spc="0" baseline="0">
                <a:solidFill>
                  <a:schemeClr val="bg1"/>
                </a:solidFill>
                <a:latin typeface="+mn-lt"/>
                <a:ea typeface="+mn-ea"/>
                <a:cs typeface="+mn-cs"/>
              </a:rPr>
              <a:t>Average Attendance by World Cup Year</a:t>
            </a:r>
          </a:p>
        </c:rich>
      </c:tx>
      <c:overlay val="0"/>
      <c:spPr>
        <a:noFill/>
        <a:ln>
          <a:noFill/>
        </a:ln>
        <a:effectLst/>
      </c:spPr>
      <c:txPr>
        <a:bodyPr rot="0" spcFirstLastPara="1" vertOverflow="ellipsis" vert="horz" wrap="square" anchor="ctr" anchorCtr="1"/>
        <a:lstStyle/>
        <a:p>
          <a:pPr algn="ctr" rtl="0">
            <a:defRPr lang="en-US" sz="2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70C0"/>
          </a:solidFill>
          <a:ln>
            <a:noFill/>
          </a:ln>
          <a:effectLst/>
        </c:spPr>
        <c:dLbl>
          <c:idx val="0"/>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
      </c:pivotFmt>
    </c:pivotFmts>
    <c:plotArea>
      <c:layout/>
      <c:barChart>
        <c:barDir val="col"/>
        <c:grouping val="clustered"/>
        <c:varyColors val="0"/>
        <c:ser>
          <c:idx val="0"/>
          <c:order val="0"/>
          <c:tx>
            <c:strRef>
              <c:f>'Average Attendance by World Cup'!$B$3</c:f>
              <c:strCache>
                <c:ptCount val="1"/>
                <c:pt idx="0">
                  <c:v>Total</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'Average Attendance by World Cup'!$A$4:$A$24</c:f>
              <c:strCache>
                <c:ptCount val="20"/>
                <c:pt idx="0">
                  <c:v>1930</c:v>
                </c:pt>
                <c:pt idx="1">
                  <c:v>1934</c:v>
                </c:pt>
                <c:pt idx="2">
                  <c:v>1938</c:v>
                </c:pt>
                <c:pt idx="3">
                  <c:v>1950</c:v>
                </c:pt>
                <c:pt idx="4">
                  <c:v>1954</c:v>
                </c:pt>
                <c:pt idx="5">
                  <c:v>1958</c:v>
                </c:pt>
                <c:pt idx="6">
                  <c:v>1962</c:v>
                </c:pt>
                <c:pt idx="7">
                  <c:v>1966</c:v>
                </c:pt>
                <c:pt idx="8">
                  <c:v>1970</c:v>
                </c:pt>
                <c:pt idx="9">
                  <c:v>1974</c:v>
                </c:pt>
                <c:pt idx="10">
                  <c:v>1978</c:v>
                </c:pt>
                <c:pt idx="11">
                  <c:v>1982</c:v>
                </c:pt>
                <c:pt idx="12">
                  <c:v>1986</c:v>
                </c:pt>
                <c:pt idx="13">
                  <c:v>1990</c:v>
                </c:pt>
                <c:pt idx="14">
                  <c:v>1994</c:v>
                </c:pt>
                <c:pt idx="15">
                  <c:v>1998</c:v>
                </c:pt>
                <c:pt idx="16">
                  <c:v>2002</c:v>
                </c:pt>
                <c:pt idx="17">
                  <c:v>2006</c:v>
                </c:pt>
                <c:pt idx="18">
                  <c:v>2010</c:v>
                </c:pt>
                <c:pt idx="19">
                  <c:v>2014</c:v>
                </c:pt>
              </c:strCache>
            </c:strRef>
          </c:cat>
          <c:val>
            <c:numRef>
              <c:f>'Average Attendance by World Cup'!$B$4:$B$24</c:f>
              <c:numCache>
                <c:formatCode>_(* #,##0_);_(* \(#,##0\);_(* "-"??_);_(@_)</c:formatCode>
                <c:ptCount val="20"/>
                <c:pt idx="0">
                  <c:v>32808.277777777781</c:v>
                </c:pt>
                <c:pt idx="1">
                  <c:v>21352.941176470587</c:v>
                </c:pt>
                <c:pt idx="2">
                  <c:v>20872.222222222223</c:v>
                </c:pt>
                <c:pt idx="3">
                  <c:v>47511.181818181816</c:v>
                </c:pt>
                <c:pt idx="4">
                  <c:v>29561.807692307691</c:v>
                </c:pt>
                <c:pt idx="5">
                  <c:v>23423.142857142859</c:v>
                </c:pt>
                <c:pt idx="6">
                  <c:v>27911.625</c:v>
                </c:pt>
                <c:pt idx="7">
                  <c:v>48847.96875</c:v>
                </c:pt>
                <c:pt idx="8">
                  <c:v>50124.21875</c:v>
                </c:pt>
                <c:pt idx="9">
                  <c:v>49098.76315789474</c:v>
                </c:pt>
                <c:pt idx="10">
                  <c:v>40678.710526315786</c:v>
                </c:pt>
                <c:pt idx="11">
                  <c:v>40571.596153846156</c:v>
                </c:pt>
                <c:pt idx="12">
                  <c:v>46039.057692307695</c:v>
                </c:pt>
                <c:pt idx="13">
                  <c:v>48388.75</c:v>
                </c:pt>
                <c:pt idx="14">
                  <c:v>68991.11538461539</c:v>
                </c:pt>
                <c:pt idx="15">
                  <c:v>43517.1875</c:v>
                </c:pt>
                <c:pt idx="16">
                  <c:v>42268.703125</c:v>
                </c:pt>
                <c:pt idx="17">
                  <c:v>52491.234375</c:v>
                </c:pt>
                <c:pt idx="18">
                  <c:v>49669.625</c:v>
                </c:pt>
                <c:pt idx="19">
                  <c:v>55374.910256410258</c:v>
                </c:pt>
              </c:numCache>
            </c:numRef>
          </c:val>
          <c:extLst>
            <c:ext xmlns:c16="http://schemas.microsoft.com/office/drawing/2014/chart" uri="{C3380CC4-5D6E-409C-BE32-E72D297353CC}">
              <c16:uniqueId val="{00000000-CDFA-4A03-924A-DEB33E3AD375}"/>
            </c:ext>
          </c:extLst>
        </c:ser>
        <c:dLbls>
          <c:dLblPos val="outEnd"/>
          <c:showLegendKey val="0"/>
          <c:showVal val="1"/>
          <c:showCatName val="0"/>
          <c:showSerName val="0"/>
          <c:showPercent val="0"/>
          <c:showBubbleSize val="0"/>
        </c:dLbls>
        <c:gapWidth val="219"/>
        <c:overlap val="-27"/>
        <c:axId val="1637731119"/>
        <c:axId val="1637739759"/>
      </c:barChart>
      <c:catAx>
        <c:axId val="1637731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37739759"/>
        <c:crosses val="autoZero"/>
        <c:auto val="1"/>
        <c:lblAlgn val="ctr"/>
        <c:lblOffset val="100"/>
        <c:noMultiLvlLbl val="0"/>
      </c:catAx>
      <c:valAx>
        <c:axId val="1637739759"/>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37731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w="9525" cap="flat" cmpd="sng" algn="ctr">
      <a:no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[WorldCupMatches.xlsx]Top 10 Host Cities by Number of!PivotTable2</c:name>
    <c:fmtId val="21"/>
  </c:pivotSource>
  <c:chart>
    <c:title>
      <c:tx>
        <c:rich>
          <a:bodyPr rot="0" spcFirstLastPara="1" vertOverflow="ellipsis" vert="horz" wrap="square" anchor="ctr" anchorCtr="1"/>
          <a:lstStyle/>
          <a:p>
            <a:pPr algn="ctr" rtl="0">
              <a:defRPr lang="en-US" sz="2400" b="1" i="0" u="none" strike="noStrike" kern="1200" spc="0" baseline="0">
                <a:solidFill>
                  <a:schemeClr val="bg1"/>
                </a:solidFill>
                <a:latin typeface="+mn-lt"/>
                <a:ea typeface="+mn-ea"/>
                <a:cs typeface="+mn-cs"/>
              </a:defRPr>
            </a:pPr>
            <a:r>
              <a:rPr lang="en-US" sz="2400" b="1" i="0" u="none" strike="noStrike" kern="1200" spc="0" baseline="0">
                <a:solidFill>
                  <a:schemeClr val="bg1"/>
                </a:solidFill>
                <a:latin typeface="+mn-lt"/>
                <a:ea typeface="+mn-ea"/>
                <a:cs typeface="+mn-cs"/>
              </a:rPr>
              <a:t>Top 10 Host Cities by Number of Matches</a:t>
            </a:r>
          </a:p>
        </c:rich>
      </c:tx>
      <c:overlay val="0"/>
      <c:spPr>
        <a:noFill/>
        <a:ln>
          <a:noFill/>
        </a:ln>
        <a:effectLst/>
      </c:spPr>
      <c:txPr>
        <a:bodyPr rot="0" spcFirstLastPara="1" vertOverflow="ellipsis" vert="horz" wrap="square" anchor="ctr" anchorCtr="1"/>
        <a:lstStyle/>
        <a:p>
          <a:pPr algn="ctr" rtl="0">
            <a:defRPr lang="en-US" sz="2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a:outerShdw blurRad="63500" sx="102000" sy="102000" algn="c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70C0"/>
          </a:solidFill>
          <a:ln>
            <a:noFill/>
          </a:ln>
          <a:effectLst>
            <a:outerShdw blurRad="63500" sx="102000" sy="102000" algn="ctr" rotWithShape="0">
              <a:prstClr val="black">
                <a:alpha val="40000"/>
              </a:prstClr>
            </a:outerShdw>
          </a:effectLst>
        </c:spPr>
      </c:pivotFmt>
    </c:pivotFmts>
    <c:plotArea>
      <c:layout>
        <c:manualLayout>
          <c:layoutTarget val="inner"/>
          <c:xMode val="edge"/>
          <c:yMode val="edge"/>
          <c:x val="7.5618347185768445E-2"/>
          <c:y val="0.12195717012646147"/>
          <c:w val="0.90586313429571308"/>
          <c:h val="0.84773979957050827"/>
        </c:manualLayout>
      </c:layout>
      <c:barChart>
        <c:barDir val="bar"/>
        <c:grouping val="clustered"/>
        <c:varyColors val="0"/>
        <c:ser>
          <c:idx val="0"/>
          <c:order val="0"/>
          <c:tx>
            <c:strRef>
              <c:f>'Top 10 Host Cities by Number of'!$B$3</c:f>
              <c:strCache>
                <c:ptCount val="1"/>
                <c:pt idx="0">
                  <c:v>Total</c:v>
                </c:pt>
              </c:strCache>
            </c:strRef>
          </c:tx>
          <c:spPr>
            <a:solidFill>
              <a:srgbClr val="0070C0"/>
            </a:solidFill>
            <a:ln>
              <a:noFill/>
            </a:ln>
            <a:effectLst>
              <a:outerShdw blurRad="63500" sx="102000" sy="102000" algn="ctr"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Host Cities by Number of'!$A$4:$A$14</c:f>
              <c:strCache>
                <c:ptCount val="10"/>
                <c:pt idx="0">
                  <c:v>Mexico City</c:v>
                </c:pt>
                <c:pt idx="1">
                  <c:v>Rio De Janeiro</c:v>
                </c:pt>
                <c:pt idx="2">
                  <c:v>Montevideo</c:v>
                </c:pt>
                <c:pt idx="3">
                  <c:v>Guadalajara</c:v>
                </c:pt>
                <c:pt idx="4">
                  <c:v>Johannesburg</c:v>
                </c:pt>
                <c:pt idx="5">
                  <c:v>Sao Paulo</c:v>
                </c:pt>
                <c:pt idx="6">
                  <c:v>Buenos Aires</c:v>
                </c:pt>
                <c:pt idx="7">
                  <c:v>Munich</c:v>
                </c:pt>
                <c:pt idx="8">
                  <c:v>Belo Horizonte</c:v>
                </c:pt>
                <c:pt idx="9">
                  <c:v>Leon</c:v>
                </c:pt>
              </c:strCache>
            </c:strRef>
          </c:cat>
          <c:val>
            <c:numRef>
              <c:f>'Top 10 Host Cities by Number of'!$B$4:$B$14</c:f>
              <c:numCache>
                <c:formatCode>General</c:formatCode>
                <c:ptCount val="10"/>
                <c:pt idx="0">
                  <c:v>23</c:v>
                </c:pt>
                <c:pt idx="1">
                  <c:v>18</c:v>
                </c:pt>
                <c:pt idx="2">
                  <c:v>18</c:v>
                </c:pt>
                <c:pt idx="3">
                  <c:v>17</c:v>
                </c:pt>
                <c:pt idx="4">
                  <c:v>15</c:v>
                </c:pt>
                <c:pt idx="5">
                  <c:v>14</c:v>
                </c:pt>
                <c:pt idx="6">
                  <c:v>12</c:v>
                </c:pt>
                <c:pt idx="7">
                  <c:v>11</c:v>
                </c:pt>
                <c:pt idx="8">
                  <c:v>11</c:v>
                </c:pt>
                <c:pt idx="9">
                  <c:v>11</c:v>
                </c:pt>
              </c:numCache>
            </c:numRef>
          </c:val>
          <c:extLst>
            <c:ext xmlns:c16="http://schemas.microsoft.com/office/drawing/2014/chart" uri="{C3380CC4-5D6E-409C-BE32-E72D297353CC}">
              <c16:uniqueId val="{00000000-6ED2-460D-B177-5C32F66A5787}"/>
            </c:ext>
          </c:extLst>
        </c:ser>
        <c:dLbls>
          <c:dLblPos val="outEnd"/>
          <c:showLegendKey val="0"/>
          <c:showVal val="1"/>
          <c:showCatName val="0"/>
          <c:showSerName val="0"/>
          <c:showPercent val="0"/>
          <c:showBubbleSize val="0"/>
        </c:dLbls>
        <c:gapWidth val="182"/>
        <c:axId val="1637721039"/>
        <c:axId val="1637723919"/>
      </c:barChart>
      <c:catAx>
        <c:axId val="16377210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637723919"/>
        <c:crosses val="autoZero"/>
        <c:auto val="1"/>
        <c:lblAlgn val="ctr"/>
        <c:lblOffset val="100"/>
        <c:noMultiLvlLbl val="0"/>
      </c:catAx>
      <c:valAx>
        <c:axId val="1637723919"/>
        <c:scaling>
          <c:orientation val="minMax"/>
        </c:scaling>
        <c:delete val="1"/>
        <c:axPos val="b"/>
        <c:numFmt formatCode="General" sourceLinked="1"/>
        <c:majorTickMark val="none"/>
        <c:minorTickMark val="none"/>
        <c:tickLblPos val="nextTo"/>
        <c:crossAx val="1637721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w="9525" cap="flat" cmpd="sng" algn="ctr">
      <a:no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[WorldCupMatches.xlsx]Avarage of goals per stage!Avarage of goals per stage</c:name>
    <c:fmtId val="9"/>
  </c:pivotSource>
  <c:chart>
    <c:title>
      <c:tx>
        <c:rich>
          <a:bodyPr rot="0" spcFirstLastPara="1" vertOverflow="ellipsis" vert="horz" wrap="square" anchor="ctr" anchorCtr="1"/>
          <a:lstStyle/>
          <a:p>
            <a:pPr algn="ctr" rtl="0">
              <a:defRPr lang="en-US" sz="2400" b="1" i="0" u="none" strike="noStrike" kern="1200" spc="0" baseline="0">
                <a:solidFill>
                  <a:schemeClr val="bg1"/>
                </a:solidFill>
                <a:latin typeface="+mn-lt"/>
                <a:ea typeface="+mn-ea"/>
                <a:cs typeface="+mn-cs"/>
              </a:defRPr>
            </a:pPr>
            <a:r>
              <a:rPr lang="en-US" sz="2400" b="1" i="0" u="none" strike="noStrike" kern="1200" spc="0" baseline="0">
                <a:solidFill>
                  <a:schemeClr val="bg1"/>
                </a:solidFill>
                <a:latin typeface="+mn-lt"/>
                <a:ea typeface="+mn-ea"/>
                <a:cs typeface="+mn-cs"/>
              </a:rPr>
              <a:t>Average goals per stage</a:t>
            </a:r>
          </a:p>
        </c:rich>
      </c:tx>
      <c:overlay val="0"/>
      <c:spPr>
        <a:noFill/>
        <a:ln>
          <a:noFill/>
        </a:ln>
        <a:effectLst/>
      </c:spPr>
      <c:txPr>
        <a:bodyPr rot="0" spcFirstLastPara="1" vertOverflow="ellipsis" vert="horz" wrap="square" anchor="ctr" anchorCtr="1"/>
        <a:lstStyle/>
        <a:p>
          <a:pPr algn="ctr" rtl="0">
            <a:defRPr lang="en-US" sz="2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'Avarage of goals per stage'!$B$3</c:f>
              <c:strCache>
                <c:ptCount val="1"/>
                <c:pt idx="0">
                  <c:v>Total</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'Avarage of goals per stage'!$A$4:$A$14</c:f>
              <c:strCache>
                <c:ptCount val="10"/>
                <c:pt idx="0">
                  <c:v>Preliminary round</c:v>
                </c:pt>
                <c:pt idx="1">
                  <c:v>First round</c:v>
                </c:pt>
                <c:pt idx="2">
                  <c:v>Group 6</c:v>
                </c:pt>
                <c:pt idx="3">
                  <c:v>Third place</c:v>
                </c:pt>
                <c:pt idx="4">
                  <c:v>Match for third place</c:v>
                </c:pt>
                <c:pt idx="5">
                  <c:v>Semi-finals</c:v>
                </c:pt>
                <c:pt idx="6">
                  <c:v>Final</c:v>
                </c:pt>
                <c:pt idx="7">
                  <c:v>Group 4</c:v>
                </c:pt>
                <c:pt idx="8">
                  <c:v>Group 2</c:v>
                </c:pt>
                <c:pt idx="9">
                  <c:v>Play-off for third place</c:v>
                </c:pt>
              </c:strCache>
            </c:strRef>
          </c:cat>
          <c:val>
            <c:numRef>
              <c:f>'Avarage of goals per stage'!$B$4:$B$14</c:f>
              <c:numCache>
                <c:formatCode>0.00</c:formatCode>
                <c:ptCount val="10"/>
                <c:pt idx="0">
                  <c:v>5.375</c:v>
                </c:pt>
                <c:pt idx="1">
                  <c:v>4.8888888888888893</c:v>
                </c:pt>
                <c:pt idx="2">
                  <c:v>4.75</c:v>
                </c:pt>
                <c:pt idx="3">
                  <c:v>4.5</c:v>
                </c:pt>
                <c:pt idx="4">
                  <c:v>3.9333333333333331</c:v>
                </c:pt>
                <c:pt idx="5">
                  <c:v>3.6388888888888888</c:v>
                </c:pt>
                <c:pt idx="6">
                  <c:v>3.45</c:v>
                </c:pt>
                <c:pt idx="7">
                  <c:v>3.2</c:v>
                </c:pt>
                <c:pt idx="8">
                  <c:v>3.1694915254237288</c:v>
                </c:pt>
                <c:pt idx="9">
                  <c:v>3</c:v>
                </c:pt>
              </c:numCache>
            </c:numRef>
          </c:val>
          <c:extLst>
            <c:ext xmlns:c16="http://schemas.microsoft.com/office/drawing/2014/chart" uri="{C3380CC4-5D6E-409C-BE32-E72D297353CC}">
              <c16:uniqueId val="{00000000-3EC4-4EC6-9F09-4ED5921E164F}"/>
            </c:ext>
          </c:extLst>
        </c:ser>
        <c:dLbls>
          <c:dLblPos val="outEnd"/>
          <c:showLegendKey val="0"/>
          <c:showVal val="1"/>
          <c:showCatName val="0"/>
          <c:showSerName val="0"/>
          <c:showPercent val="0"/>
          <c:showBubbleSize val="0"/>
        </c:dLbls>
        <c:gapWidth val="182"/>
        <c:axId val="582395247"/>
        <c:axId val="582398607"/>
      </c:barChart>
      <c:catAx>
        <c:axId val="5823952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82398607"/>
        <c:crosses val="autoZero"/>
        <c:auto val="1"/>
        <c:lblAlgn val="ctr"/>
        <c:lblOffset val="100"/>
        <c:noMultiLvlLbl val="0"/>
      </c:catAx>
      <c:valAx>
        <c:axId val="582398607"/>
        <c:scaling>
          <c:orientation val="minMax"/>
        </c:scaling>
        <c:delete val="1"/>
        <c:axPos val="b"/>
        <c:numFmt formatCode="0.00" sourceLinked="1"/>
        <c:majorTickMark val="none"/>
        <c:minorTickMark val="none"/>
        <c:tickLblPos val="nextTo"/>
        <c:crossAx val="582395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w="9525" cap="flat" cmpd="sng" algn="ctr">
      <a:no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6</xdr:col>
      <xdr:colOff>363310</xdr:colOff>
      <xdr:row>4</xdr:row>
      <xdr:rowOff>70757</xdr:rowOff>
    </xdr:from>
    <xdr:to>
      <xdr:col>14</xdr:col>
      <xdr:colOff>55789</xdr:colOff>
      <xdr:row>21</xdr:row>
      <xdr:rowOff>61232</xdr:rowOff>
    </xdr:to>
    <xdr:graphicFrame macro="">
      <xdr:nvGraphicFramePr>
        <xdr:cNvPr id="2" name="Chart 1">
          <a:extLst>
            <a:ext uri="{FF2B5EF4-FFF2-40B4-BE49-F238E27FC236}">
              <a16:creationId xmlns:a16="http://schemas.microsoft.com/office/drawing/2014/main" id="{497AA373-6709-9EC2-567F-78664470AE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17</xdr:col>
      <xdr:colOff>0</xdr:colOff>
      <xdr:row>7</xdr:row>
      <xdr:rowOff>27213</xdr:rowOff>
    </xdr:from>
    <xdr:ext cx="6368143" cy="1782537"/>
    <xdr:sp macro="" textlink="">
      <xdr:nvSpPr>
        <xdr:cNvPr id="3" name="TextBox 2">
          <a:extLst>
            <a:ext uri="{FF2B5EF4-FFF2-40B4-BE49-F238E27FC236}">
              <a16:creationId xmlns:a16="http://schemas.microsoft.com/office/drawing/2014/main" id="{47D2B374-2148-7A57-03CC-F7C70E210169}"/>
            </a:ext>
          </a:extLst>
        </xdr:cNvPr>
        <xdr:cNvSpPr txBox="1"/>
      </xdr:nvSpPr>
      <xdr:spPr>
        <a:xfrm>
          <a:off x="11661321" y="1170213"/>
          <a:ext cx="6368143" cy="17825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en-US" sz="1600" b="1">
              <a:solidFill>
                <a:srgbClr val="002060"/>
              </a:solidFill>
            </a:rPr>
            <a:t>The number of World Cup matches increased significantly over the years, from 18 matches in 1930 to 80 matches in 2014, mainly due to the expansion in the number of participating teams.</a:t>
          </a: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2</xdr:col>
      <xdr:colOff>442911</xdr:colOff>
      <xdr:row>1</xdr:row>
      <xdr:rowOff>114300</xdr:rowOff>
    </xdr:from>
    <xdr:to>
      <xdr:col>14</xdr:col>
      <xdr:colOff>9525</xdr:colOff>
      <xdr:row>18</xdr:row>
      <xdr:rowOff>104775</xdr:rowOff>
    </xdr:to>
    <xdr:graphicFrame macro="">
      <xdr:nvGraphicFramePr>
        <xdr:cNvPr id="4" name="Chart 3">
          <a:extLst>
            <a:ext uri="{FF2B5EF4-FFF2-40B4-BE49-F238E27FC236}">
              <a16:creationId xmlns:a16="http://schemas.microsoft.com/office/drawing/2014/main" id="{9485F82E-1A02-418D-5F1E-F081BE8DF2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19050</xdr:colOff>
      <xdr:row>2</xdr:row>
      <xdr:rowOff>142875</xdr:rowOff>
    </xdr:from>
    <xdr:to>
      <xdr:col>13</xdr:col>
      <xdr:colOff>76200</xdr:colOff>
      <xdr:row>19</xdr:row>
      <xdr:rowOff>133350</xdr:rowOff>
    </xdr:to>
    <xdr:graphicFrame macro="">
      <xdr:nvGraphicFramePr>
        <xdr:cNvPr id="2" name="Chart 1">
          <a:extLst>
            <a:ext uri="{FF2B5EF4-FFF2-40B4-BE49-F238E27FC236}">
              <a16:creationId xmlns:a16="http://schemas.microsoft.com/office/drawing/2014/main" id="{0182777E-D485-29AF-0C1F-55C418054B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9525</xdr:colOff>
      <xdr:row>3</xdr:row>
      <xdr:rowOff>114300</xdr:rowOff>
    </xdr:from>
    <xdr:to>
      <xdr:col>12</xdr:col>
      <xdr:colOff>85725</xdr:colOff>
      <xdr:row>28</xdr:row>
      <xdr:rowOff>9525</xdr:rowOff>
    </xdr:to>
    <xdr:graphicFrame macro="">
      <xdr:nvGraphicFramePr>
        <xdr:cNvPr id="2" name="Chart 1">
          <a:extLst>
            <a:ext uri="{FF2B5EF4-FFF2-40B4-BE49-F238E27FC236}">
              <a16:creationId xmlns:a16="http://schemas.microsoft.com/office/drawing/2014/main" id="{C31E45C5-DF74-81AB-58FC-D1482F0806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224117</xdr:colOff>
      <xdr:row>1</xdr:row>
      <xdr:rowOff>85164</xdr:rowOff>
    </xdr:from>
    <xdr:to>
      <xdr:col>16</xdr:col>
      <xdr:colOff>44824</xdr:colOff>
      <xdr:row>26</xdr:row>
      <xdr:rowOff>56030</xdr:rowOff>
    </xdr:to>
    <xdr:graphicFrame macro="">
      <xdr:nvGraphicFramePr>
        <xdr:cNvPr id="6" name="Chart 5">
          <a:extLst>
            <a:ext uri="{FF2B5EF4-FFF2-40B4-BE49-F238E27FC236}">
              <a16:creationId xmlns:a16="http://schemas.microsoft.com/office/drawing/2014/main" id="{971C8AC0-48C7-5B61-D1D6-C3F53678CF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442912</xdr:colOff>
      <xdr:row>3</xdr:row>
      <xdr:rowOff>0</xdr:rowOff>
    </xdr:from>
    <xdr:to>
      <xdr:col>10</xdr:col>
      <xdr:colOff>138112</xdr:colOff>
      <xdr:row>19</xdr:row>
      <xdr:rowOff>152400</xdr:rowOff>
    </xdr:to>
    <xdr:graphicFrame macro="">
      <xdr:nvGraphicFramePr>
        <xdr:cNvPr id="2" name="Chart 1">
          <a:extLst>
            <a:ext uri="{FF2B5EF4-FFF2-40B4-BE49-F238E27FC236}">
              <a16:creationId xmlns:a16="http://schemas.microsoft.com/office/drawing/2014/main" id="{FFACF398-DCC9-877E-01F1-970A67C9F4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290511</xdr:colOff>
      <xdr:row>1</xdr:row>
      <xdr:rowOff>9524</xdr:rowOff>
    </xdr:from>
    <xdr:to>
      <xdr:col>13</xdr:col>
      <xdr:colOff>47624</xdr:colOff>
      <xdr:row>22</xdr:row>
      <xdr:rowOff>85724</xdr:rowOff>
    </xdr:to>
    <xdr:graphicFrame macro="">
      <xdr:nvGraphicFramePr>
        <xdr:cNvPr id="2" name="Chart 1">
          <a:extLst>
            <a:ext uri="{FF2B5EF4-FFF2-40B4-BE49-F238E27FC236}">
              <a16:creationId xmlns:a16="http://schemas.microsoft.com/office/drawing/2014/main" id="{50BA038E-B0A1-E27A-85CE-38F09A7BF3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452436</xdr:colOff>
      <xdr:row>0</xdr:row>
      <xdr:rowOff>104775</xdr:rowOff>
    </xdr:from>
    <xdr:to>
      <xdr:col>11</xdr:col>
      <xdr:colOff>590549</xdr:colOff>
      <xdr:row>17</xdr:row>
      <xdr:rowOff>133350</xdr:rowOff>
    </xdr:to>
    <xdr:graphicFrame macro="">
      <xdr:nvGraphicFramePr>
        <xdr:cNvPr id="2" name="Chart 1">
          <a:extLst>
            <a:ext uri="{FF2B5EF4-FFF2-40B4-BE49-F238E27FC236}">
              <a16:creationId xmlns:a16="http://schemas.microsoft.com/office/drawing/2014/main" id="{53F30E08-605D-1A1E-28F6-494CFE6F0F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0</xdr:rowOff>
    </xdr:from>
    <xdr:to>
      <xdr:col>72</xdr:col>
      <xdr:colOff>0</xdr:colOff>
      <xdr:row>143</xdr:row>
      <xdr:rowOff>0</xdr:rowOff>
    </xdr:to>
    <xdr:sp macro="" textlink="">
      <xdr:nvSpPr>
        <xdr:cNvPr id="27" name="Rectangle: Rounded Corners 26">
          <a:extLst>
            <a:ext uri="{FF2B5EF4-FFF2-40B4-BE49-F238E27FC236}">
              <a16:creationId xmlns:a16="http://schemas.microsoft.com/office/drawing/2014/main" id="{9EA9CDB2-6A25-A6F9-5EBC-5F002CF75F76}"/>
            </a:ext>
          </a:extLst>
        </xdr:cNvPr>
        <xdr:cNvSpPr/>
      </xdr:nvSpPr>
      <xdr:spPr>
        <a:xfrm>
          <a:off x="0" y="0"/>
          <a:ext cx="43891200" cy="21793200"/>
        </a:xfrm>
        <a:prstGeom prst="roundRect">
          <a:avLst>
            <a:gd name="adj" fmla="val 2388"/>
          </a:avLst>
        </a:prstGeom>
        <a:solidFill>
          <a:srgbClr val="002060"/>
        </a:solidFill>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8800" b="1"/>
            <a:t>FIFA World Cup Data Analysis Dashboard</a:t>
          </a:r>
        </a:p>
      </xdr:txBody>
    </xdr:sp>
    <xdr:clientData/>
  </xdr:twoCellAnchor>
  <xdr:twoCellAnchor>
    <xdr:from>
      <xdr:col>8</xdr:col>
      <xdr:colOff>495300</xdr:colOff>
      <xdr:row>14</xdr:row>
      <xdr:rowOff>91523</xdr:rowOff>
    </xdr:from>
    <xdr:to>
      <xdr:col>20</xdr:col>
      <xdr:colOff>390525</xdr:colOff>
      <xdr:row>27</xdr:row>
      <xdr:rowOff>76976</xdr:rowOff>
    </xdr:to>
    <xdr:sp macro="" textlink="">
      <xdr:nvSpPr>
        <xdr:cNvPr id="2" name="Rectangle: Rounded Corners 1">
          <a:extLst>
            <a:ext uri="{FF2B5EF4-FFF2-40B4-BE49-F238E27FC236}">
              <a16:creationId xmlns:a16="http://schemas.microsoft.com/office/drawing/2014/main" id="{CC9248B2-FE45-3A05-2F79-D98054C67ABB}"/>
            </a:ext>
          </a:extLst>
        </xdr:cNvPr>
        <xdr:cNvSpPr/>
      </xdr:nvSpPr>
      <xdr:spPr>
        <a:xfrm>
          <a:off x="5372100" y="2225123"/>
          <a:ext cx="7210425" cy="1966653"/>
        </a:xfrm>
        <a:prstGeom prst="roundRect">
          <a:avLst/>
        </a:prstGeom>
        <a:solidFill>
          <a:srgbClr val="002060"/>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800" b="1">
              <a:solidFill>
                <a:schemeClr val="bg1"/>
              </a:solidFill>
            </a:rPr>
            <a:t>Total Matches</a:t>
          </a:r>
        </a:p>
      </xdr:txBody>
    </xdr:sp>
    <xdr:clientData/>
  </xdr:twoCellAnchor>
  <xdr:twoCellAnchor>
    <xdr:from>
      <xdr:col>21</xdr:col>
      <xdr:colOff>307727</xdr:colOff>
      <xdr:row>14</xdr:row>
      <xdr:rowOff>112567</xdr:rowOff>
    </xdr:from>
    <xdr:to>
      <xdr:col>33</xdr:col>
      <xdr:colOff>193427</xdr:colOff>
      <xdr:row>27</xdr:row>
      <xdr:rowOff>115770</xdr:rowOff>
    </xdr:to>
    <xdr:sp macro="" textlink="">
      <xdr:nvSpPr>
        <xdr:cNvPr id="3" name="Rectangle: Rounded Corners 2">
          <a:extLst>
            <a:ext uri="{FF2B5EF4-FFF2-40B4-BE49-F238E27FC236}">
              <a16:creationId xmlns:a16="http://schemas.microsoft.com/office/drawing/2014/main" id="{2C4BFF88-48C7-4F1E-9147-C187AE35E1FC}"/>
            </a:ext>
          </a:extLst>
        </xdr:cNvPr>
        <xdr:cNvSpPr/>
      </xdr:nvSpPr>
      <xdr:spPr>
        <a:xfrm>
          <a:off x="13109327" y="2246167"/>
          <a:ext cx="7200900" cy="1984403"/>
        </a:xfrm>
        <a:prstGeom prst="roundRect">
          <a:avLst/>
        </a:prstGeom>
        <a:solidFill>
          <a:srgbClr val="002060"/>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4000" b="1">
              <a:solidFill>
                <a:schemeClr val="bg1"/>
              </a:solidFill>
              <a:latin typeface="+mn-lt"/>
              <a:ea typeface="+mn-ea"/>
              <a:cs typeface="+mn-cs"/>
            </a:rPr>
            <a:t>Total Goals</a:t>
          </a:r>
        </a:p>
      </xdr:txBody>
    </xdr:sp>
    <xdr:clientData/>
  </xdr:twoCellAnchor>
  <xdr:twoCellAnchor>
    <xdr:from>
      <xdr:col>34</xdr:col>
      <xdr:colOff>110629</xdr:colOff>
      <xdr:row>14</xdr:row>
      <xdr:rowOff>112567</xdr:rowOff>
    </xdr:from>
    <xdr:to>
      <xdr:col>45</xdr:col>
      <xdr:colOff>605929</xdr:colOff>
      <xdr:row>27</xdr:row>
      <xdr:rowOff>108906</xdr:rowOff>
    </xdr:to>
    <xdr:sp macro="" textlink="">
      <xdr:nvSpPr>
        <xdr:cNvPr id="4" name="Rectangle: Rounded Corners 3">
          <a:extLst>
            <a:ext uri="{FF2B5EF4-FFF2-40B4-BE49-F238E27FC236}">
              <a16:creationId xmlns:a16="http://schemas.microsoft.com/office/drawing/2014/main" id="{9B07621C-B0F2-429A-B95A-43F6F26508A5}"/>
            </a:ext>
          </a:extLst>
        </xdr:cNvPr>
        <xdr:cNvSpPr/>
      </xdr:nvSpPr>
      <xdr:spPr>
        <a:xfrm>
          <a:off x="20837029" y="2246167"/>
          <a:ext cx="7200900" cy="1977539"/>
        </a:xfrm>
        <a:prstGeom prst="roundRect">
          <a:avLst/>
        </a:prstGeom>
        <a:solidFill>
          <a:srgbClr val="002060"/>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4000" b="1">
              <a:solidFill>
                <a:schemeClr val="bg1"/>
              </a:solidFill>
              <a:latin typeface="+mn-lt"/>
              <a:ea typeface="+mn-ea"/>
              <a:cs typeface="+mn-cs"/>
            </a:rPr>
            <a:t>Average Goals per Match</a:t>
          </a:r>
        </a:p>
      </xdr:txBody>
    </xdr:sp>
    <xdr:clientData/>
  </xdr:twoCellAnchor>
  <xdr:twoCellAnchor>
    <xdr:from>
      <xdr:col>8</xdr:col>
      <xdr:colOff>495300</xdr:colOff>
      <xdr:row>21</xdr:row>
      <xdr:rowOff>48613</xdr:rowOff>
    </xdr:from>
    <xdr:to>
      <xdr:col>20</xdr:col>
      <xdr:colOff>390525</xdr:colOff>
      <xdr:row>26</xdr:row>
      <xdr:rowOff>115288</xdr:rowOff>
    </xdr:to>
    <xdr:sp macro="" textlink="Summary!B1">
      <xdr:nvSpPr>
        <xdr:cNvPr id="5" name="TextBox 4">
          <a:extLst>
            <a:ext uri="{FF2B5EF4-FFF2-40B4-BE49-F238E27FC236}">
              <a16:creationId xmlns:a16="http://schemas.microsoft.com/office/drawing/2014/main" id="{0481F666-77C2-AEA4-79DD-42AB48C9B26D}"/>
            </a:ext>
          </a:extLst>
        </xdr:cNvPr>
        <xdr:cNvSpPr txBox="1"/>
      </xdr:nvSpPr>
      <xdr:spPr>
        <a:xfrm>
          <a:off x="5372100" y="3249013"/>
          <a:ext cx="7210425" cy="828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FAEBADB-08C0-4F5F-B77C-86B3A8A35CC9}" type="TxLink">
            <a:rPr lang="en-US" sz="4400" b="1" i="0" u="none" strike="noStrike">
              <a:solidFill>
                <a:schemeClr val="bg1"/>
              </a:solidFill>
              <a:latin typeface="Arial"/>
              <a:cs typeface="Arial"/>
            </a:rPr>
            <a:pPr algn="ctr"/>
            <a:t>852</a:t>
          </a:fld>
          <a:endParaRPr lang="en-US" sz="5400" b="1">
            <a:solidFill>
              <a:schemeClr val="bg1"/>
            </a:solidFill>
          </a:endParaRPr>
        </a:p>
      </xdr:txBody>
    </xdr:sp>
    <xdr:clientData/>
  </xdr:twoCellAnchor>
  <xdr:twoCellAnchor>
    <xdr:from>
      <xdr:col>46</xdr:col>
      <xdr:colOff>523130</xdr:colOff>
      <xdr:row>14</xdr:row>
      <xdr:rowOff>112567</xdr:rowOff>
    </xdr:from>
    <xdr:to>
      <xdr:col>58</xdr:col>
      <xdr:colOff>418355</xdr:colOff>
      <xdr:row>27</xdr:row>
      <xdr:rowOff>108907</xdr:rowOff>
    </xdr:to>
    <xdr:sp macro="" textlink="">
      <xdr:nvSpPr>
        <xdr:cNvPr id="6" name="Rectangle: Rounded Corners 5">
          <a:extLst>
            <a:ext uri="{FF2B5EF4-FFF2-40B4-BE49-F238E27FC236}">
              <a16:creationId xmlns:a16="http://schemas.microsoft.com/office/drawing/2014/main" id="{03597CE6-60AD-4005-BDEE-4BA2E67B9384}"/>
            </a:ext>
          </a:extLst>
        </xdr:cNvPr>
        <xdr:cNvSpPr/>
      </xdr:nvSpPr>
      <xdr:spPr>
        <a:xfrm>
          <a:off x="26812130" y="2779567"/>
          <a:ext cx="6753225" cy="2472840"/>
        </a:xfrm>
        <a:prstGeom prst="roundRect">
          <a:avLst/>
        </a:prstGeom>
        <a:solidFill>
          <a:srgbClr val="002060"/>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4000" b="1">
              <a:solidFill>
                <a:schemeClr val="bg1"/>
              </a:solidFill>
              <a:latin typeface="+mn-lt"/>
              <a:ea typeface="+mn-ea"/>
              <a:cs typeface="+mn-cs"/>
            </a:rPr>
            <a:t>Average Attendance</a:t>
          </a:r>
        </a:p>
      </xdr:txBody>
    </xdr:sp>
    <xdr:clientData/>
  </xdr:twoCellAnchor>
  <xdr:oneCellAnchor>
    <xdr:from>
      <xdr:col>21</xdr:col>
      <xdr:colOff>499815</xdr:colOff>
      <xdr:row>22</xdr:row>
      <xdr:rowOff>3203</xdr:rowOff>
    </xdr:from>
    <xdr:ext cx="7315200" cy="914400"/>
    <xdr:sp macro="" textlink="Summary!B2">
      <xdr:nvSpPr>
        <xdr:cNvPr id="7" name="TextBox 6">
          <a:extLst>
            <a:ext uri="{FF2B5EF4-FFF2-40B4-BE49-F238E27FC236}">
              <a16:creationId xmlns:a16="http://schemas.microsoft.com/office/drawing/2014/main" id="{7388E5EE-1CB5-0512-0497-28FFB775AAFB}"/>
            </a:ext>
          </a:extLst>
        </xdr:cNvPr>
        <xdr:cNvSpPr txBox="1"/>
      </xdr:nvSpPr>
      <xdr:spPr>
        <a:xfrm>
          <a:off x="13301415" y="3356003"/>
          <a:ext cx="7315200" cy="914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fld id="{5181ACF2-049F-4F2A-A2D5-50D6C3394D36}" type="TxLink">
            <a:rPr lang="en-US" sz="4400" b="1" i="0" u="none" strike="noStrike">
              <a:solidFill>
                <a:schemeClr val="bg1"/>
              </a:solidFill>
              <a:latin typeface="Arial"/>
              <a:cs typeface="Arial"/>
            </a:rPr>
            <a:pPr algn="ctr"/>
            <a:t>2414</a:t>
          </a:fld>
          <a:endParaRPr lang="en-US" sz="5400" b="1">
            <a:solidFill>
              <a:schemeClr val="bg1"/>
            </a:solidFill>
          </a:endParaRPr>
        </a:p>
      </xdr:txBody>
    </xdr:sp>
    <xdr:clientData/>
  </xdr:oneCellAnchor>
  <xdr:oneCellAnchor>
    <xdr:from>
      <xdr:col>34</xdr:col>
      <xdr:colOff>170954</xdr:colOff>
      <xdr:row>22</xdr:row>
      <xdr:rowOff>45892</xdr:rowOff>
    </xdr:from>
    <xdr:ext cx="7315200" cy="718466"/>
    <xdr:sp macro="" textlink="Summary!B3">
      <xdr:nvSpPr>
        <xdr:cNvPr id="8" name="TextBox 7">
          <a:extLst>
            <a:ext uri="{FF2B5EF4-FFF2-40B4-BE49-F238E27FC236}">
              <a16:creationId xmlns:a16="http://schemas.microsoft.com/office/drawing/2014/main" id="{1972AB17-6ECD-B897-CF6A-02394AC01CB8}"/>
            </a:ext>
          </a:extLst>
        </xdr:cNvPr>
        <xdr:cNvSpPr txBox="1"/>
      </xdr:nvSpPr>
      <xdr:spPr>
        <a:xfrm>
          <a:off x="20897354" y="3398692"/>
          <a:ext cx="7315200" cy="7184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99974790-3295-412C-B383-6DBAEDC8069A}" type="TxLink">
            <a:rPr lang="en-US" sz="4000" b="1" i="0" u="none" strike="noStrike">
              <a:solidFill>
                <a:schemeClr val="bg1"/>
              </a:solidFill>
              <a:latin typeface="Arial"/>
              <a:cs typeface="Arial"/>
            </a:rPr>
            <a:pPr algn="ctr"/>
            <a:t>2.83</a:t>
          </a:fld>
          <a:endParaRPr lang="en-US" sz="4800" b="1">
            <a:solidFill>
              <a:schemeClr val="bg1"/>
            </a:solidFill>
          </a:endParaRPr>
        </a:p>
      </xdr:txBody>
    </xdr:sp>
    <xdr:clientData/>
  </xdr:oneCellAnchor>
  <xdr:oneCellAnchor>
    <xdr:from>
      <xdr:col>47</xdr:col>
      <xdr:colOff>0</xdr:colOff>
      <xdr:row>21</xdr:row>
      <xdr:rowOff>112567</xdr:rowOff>
    </xdr:from>
    <xdr:ext cx="7315200" cy="718466"/>
    <xdr:sp macro="" textlink="Summary!B4">
      <xdr:nvSpPr>
        <xdr:cNvPr id="9" name="TextBox 8">
          <a:extLst>
            <a:ext uri="{FF2B5EF4-FFF2-40B4-BE49-F238E27FC236}">
              <a16:creationId xmlns:a16="http://schemas.microsoft.com/office/drawing/2014/main" id="{072502E2-420A-F40C-5C0A-0D7F3E4F0DC3}"/>
            </a:ext>
          </a:extLst>
        </xdr:cNvPr>
        <xdr:cNvSpPr txBox="1"/>
      </xdr:nvSpPr>
      <xdr:spPr>
        <a:xfrm>
          <a:off x="28651200" y="3312967"/>
          <a:ext cx="7315200" cy="7184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78F35341-F3E2-4B1B-BB7D-5B38532DB4A7}" type="TxLink">
            <a:rPr lang="en-US" sz="4000" b="1" i="0" u="none" strike="noStrike">
              <a:solidFill>
                <a:schemeClr val="bg1"/>
              </a:solidFill>
              <a:latin typeface="Arial"/>
              <a:cs typeface="Arial"/>
            </a:rPr>
            <a:pPr algn="ctr"/>
            <a:t> 45,165 </a:t>
          </a:fld>
          <a:endParaRPr lang="en-US" sz="4800" b="1">
            <a:solidFill>
              <a:schemeClr val="bg1"/>
            </a:solidFill>
          </a:endParaRPr>
        </a:p>
      </xdr:txBody>
    </xdr:sp>
    <xdr:clientData/>
  </xdr:oneCellAnchor>
  <xdr:twoCellAnchor>
    <xdr:from>
      <xdr:col>9</xdr:col>
      <xdr:colOff>304487</xdr:colOff>
      <xdr:row>31</xdr:row>
      <xdr:rowOff>38100</xdr:rowOff>
    </xdr:from>
    <xdr:to>
      <xdr:col>27</xdr:col>
      <xdr:colOff>304487</xdr:colOff>
      <xdr:row>64</xdr:row>
      <xdr:rowOff>38100</xdr:rowOff>
    </xdr:to>
    <xdr:graphicFrame macro="">
      <xdr:nvGraphicFramePr>
        <xdr:cNvPr id="10" name="Chart 9">
          <a:extLst>
            <a:ext uri="{FF2B5EF4-FFF2-40B4-BE49-F238E27FC236}">
              <a16:creationId xmlns:a16="http://schemas.microsoft.com/office/drawing/2014/main" id="{7BC3B4A1-A955-4108-91BF-8CF7B23BBD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31</xdr:col>
      <xdr:colOff>0</xdr:colOff>
      <xdr:row>31</xdr:row>
      <xdr:rowOff>146260</xdr:rowOff>
    </xdr:from>
    <xdr:to>
      <xdr:col>49</xdr:col>
      <xdr:colOff>0</xdr:colOff>
      <xdr:row>64</xdr:row>
      <xdr:rowOff>146260</xdr:rowOff>
    </xdr:to>
    <xdr:graphicFrame macro="">
      <xdr:nvGraphicFramePr>
        <xdr:cNvPr id="11" name="Chart 10">
          <a:extLst>
            <a:ext uri="{FF2B5EF4-FFF2-40B4-BE49-F238E27FC236}">
              <a16:creationId xmlns:a16="http://schemas.microsoft.com/office/drawing/2014/main" id="{6DE78075-BFB4-459C-AD95-F90B1C5B7E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227974</xdr:colOff>
      <xdr:row>69</xdr:row>
      <xdr:rowOff>114300</xdr:rowOff>
    </xdr:from>
    <xdr:to>
      <xdr:col>27</xdr:col>
      <xdr:colOff>227974</xdr:colOff>
      <xdr:row>102</xdr:row>
      <xdr:rowOff>114300</xdr:rowOff>
    </xdr:to>
    <xdr:graphicFrame macro="">
      <xdr:nvGraphicFramePr>
        <xdr:cNvPr id="12" name="Chart 11">
          <a:extLst>
            <a:ext uri="{FF2B5EF4-FFF2-40B4-BE49-F238E27FC236}">
              <a16:creationId xmlns:a16="http://schemas.microsoft.com/office/drawing/2014/main" id="{A8212EBB-D792-4FB8-84B1-9B7505F678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52</xdr:col>
      <xdr:colOff>0</xdr:colOff>
      <xdr:row>31</xdr:row>
      <xdr:rowOff>150070</xdr:rowOff>
    </xdr:from>
    <xdr:to>
      <xdr:col>70</xdr:col>
      <xdr:colOff>0</xdr:colOff>
      <xdr:row>64</xdr:row>
      <xdr:rowOff>150070</xdr:rowOff>
    </xdr:to>
    <xdr:graphicFrame macro="">
      <xdr:nvGraphicFramePr>
        <xdr:cNvPr id="14" name="Chart 13">
          <a:extLst>
            <a:ext uri="{FF2B5EF4-FFF2-40B4-BE49-F238E27FC236}">
              <a16:creationId xmlns:a16="http://schemas.microsoft.com/office/drawing/2014/main" id="{36B23170-4F32-49C2-AAE2-A273C70CCF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31</xdr:col>
      <xdr:colOff>0</xdr:colOff>
      <xdr:row>69</xdr:row>
      <xdr:rowOff>0</xdr:rowOff>
    </xdr:from>
    <xdr:to>
      <xdr:col>49</xdr:col>
      <xdr:colOff>0</xdr:colOff>
      <xdr:row>102</xdr:row>
      <xdr:rowOff>0</xdr:rowOff>
    </xdr:to>
    <xdr:graphicFrame macro="">
      <xdr:nvGraphicFramePr>
        <xdr:cNvPr id="20" name="Chart 19">
          <a:extLst>
            <a:ext uri="{FF2B5EF4-FFF2-40B4-BE49-F238E27FC236}">
              <a16:creationId xmlns:a16="http://schemas.microsoft.com/office/drawing/2014/main" id="{3928896E-1160-4E18-B8B1-26568D13E8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409574</xdr:colOff>
      <xdr:row>37</xdr:row>
      <xdr:rowOff>58253</xdr:rowOff>
    </xdr:from>
    <xdr:to>
      <xdr:col>8</xdr:col>
      <xdr:colOff>209550</xdr:colOff>
      <xdr:row>60</xdr:row>
      <xdr:rowOff>34637</xdr:rowOff>
    </xdr:to>
    <mc:AlternateContent xmlns:mc="http://schemas.openxmlformats.org/markup-compatibility/2006">
      <mc:Choice xmlns:a14="http://schemas.microsoft.com/office/drawing/2010/main" Requires="a14">
        <xdr:graphicFrame macro="">
          <xdr:nvGraphicFramePr>
            <xdr:cNvPr id="22" name="Year">
              <a:extLst>
                <a:ext uri="{FF2B5EF4-FFF2-40B4-BE49-F238E27FC236}">
                  <a16:creationId xmlns:a16="http://schemas.microsoft.com/office/drawing/2014/main" id="{7EF3035A-0EFF-0EB2-EDD7-3D312C8958DD}"/>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019174" y="5697053"/>
              <a:ext cx="4067176" cy="34815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52</xdr:col>
      <xdr:colOff>0</xdr:colOff>
      <xdr:row>69</xdr:row>
      <xdr:rowOff>76200</xdr:rowOff>
    </xdr:from>
    <xdr:to>
      <xdr:col>70</xdr:col>
      <xdr:colOff>0</xdr:colOff>
      <xdr:row>102</xdr:row>
      <xdr:rowOff>76200</xdr:rowOff>
    </xdr:to>
    <xdr:graphicFrame macro="">
      <xdr:nvGraphicFramePr>
        <xdr:cNvPr id="26" name="Chart 25">
          <a:extLst>
            <a:ext uri="{FF2B5EF4-FFF2-40B4-BE49-F238E27FC236}">
              <a16:creationId xmlns:a16="http://schemas.microsoft.com/office/drawing/2014/main" id="{489A21A4-DEA4-4288-A52B-4F37CB3928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0</xdr:colOff>
      <xdr:row>105</xdr:row>
      <xdr:rowOff>76200</xdr:rowOff>
    </xdr:from>
    <xdr:to>
      <xdr:col>71</xdr:col>
      <xdr:colOff>0</xdr:colOff>
      <xdr:row>141</xdr:row>
      <xdr:rowOff>0</xdr:rowOff>
    </xdr:to>
    <xdr:sp macro="" textlink="">
      <xdr:nvSpPr>
        <xdr:cNvPr id="38" name="Rectangle: Rounded Corners 37">
          <a:extLst>
            <a:ext uri="{FF2B5EF4-FFF2-40B4-BE49-F238E27FC236}">
              <a16:creationId xmlns:a16="http://schemas.microsoft.com/office/drawing/2014/main" id="{B4E1ED27-7AEE-FFA2-A25B-7AC178BCD78D}"/>
            </a:ext>
          </a:extLst>
        </xdr:cNvPr>
        <xdr:cNvSpPr/>
      </xdr:nvSpPr>
      <xdr:spPr>
        <a:xfrm>
          <a:off x="2438400" y="16078200"/>
          <a:ext cx="40843200" cy="5410200"/>
        </a:xfrm>
        <a:prstGeom prst="roundRect">
          <a:avLst>
            <a:gd name="adj" fmla="val 7593"/>
          </a:avLst>
        </a:prstGeom>
        <a:solidFill>
          <a:srgbClr val="002060"/>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6600" b="1">
              <a:solidFill>
                <a:schemeClr val="bg1"/>
              </a:solidFill>
            </a:rPr>
            <a:t>Key Insights</a:t>
          </a:r>
        </a:p>
      </xdr:txBody>
    </xdr:sp>
    <xdr:clientData/>
  </xdr:twoCellAnchor>
  <xdr:twoCellAnchor>
    <xdr:from>
      <xdr:col>5</xdr:col>
      <xdr:colOff>266700</xdr:colOff>
      <xdr:row>114</xdr:row>
      <xdr:rowOff>7620</xdr:rowOff>
    </xdr:from>
    <xdr:to>
      <xdr:col>17</xdr:col>
      <xdr:colOff>266700</xdr:colOff>
      <xdr:row>135</xdr:row>
      <xdr:rowOff>7620</xdr:rowOff>
    </xdr:to>
    <xdr:sp macro="" textlink="">
      <xdr:nvSpPr>
        <xdr:cNvPr id="32" name="Rectangle: Rounded Corners 31">
          <a:extLst>
            <a:ext uri="{FF2B5EF4-FFF2-40B4-BE49-F238E27FC236}">
              <a16:creationId xmlns:a16="http://schemas.microsoft.com/office/drawing/2014/main" id="{0CBE3340-719A-4BF5-9189-BCED226A81AA}"/>
            </a:ext>
          </a:extLst>
        </xdr:cNvPr>
        <xdr:cNvSpPr/>
      </xdr:nvSpPr>
      <xdr:spPr>
        <a:xfrm>
          <a:off x="3314700" y="17381220"/>
          <a:ext cx="7315200" cy="3200400"/>
        </a:xfrm>
        <a:prstGeom prst="roundRect">
          <a:avLst/>
        </a:prstGeom>
        <a:solidFill>
          <a:srgbClr val="0070C0"/>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5400" b="1"/>
            <a:t>Brazil scored the most goals (208).</a:t>
          </a:r>
          <a:endParaRPr lang="en-US" sz="5400" b="1">
            <a:solidFill>
              <a:schemeClr val="bg1"/>
            </a:solidFill>
          </a:endParaRPr>
        </a:p>
      </xdr:txBody>
    </xdr:sp>
    <xdr:clientData/>
  </xdr:twoCellAnchor>
  <xdr:twoCellAnchor>
    <xdr:from>
      <xdr:col>18</xdr:col>
      <xdr:colOff>152400</xdr:colOff>
      <xdr:row>114</xdr:row>
      <xdr:rowOff>0</xdr:rowOff>
    </xdr:from>
    <xdr:to>
      <xdr:col>30</xdr:col>
      <xdr:colOff>152400</xdr:colOff>
      <xdr:row>135</xdr:row>
      <xdr:rowOff>0</xdr:rowOff>
    </xdr:to>
    <xdr:sp macro="" textlink="">
      <xdr:nvSpPr>
        <xdr:cNvPr id="33" name="Rectangle: Rounded Corners 32">
          <a:extLst>
            <a:ext uri="{FF2B5EF4-FFF2-40B4-BE49-F238E27FC236}">
              <a16:creationId xmlns:a16="http://schemas.microsoft.com/office/drawing/2014/main" id="{57CFC120-7B04-4ABA-A1B8-91072AABA9AD}"/>
            </a:ext>
          </a:extLst>
        </xdr:cNvPr>
        <xdr:cNvSpPr/>
      </xdr:nvSpPr>
      <xdr:spPr>
        <a:xfrm>
          <a:off x="11125200" y="17373600"/>
          <a:ext cx="7315200" cy="3200400"/>
        </a:xfrm>
        <a:prstGeom prst="roundRect">
          <a:avLst/>
        </a:prstGeom>
        <a:solidFill>
          <a:srgbClr val="0070C0"/>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5400" b="1">
              <a:solidFill>
                <a:schemeClr val="bg1"/>
              </a:solidFill>
            </a:rPr>
            <a:t>Mexico City hosted the most matches (23). </a:t>
          </a:r>
        </a:p>
      </xdr:txBody>
    </xdr:sp>
    <xdr:clientData/>
  </xdr:twoCellAnchor>
  <xdr:twoCellAnchor>
    <xdr:from>
      <xdr:col>31</xdr:col>
      <xdr:colOff>266700</xdr:colOff>
      <xdr:row>114</xdr:row>
      <xdr:rowOff>7620</xdr:rowOff>
    </xdr:from>
    <xdr:to>
      <xdr:col>43</xdr:col>
      <xdr:colOff>266700</xdr:colOff>
      <xdr:row>135</xdr:row>
      <xdr:rowOff>7620</xdr:rowOff>
    </xdr:to>
    <xdr:sp macro="" textlink="">
      <xdr:nvSpPr>
        <xdr:cNvPr id="34" name="Rectangle: Rounded Corners 33">
          <a:extLst>
            <a:ext uri="{FF2B5EF4-FFF2-40B4-BE49-F238E27FC236}">
              <a16:creationId xmlns:a16="http://schemas.microsoft.com/office/drawing/2014/main" id="{E4DB8659-7F2B-46B0-BCBD-0E66B7DA7EFB}"/>
            </a:ext>
          </a:extLst>
        </xdr:cNvPr>
        <xdr:cNvSpPr/>
      </xdr:nvSpPr>
      <xdr:spPr>
        <a:xfrm>
          <a:off x="19164300" y="17381220"/>
          <a:ext cx="7315200" cy="3200400"/>
        </a:xfrm>
        <a:prstGeom prst="roundRect">
          <a:avLst/>
        </a:prstGeom>
        <a:solidFill>
          <a:srgbClr val="0070C0"/>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5400" b="1"/>
            <a:t>1994 had the highest average attendance (68,991).</a:t>
          </a:r>
          <a:endParaRPr lang="en-US" sz="5400"/>
        </a:p>
      </xdr:txBody>
    </xdr:sp>
    <xdr:clientData/>
  </xdr:twoCellAnchor>
  <xdr:twoCellAnchor>
    <xdr:from>
      <xdr:col>44</xdr:col>
      <xdr:colOff>571500</xdr:colOff>
      <xdr:row>114</xdr:row>
      <xdr:rowOff>0</xdr:rowOff>
    </xdr:from>
    <xdr:to>
      <xdr:col>56</xdr:col>
      <xdr:colOff>571500</xdr:colOff>
      <xdr:row>135</xdr:row>
      <xdr:rowOff>0</xdr:rowOff>
    </xdr:to>
    <xdr:sp macro="" textlink="">
      <xdr:nvSpPr>
        <xdr:cNvPr id="35" name="Rectangle: Rounded Corners 34">
          <a:extLst>
            <a:ext uri="{FF2B5EF4-FFF2-40B4-BE49-F238E27FC236}">
              <a16:creationId xmlns:a16="http://schemas.microsoft.com/office/drawing/2014/main" id="{681F90FF-B153-407C-8E30-B99039874687}"/>
            </a:ext>
          </a:extLst>
        </xdr:cNvPr>
        <xdr:cNvSpPr/>
      </xdr:nvSpPr>
      <xdr:spPr>
        <a:xfrm>
          <a:off x="27393900" y="17373600"/>
          <a:ext cx="7315200" cy="3200400"/>
        </a:xfrm>
        <a:prstGeom prst="roundRect">
          <a:avLst/>
        </a:prstGeom>
        <a:solidFill>
          <a:srgbClr val="0070C0"/>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5400" b="1"/>
            <a:t>More matches led to more total goals.</a:t>
          </a:r>
          <a:endParaRPr lang="en-US" sz="5400"/>
        </a:p>
      </xdr:txBody>
    </xdr:sp>
    <xdr:clientData/>
  </xdr:twoCellAnchor>
  <xdr:twoCellAnchor>
    <xdr:from>
      <xdr:col>58</xdr:col>
      <xdr:colOff>266700</xdr:colOff>
      <xdr:row>114</xdr:row>
      <xdr:rowOff>7620</xdr:rowOff>
    </xdr:from>
    <xdr:to>
      <xdr:col>70</xdr:col>
      <xdr:colOff>266700</xdr:colOff>
      <xdr:row>135</xdr:row>
      <xdr:rowOff>7620</xdr:rowOff>
    </xdr:to>
    <xdr:sp macro="" textlink="">
      <xdr:nvSpPr>
        <xdr:cNvPr id="36" name="Rectangle: Rounded Corners 35">
          <a:extLst>
            <a:ext uri="{FF2B5EF4-FFF2-40B4-BE49-F238E27FC236}">
              <a16:creationId xmlns:a16="http://schemas.microsoft.com/office/drawing/2014/main" id="{C744332F-A43D-4958-A867-5DE1D7B76BA4}"/>
            </a:ext>
          </a:extLst>
        </xdr:cNvPr>
        <xdr:cNvSpPr/>
      </xdr:nvSpPr>
      <xdr:spPr>
        <a:xfrm>
          <a:off x="35623500" y="17381220"/>
          <a:ext cx="7315200" cy="3200400"/>
        </a:xfrm>
        <a:prstGeom prst="roundRect">
          <a:avLst/>
        </a:prstGeom>
        <a:solidFill>
          <a:srgbClr val="0070C0"/>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5400" b="1"/>
            <a:t>Preliminary Round had the </a:t>
          </a:r>
          <a:r>
            <a:rPr lang="en-US" sz="5400" b="1">
              <a:solidFill>
                <a:schemeClr val="lt1"/>
              </a:solidFill>
              <a:latin typeface="+mn-lt"/>
              <a:ea typeface="+mn-ea"/>
              <a:cs typeface="+mn-cs"/>
            </a:rPr>
            <a:t>highest</a:t>
          </a:r>
          <a:r>
            <a:rPr lang="en-US" sz="5400" b="1"/>
            <a:t> goals per match (5.38).</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39.027108912036" createdVersion="8" refreshedVersion="8" minRefreshableVersion="3" recordCount="1704" xr:uid="{E92B9DAB-62FA-44EC-948C-1D0AEC42B4F2}">
  <cacheSource type="worksheet">
    <worksheetSource name="Table2"/>
  </cacheSource>
  <cacheFields count="1">
    <cacheField name="Team" numFmtId="0">
      <sharedItems count="83">
        <s v="France"/>
        <s v="USA"/>
        <s v="Yugoslavia"/>
        <s v="Romania"/>
        <s v="Argentina"/>
        <s v="Chile"/>
        <s v="Uruguay"/>
        <s v="Brazil"/>
        <s v="Paraguay"/>
        <s v="Austria"/>
        <s v="Hungary"/>
        <s v="Switzerland"/>
        <s v="Sweden"/>
        <s v="Germany"/>
        <s v="Spain"/>
        <s v="Italy"/>
        <s v="Czechoslovakia"/>
        <s v="Cuba"/>
        <s v="England"/>
        <s v="Germany FR"/>
        <s v="Turkey"/>
        <s v="Soviet Union"/>
        <s v="Northern Ireland"/>
        <s v="Mexico"/>
        <s v="Wales"/>
        <s v="Portugal"/>
        <s v="Korea DPR"/>
        <s v="Peru"/>
        <s v="Belgium"/>
        <s v="Bulgaria"/>
        <s v="German DR"/>
        <s v="Zaire"/>
        <s v="Poland"/>
        <s v="Australia"/>
        <s v="Scotland"/>
        <s v="Netherlands"/>
        <s v="Haiti"/>
        <s v="Tunisia"/>
        <s v="Algeria"/>
        <s v="Honduras"/>
        <s v="Canada"/>
        <s v="Morocco"/>
        <s v="Korea Republic"/>
        <s v="Iraq"/>
        <s v="Denmark"/>
        <s v="rn&quot;&gt;United Arab Emirates"/>
        <s v="Costa Rica"/>
        <s v="Cameroon"/>
        <s v="rn&quot;&gt;Republic of Ireland"/>
        <s v="Colombia"/>
        <s v="Norway"/>
        <s v="Nigeria"/>
        <s v="Saudi Arabia"/>
        <s v="Bolivia"/>
        <s v="Russia"/>
        <s v="Greece"/>
        <s v="Jamaica"/>
        <s v="South Africa"/>
        <s v="Japan"/>
        <s v="Croatia"/>
        <s v="China PR"/>
        <s v="Senegal"/>
        <s v="Slovenia"/>
        <s v="Ecuador"/>
        <s v="rn&quot;&gt;Trinidad and Tobago"/>
        <s v="rn&quot;&gt;Serbia and Montenegro"/>
        <s v="Angola"/>
        <s v="Czech Republic"/>
        <s v="Togo"/>
        <s v="Iran"/>
        <s v="Cï¿½te d'Ivoire"/>
        <s v="Ghana"/>
        <s v="Ukraine"/>
        <s v="Serbia"/>
        <s v="New Zealand"/>
        <s v="Slovakia"/>
        <s v="IR Iran"/>
        <s v="rn&quot;&gt;Bosnia and Herzegovina"/>
        <s v="Egypt"/>
        <s v="Dutch East Indies"/>
        <s v="Israel"/>
        <s v="El Salvador"/>
        <s v="Kuwait"/>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39.150003587965" backgroundQuery="1" createdVersion="8" refreshedVersion="8" minRefreshableVersion="3" recordCount="0" supportSubquery="1" supportAdvancedDrill="1" xr:uid="{5C862361-53E1-48D3-829C-67CEF238819E}">
  <cacheSource type="external" connectionId="2"/>
  <cacheFields count="2">
    <cacheField name="[World_Cup_Matches].[Stage].[Stage]" caption="Stage" numFmtId="0" hierarchy="4" level="1">
      <sharedItems count="23">
        <s v="Final"/>
        <s v="First round"/>
        <s v="Group 2"/>
        <s v="Group 4"/>
        <s v="Group 6"/>
        <s v="Match for third place"/>
        <s v="Play-off for third place"/>
        <s v="Preliminary round"/>
        <s v="Semi-finals"/>
        <s v="Third place"/>
        <s v="Group 1" u="1"/>
        <s v="Group 3" u="1"/>
        <s v="Group 5" u="1"/>
        <s v="Group A" u="1"/>
        <s v="Group B" u="1"/>
        <s v="Group C" u="1"/>
        <s v="Group D" u="1"/>
        <s v="Group E" u="1"/>
        <s v="Group F" u="1"/>
        <s v="Group G" u="1"/>
        <s v="Group H" u="1"/>
        <s v="Quarter-finals" u="1"/>
        <s v="Round of 16" u="1"/>
      </sharedItems>
    </cacheField>
    <cacheField name="[Measures].[Average of total goals]" caption="Average of total goals" numFmtId="0" hierarchy="33" level="32767"/>
  </cacheFields>
  <cacheHierarchies count="41">
    <cacheHierarchy uniqueName="[Table3].[Team Name]" caption="Team Name" attribute="1" defaultMemberUniqueName="[Table3].[Team Name].[All]" allUniqueName="[Table3].[Team Name].[All]" dimensionUniqueName="[Table3]" displayFolder="" count="0" memberValueDatatype="130" unbalanced="0"/>
    <cacheHierarchy uniqueName="[Table3].[Team Goals]" caption="Team Goals" attribute="1" defaultMemberUniqueName="[Table3].[Team Goals].[All]" allUniqueName="[Table3].[Team Goals].[All]" dimensionUniqueName="[Table3]" displayFolder="" count="0" memberValueDatatype="20" unbalanced="0"/>
    <cacheHierarchy uniqueName="[World_Cup_Matches].[Year]" caption="Year" attribute="1" defaultMemberUniqueName="[World_Cup_Matches].[Year].[All]" allUniqueName="[World_Cup_Matches].[Year].[All]" dimensionUniqueName="[World_Cup_Matches]" displayFolder="" count="0" memberValueDatatype="20" unbalanced="0"/>
    <cacheHierarchy uniqueName="[World_Cup_Matches].[Datetime]" caption="Datetime" attribute="1" defaultMemberUniqueName="[World_Cup_Matches].[Datetime].[All]" allUniqueName="[World_Cup_Matches].[Datetime].[All]" dimensionUniqueName="[World_Cup_Matches]" displayFolder="" count="0" memberValueDatatype="130" unbalanced="0"/>
    <cacheHierarchy uniqueName="[World_Cup_Matches].[Stage]" caption="Stage" attribute="1" defaultMemberUniqueName="[World_Cup_Matches].[Stage].[All]" allUniqueName="[World_Cup_Matches].[Stage].[All]" dimensionUniqueName="[World_Cup_Matches]" displayFolder="" count="2" memberValueDatatype="130" unbalanced="0">
      <fieldsUsage count="2">
        <fieldUsage x="-1"/>
        <fieldUsage x="0"/>
      </fieldsUsage>
    </cacheHierarchy>
    <cacheHierarchy uniqueName="[World_Cup_Matches].[Stadium]" caption="Stadium" attribute="1" defaultMemberUniqueName="[World_Cup_Matches].[Stadium].[All]" allUniqueName="[World_Cup_Matches].[Stadium].[All]" dimensionUniqueName="[World_Cup_Matches]" displayFolder="" count="0" memberValueDatatype="130" unbalanced="0"/>
    <cacheHierarchy uniqueName="[World_Cup_Matches].[City]" caption="City" attribute="1" defaultMemberUniqueName="[World_Cup_Matches].[City].[All]" allUniqueName="[World_Cup_Matches].[City].[All]" dimensionUniqueName="[World_Cup_Matches]" displayFolder="" count="0" memberValueDatatype="130" unbalanced="0"/>
    <cacheHierarchy uniqueName="[World_Cup_Matches].[Home Team Name]" caption="Home Team Name" attribute="1" defaultMemberUniqueName="[World_Cup_Matches].[Home Team Name].[All]" allUniqueName="[World_Cup_Matches].[Home Team Name].[All]" dimensionUniqueName="[World_Cup_Matches]" displayFolder="" count="0" memberValueDatatype="130" unbalanced="0"/>
    <cacheHierarchy uniqueName="[World_Cup_Matches].[Home Team Goals]" caption="Home Team Goals" attribute="1" defaultMemberUniqueName="[World_Cup_Matches].[Home Team Goals].[All]" allUniqueName="[World_Cup_Matches].[Home Team Goals].[All]" dimensionUniqueName="[World_Cup_Matches]" displayFolder="" count="0" memberValueDatatype="20" unbalanced="0"/>
    <cacheHierarchy uniqueName="[World_Cup_Matches].[Away Team Goals]" caption="Away Team Goals" attribute="1" defaultMemberUniqueName="[World_Cup_Matches].[Away Team Goals].[All]" allUniqueName="[World_Cup_Matches].[Away Team Goals].[All]" dimensionUniqueName="[World_Cup_Matches]" displayFolder="" count="0" memberValueDatatype="20" unbalanced="0"/>
    <cacheHierarchy uniqueName="[World_Cup_Matches].[Away Team Name]" caption="Away Team Name" attribute="1" defaultMemberUniqueName="[World_Cup_Matches].[Away Team Name].[All]" allUniqueName="[World_Cup_Matches].[Away Team Name].[All]" dimensionUniqueName="[World_Cup_Matches]" displayFolder="" count="0" memberValueDatatype="130" unbalanced="0"/>
    <cacheHierarchy uniqueName="[World_Cup_Matches].[Win conditions]" caption="Win conditions" attribute="1" defaultMemberUniqueName="[World_Cup_Matches].[Win conditions].[All]" allUniqueName="[World_Cup_Matches].[Win conditions].[All]" dimensionUniqueName="[World_Cup_Matches]" displayFolder="" count="0" memberValueDatatype="130" unbalanced="0"/>
    <cacheHierarchy uniqueName="[World_Cup_Matches].[Attendance]" caption="Attendance" attribute="1" defaultMemberUniqueName="[World_Cup_Matches].[Attendance].[All]" allUniqueName="[World_Cup_Matches].[Attendance].[All]" dimensionUniqueName="[World_Cup_Matches]" displayFolder="" count="0" memberValueDatatype="20" unbalanced="0"/>
    <cacheHierarchy uniqueName="[World_Cup_Matches].[Half-time Home Goals]" caption="Half-time Home Goals" attribute="1" defaultMemberUniqueName="[World_Cup_Matches].[Half-time Home Goals].[All]" allUniqueName="[World_Cup_Matches].[Half-time Home Goals].[All]" dimensionUniqueName="[World_Cup_Matches]" displayFolder="" count="0" memberValueDatatype="20" unbalanced="0"/>
    <cacheHierarchy uniqueName="[World_Cup_Matches].[Half-time Away Goals]" caption="Half-time Away Goals" attribute="1" defaultMemberUniqueName="[World_Cup_Matches].[Half-time Away Goals].[All]" allUniqueName="[World_Cup_Matches].[Half-time Away Goals].[All]" dimensionUniqueName="[World_Cup_Matches]" displayFolder="" count="0" memberValueDatatype="20" unbalanced="0"/>
    <cacheHierarchy uniqueName="[World_Cup_Matches].[Referee]" caption="Referee" attribute="1" defaultMemberUniqueName="[World_Cup_Matches].[Referee].[All]" allUniqueName="[World_Cup_Matches].[Referee].[All]" dimensionUniqueName="[World_Cup_Matches]" displayFolder="" count="0" memberValueDatatype="130" unbalanced="0"/>
    <cacheHierarchy uniqueName="[World_Cup_Matches].[Assistant 1]" caption="Assistant 1" attribute="1" defaultMemberUniqueName="[World_Cup_Matches].[Assistant 1].[All]" allUniqueName="[World_Cup_Matches].[Assistant 1].[All]" dimensionUniqueName="[World_Cup_Matches]" displayFolder="" count="0" memberValueDatatype="130" unbalanced="0"/>
    <cacheHierarchy uniqueName="[World_Cup_Matches].[Assistant 2]" caption="Assistant 2" attribute="1" defaultMemberUniqueName="[World_Cup_Matches].[Assistant 2].[All]" allUniqueName="[World_Cup_Matches].[Assistant 2].[All]" dimensionUniqueName="[World_Cup_Matches]" displayFolder="" count="0" memberValueDatatype="130" unbalanced="0"/>
    <cacheHierarchy uniqueName="[World_Cup_Matches].[RoundID]" caption="RoundID" attribute="1" defaultMemberUniqueName="[World_Cup_Matches].[RoundID].[All]" allUniqueName="[World_Cup_Matches].[RoundID].[All]" dimensionUniqueName="[World_Cup_Matches]" displayFolder="" count="0" memberValueDatatype="20" unbalanced="0"/>
    <cacheHierarchy uniqueName="[World_Cup_Matches].[MatchID]" caption="MatchID" attribute="1" defaultMemberUniqueName="[World_Cup_Matches].[MatchID].[All]" allUniqueName="[World_Cup_Matches].[MatchID].[All]" dimensionUniqueName="[World_Cup_Matches]" displayFolder="" count="0" memberValueDatatype="20" unbalanced="0"/>
    <cacheHierarchy uniqueName="[World_Cup_Matches].[Home Team Initials]" caption="Home Team Initials" attribute="1" defaultMemberUniqueName="[World_Cup_Matches].[Home Team Initials].[All]" allUniqueName="[World_Cup_Matches].[Home Team Initials].[All]" dimensionUniqueName="[World_Cup_Matches]" displayFolder="" count="0" memberValueDatatype="130" unbalanced="0"/>
    <cacheHierarchy uniqueName="[World_Cup_Matches].[Away Team Initials]" caption="Away Team Initials" attribute="1" defaultMemberUniqueName="[World_Cup_Matches].[Away Team Initials].[All]" allUniqueName="[World_Cup_Matches].[Away Team Initials].[All]" dimensionUniqueName="[World_Cup_Matches]" displayFolder="" count="0" memberValueDatatype="130" unbalanced="0"/>
    <cacheHierarchy uniqueName="[World_Cup_Matches].[total goals]" caption="total goals" attribute="1" defaultMemberUniqueName="[World_Cup_Matches].[total goals].[All]" allUniqueName="[World_Cup_Matches].[total goals].[All]" dimensionUniqueName="[World_Cup_Matches]" displayFolder="" count="0" memberValueDatatype="20" unbalanced="0"/>
    <cacheHierarchy uniqueName="[World_Cup_Matches].[Goal Difference]" caption="Goal Difference" attribute="1" defaultMemberUniqueName="[World_Cup_Matches].[Goal Difference].[All]" allUniqueName="[World_Cup_Matches].[Goal Difference].[All]" dimensionUniqueName="[World_Cup_Matches]" displayFolder="" count="0" memberValueDatatype="20" unbalanced="0"/>
    <cacheHierarchy uniqueName="[World_Cup_Matches].[Winner]" caption="Winner" attribute="1" defaultMemberUniqueName="[World_Cup_Matches].[Winner].[All]" allUniqueName="[World_Cup_Matches].[Winner].[All]" dimensionUniqueName="[World_Cup_Matches]" displayFolder="" count="0" memberValueDatatype="130" unbalanced="0"/>
    <cacheHierarchy uniqueName="[World_Cup_Matches].[Result]" caption="Result" attribute="1" defaultMemberUniqueName="[World_Cup_Matches].[Result].[All]" allUniqueName="[World_Cup_Matches].[Result].[All]" dimensionUniqueName="[World_Cup_Matches]" displayFolder="" count="0" memberValueDatatype="130" unbalanced="0"/>
    <cacheHierarchy uniqueName="[Measures].[__XL_Count World_Cup_Matches]" caption="__XL_Count World_Cup_Matches" measure="1" displayFolder="" measureGroup="World_Cup_Matches"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Year]" caption="Sum of Year" measure="1" displayFolder="" measureGroup="World_Cup_Matches" count="0" hidden="1">
      <extLst>
        <ext xmlns:x15="http://schemas.microsoft.com/office/spreadsheetml/2010/11/main" uri="{B97F6D7D-B522-45F9-BDA1-12C45D357490}">
          <x15:cacheHierarchy aggregatedColumn="2"/>
        </ext>
      </extLst>
    </cacheHierarchy>
    <cacheHierarchy uniqueName="[Measures].[Count of Year]" caption="Count of Year" measure="1" displayFolder="" measureGroup="World_Cup_Matches" count="0" hidden="1">
      <extLst>
        <ext xmlns:x15="http://schemas.microsoft.com/office/spreadsheetml/2010/11/main" uri="{B97F6D7D-B522-45F9-BDA1-12C45D357490}">
          <x15:cacheHierarchy aggregatedColumn="2"/>
        </ext>
      </extLst>
    </cacheHierarchy>
    <cacheHierarchy uniqueName="[Measures].[Sum of total goals]" caption="Sum of total goals" measure="1" displayFolder="" measureGroup="World_Cup_Matches" count="0" hidden="1">
      <extLst>
        <ext xmlns:x15="http://schemas.microsoft.com/office/spreadsheetml/2010/11/main" uri="{B97F6D7D-B522-45F9-BDA1-12C45D357490}">
          <x15:cacheHierarchy aggregatedColumn="22"/>
        </ext>
      </extLst>
    </cacheHierarchy>
    <cacheHierarchy uniqueName="[Measures].[Count of total goals]" caption="Count of total goals" measure="1" displayFolder="" measureGroup="World_Cup_Matches" count="0" hidden="1">
      <extLst>
        <ext xmlns:x15="http://schemas.microsoft.com/office/spreadsheetml/2010/11/main" uri="{B97F6D7D-B522-45F9-BDA1-12C45D357490}">
          <x15:cacheHierarchy aggregatedColumn="22"/>
        </ext>
      </extLst>
    </cacheHierarchy>
    <cacheHierarchy uniqueName="[Measures].[Average of total goals]" caption="Average of total goals" measure="1" displayFolder="" measureGroup="World_Cup_Matches" count="0" oneField="1" hidden="1">
      <fieldsUsage count="1">
        <fieldUsage x="1"/>
      </fieldsUsage>
      <extLst>
        <ext xmlns:x15="http://schemas.microsoft.com/office/spreadsheetml/2010/11/main" uri="{B97F6D7D-B522-45F9-BDA1-12C45D357490}">
          <x15:cacheHierarchy aggregatedColumn="22"/>
        </ext>
      </extLst>
    </cacheHierarchy>
    <cacheHierarchy uniqueName="[Measures].[Count of City]" caption="Count of City" measure="1" displayFolder="" measureGroup="World_Cup_Matches" count="0" hidden="1">
      <extLst>
        <ext xmlns:x15="http://schemas.microsoft.com/office/spreadsheetml/2010/11/main" uri="{B97F6D7D-B522-45F9-BDA1-12C45D357490}">
          <x15:cacheHierarchy aggregatedColumn="6"/>
        </ext>
      </extLst>
    </cacheHierarchy>
    <cacheHierarchy uniqueName="[Measures].[Count of Home Team Name]" caption="Count of Home Team Name" measure="1" displayFolder="" measureGroup="World_Cup_Matches" count="0" hidden="1">
      <extLst>
        <ext xmlns:x15="http://schemas.microsoft.com/office/spreadsheetml/2010/11/main" uri="{B97F6D7D-B522-45F9-BDA1-12C45D357490}">
          <x15:cacheHierarchy aggregatedColumn="7"/>
        </ext>
      </extLst>
    </cacheHierarchy>
    <cacheHierarchy uniqueName="[Measures].[Count of Away Team Name]" caption="Count of Away Team Name" measure="1" displayFolder="" measureGroup="World_Cup_Matches" count="0" hidden="1">
      <extLst>
        <ext xmlns:x15="http://schemas.microsoft.com/office/spreadsheetml/2010/11/main" uri="{B97F6D7D-B522-45F9-BDA1-12C45D357490}">
          <x15:cacheHierarchy aggregatedColumn="10"/>
        </ext>
      </extLst>
    </cacheHierarchy>
    <cacheHierarchy uniqueName="[Measures].[Sum of Away Team Goals]" caption="Sum of Away Team Goals" measure="1" displayFolder="" measureGroup="World_Cup_Matches" count="0" hidden="1">
      <extLst>
        <ext xmlns:x15="http://schemas.microsoft.com/office/spreadsheetml/2010/11/main" uri="{B97F6D7D-B522-45F9-BDA1-12C45D357490}">
          <x15:cacheHierarchy aggregatedColumn="9"/>
        </ext>
      </extLst>
    </cacheHierarchy>
    <cacheHierarchy uniqueName="[Measures].[Sum of Team Goals]" caption="Sum of Team Goals" measure="1" displayFolder="" measureGroup="Table3" count="0" hidden="1">
      <extLst>
        <ext xmlns:x15="http://schemas.microsoft.com/office/spreadsheetml/2010/11/main" uri="{B97F6D7D-B522-45F9-BDA1-12C45D357490}">
          <x15:cacheHierarchy aggregatedColumn="1"/>
        </ext>
      </extLst>
    </cacheHierarchy>
    <cacheHierarchy uniqueName="[Measures].[Sum of Attendance]" caption="Sum of Attendance" measure="1" displayFolder="" measureGroup="World_Cup_Matches" count="0" hidden="1">
      <extLst>
        <ext xmlns:x15="http://schemas.microsoft.com/office/spreadsheetml/2010/11/main" uri="{B97F6D7D-B522-45F9-BDA1-12C45D357490}">
          <x15:cacheHierarchy aggregatedColumn="12"/>
        </ext>
      </extLst>
    </cacheHierarchy>
    <cacheHierarchy uniqueName="[Measures].[Average of Attendance]" caption="Average of Attendance" measure="1" displayFolder="" measureGroup="World_Cup_Matches" count="0" hidden="1">
      <extLst>
        <ext xmlns:x15="http://schemas.microsoft.com/office/spreadsheetml/2010/11/main" uri="{B97F6D7D-B522-45F9-BDA1-12C45D357490}">
          <x15:cacheHierarchy aggregatedColumn="12"/>
        </ext>
      </extLst>
    </cacheHierarchy>
  </cacheHierarchies>
  <kpis count="0"/>
  <dimensions count="3">
    <dimension measure="1" name="Measures" uniqueName="[Measures]" caption="Measures"/>
    <dimension name="Table3" uniqueName="[Table3]" caption="Table3"/>
    <dimension name="World_Cup_Matches" uniqueName="[World_Cup_Matches]" caption="World_Cup_Matches"/>
  </dimensions>
  <measureGroups count="2">
    <measureGroup name="Table3" caption="Table3"/>
    <measureGroup name="World_Cup_Matches" caption="World_Cup_Matches"/>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39.150005902775" backgroundQuery="1" createdVersion="8" refreshedVersion="8" minRefreshableVersion="3" recordCount="0" supportSubquery="1" supportAdvancedDrill="1" xr:uid="{9CBE4D29-54FF-493F-86E9-633436D4C34E}">
  <cacheSource type="external" connectionId="2"/>
  <cacheFields count="2">
    <cacheField name="[Measures].[Count of City]" caption="Count of City" numFmtId="0" hierarchy="34" level="32767"/>
    <cacheField name="[World_Cup_Matches].[City].[City]" caption="City" numFmtId="0" hierarchy="6" level="1">
      <sharedItems count="151">
        <s v="Belo Horizonte"/>
        <s v="Buenos Aires"/>
        <s v="Guadalajara"/>
        <s v="Johannesburg"/>
        <s v="Leon"/>
        <s v="Mexico City"/>
        <s v="Montevideo"/>
        <s v="Munich"/>
        <s v="Rio De Janeiro"/>
        <s v="Sao Paulo"/>
        <s v="Alicante" u="1"/>
        <s v="Antibes" u="1"/>
        <s v="Arica" u="1"/>
        <s v="Barcelona" u="1"/>
        <s v="Bari" u="1"/>
        <s v="Basel" u="1"/>
        <s v="Berlin" u="1"/>
        <s v="Berlin West" u="1"/>
        <s v="Berne" u="1"/>
        <s v="Bilbao" u="1"/>
        <s v="Birmingham" u="1"/>
        <s v="Bologna" u="1"/>
        <s v="Boras" u="1"/>
        <s v="Bordeaux" u="1"/>
        <s v="Boston" u="1"/>
        <s v="Brasilia" u="1"/>
        <s v="Busan" u="1"/>
        <s v="Cagliari" u="1"/>
        <s v="Cape Town" u="1"/>
        <s v="Chicago" u="1"/>
        <s v="Cologne" u="1"/>
        <s v="Colombes" u="1"/>
        <s v="Cordoba" u="1"/>
        <s v="Cuiaba" u="1"/>
        <s v="Curitiba" u="1"/>
        <s v="Daegu" u="1"/>
        <s v="Daejeon" u="1"/>
        <s v="Dallas" u="1"/>
        <s v="Detroit" u="1"/>
        <s v="Dï¿½Sseldorf" u="1"/>
        <s v="Dortmund" u="1"/>
        <s v="Durban" u="1"/>
        <s v="Elche" u="1"/>
        <s v="Eskilstuna" u="1"/>
        <s v="Florence" u="1"/>
        <s v="Fortaleza" u="1"/>
        <s v="Frankfurt/Main" u="1"/>
        <s v="Gelsenkirchen" u="1"/>
        <s v="Geneva" u="1"/>
        <s v="Genoa" u="1"/>
        <s v="Gijon" u="1"/>
        <s v="Gothenburg" u="1"/>
        <s v="Gwangju" u="1"/>
        <s v="Halmstad" u="1"/>
        <s v="Hamburg" u="1"/>
        <s v="Hanover" u="1"/>
        <s v="Helsingborg" u="1"/>
        <s v="Ibaraki" u="1"/>
        <s v="Incheon" u="1"/>
        <s v="Irapuato" u="1"/>
        <s v="Jeju" u="1"/>
        <s v="Jeonju" u="1"/>
        <s v="Kaiserslautern" u="1"/>
        <s v="Kobe" u="1"/>
        <s v="La Coruï¿½A" u="1"/>
        <s v="Lausanne" u="1"/>
        <s v="Le Havre" u="1"/>
        <s v="Leipzig" u="1"/>
        <s v="Lens" u="1"/>
        <s v="Lille" u="1"/>
        <s v="Liverpool" u="1"/>
        <s v="London" u="1"/>
        <s v="Los Angeles" u="1"/>
        <s v="Lugano" u="1"/>
        <s v="Lyon" u="1"/>
        <s v="Madrid" u="1"/>
        <s v="Malaga" u="1"/>
        <s v="Malmï¿½" u="1"/>
        <s v="Manaus" u="1"/>
        <s v="Manchester" u="1"/>
        <s v="Mangaung/Bloemfontein" u="1"/>
        <s v="Mar Del Plata" u="1"/>
        <s v="Marseilles" u="1"/>
        <s v="Mendoza" u="1"/>
        <s v="Middlesbrough" u="1"/>
        <s v="Milan" u="1"/>
        <s v="Monterrey" u="1"/>
        <s v="Montpellier" u="1"/>
        <s v="Nantes" u="1"/>
        <s v="Naples" u="1"/>
        <s v="Natal" u="1"/>
        <s v="Nelson Mandela Bay/Port Elizabeth" u="1"/>
        <s v="Nelspruit" u="1"/>
        <s v="New York/New Jersey" u="1"/>
        <s v="Nezahualcoyotl" u="1"/>
        <s v="Niigata" u="1"/>
        <s v="Norrkï¿½Ping" u="1"/>
        <s v="Nuremberg" u="1"/>
        <s v="Oita" u="1"/>
        <s v="Orebro" u="1"/>
        <s v="Orlando" u="1"/>
        <s v="Osaka" u="1"/>
        <s v="Oviedo" u="1"/>
        <s v="Palermo" u="1"/>
        <s v="Paris" u="1"/>
        <s v="Phokeng" u="1"/>
        <s v="Polokwane" u="1"/>
        <s v="Porto Alegre" u="1"/>
        <s v="Puebla" u="1"/>
        <s v="Queretaro" u="1"/>
        <s v="Rancagua" u="1"/>
        <s v="Recife" u="1"/>
        <s v="Reims" u="1"/>
        <s v="Rifu" u="1"/>
        <s v="Rome" u="1"/>
        <s v="Rosario" u="1"/>
        <s v="Saint-Denis" u="1"/>
        <s v="Saint-Etienne" u="1"/>
        <s v="Saitama" u="1"/>
        <s v="Salvador" u="1"/>
        <s v="San Francisco" u="1"/>
        <s v="Sandviken" u="1"/>
        <s v="Santiago De Chile" u="1"/>
        <s v="Sapporo" u="1"/>
        <s v="Seoul" u="1"/>
        <s v="Seville" u="1"/>
        <s v="Sheffield" u="1"/>
        <s v="Shizuoka" u="1"/>
        <s v="Solna" u="1"/>
        <s v="Strasbourg" u="1"/>
        <s v="Stuttgart" u="1"/>
        <s v="Sunderland" u="1"/>
        <s v="Suwon" u="1"/>
        <s v="Toluca" u="1"/>
        <s v="Toulouse" u="1"/>
        <s v="Trieste" u="1"/>
        <s v="Tshwane/Pretoria" u="1"/>
        <s v="Turin" u="1"/>
        <s v="Udevalla" u="1"/>
        <s v="Udine" u="1"/>
        <s v="Ulsan" u="1"/>
        <s v="Valencia" u="1"/>
        <s v="Valladolid" u="1"/>
        <s v="Vasteras" u="1"/>
        <s v="Verona" u="1"/>
        <s v="Vigo" u="1"/>
        <s v="Vina Del Mar" u="1"/>
        <s v="Washington Dc" u="1"/>
        <s v="Yokohama" u="1"/>
        <s v="Zaragoza" u="1"/>
        <s v="Zurich" u="1"/>
      </sharedItems>
    </cacheField>
  </cacheFields>
  <cacheHierarchies count="41">
    <cacheHierarchy uniqueName="[Table3].[Team Name]" caption="Team Name" attribute="1" defaultMemberUniqueName="[Table3].[Team Name].[All]" allUniqueName="[Table3].[Team Name].[All]" dimensionUniqueName="[Table3]" displayFolder="" count="0" memberValueDatatype="130" unbalanced="0"/>
    <cacheHierarchy uniqueName="[Table3].[Team Goals]" caption="Team Goals" attribute="1" defaultMemberUniqueName="[Table3].[Team Goals].[All]" allUniqueName="[Table3].[Team Goals].[All]" dimensionUniqueName="[Table3]" displayFolder="" count="0" memberValueDatatype="20" unbalanced="0"/>
    <cacheHierarchy uniqueName="[World_Cup_Matches].[Year]" caption="Year" attribute="1" defaultMemberUniqueName="[World_Cup_Matches].[Year].[All]" allUniqueName="[World_Cup_Matches].[Year].[All]" dimensionUniqueName="[World_Cup_Matches]" displayFolder="" count="0" memberValueDatatype="20" unbalanced="0"/>
    <cacheHierarchy uniqueName="[World_Cup_Matches].[Datetime]" caption="Datetime" attribute="1" defaultMemberUniqueName="[World_Cup_Matches].[Datetime].[All]" allUniqueName="[World_Cup_Matches].[Datetime].[All]" dimensionUniqueName="[World_Cup_Matches]" displayFolder="" count="0" memberValueDatatype="130" unbalanced="0"/>
    <cacheHierarchy uniqueName="[World_Cup_Matches].[Stage]" caption="Stage" attribute="1" defaultMemberUniqueName="[World_Cup_Matches].[Stage].[All]" allUniqueName="[World_Cup_Matches].[Stage].[All]" dimensionUniqueName="[World_Cup_Matches]" displayFolder="" count="0" memberValueDatatype="130" unbalanced="0"/>
    <cacheHierarchy uniqueName="[World_Cup_Matches].[Stadium]" caption="Stadium" attribute="1" defaultMemberUniqueName="[World_Cup_Matches].[Stadium].[All]" allUniqueName="[World_Cup_Matches].[Stadium].[All]" dimensionUniqueName="[World_Cup_Matches]" displayFolder="" count="0" memberValueDatatype="130" unbalanced="0"/>
    <cacheHierarchy uniqueName="[World_Cup_Matches].[City]" caption="City" attribute="1" defaultMemberUniqueName="[World_Cup_Matches].[City].[All]" allUniqueName="[World_Cup_Matches].[City].[All]" dimensionUniqueName="[World_Cup_Matches]" displayFolder="" count="2" memberValueDatatype="130" unbalanced="0">
      <fieldsUsage count="2">
        <fieldUsage x="-1"/>
        <fieldUsage x="1"/>
      </fieldsUsage>
    </cacheHierarchy>
    <cacheHierarchy uniqueName="[World_Cup_Matches].[Home Team Name]" caption="Home Team Name" attribute="1" defaultMemberUniqueName="[World_Cup_Matches].[Home Team Name].[All]" allUniqueName="[World_Cup_Matches].[Home Team Name].[All]" dimensionUniqueName="[World_Cup_Matches]" displayFolder="" count="0" memberValueDatatype="130" unbalanced="0"/>
    <cacheHierarchy uniqueName="[World_Cup_Matches].[Home Team Goals]" caption="Home Team Goals" attribute="1" defaultMemberUniqueName="[World_Cup_Matches].[Home Team Goals].[All]" allUniqueName="[World_Cup_Matches].[Home Team Goals].[All]" dimensionUniqueName="[World_Cup_Matches]" displayFolder="" count="0" memberValueDatatype="20" unbalanced="0"/>
    <cacheHierarchy uniqueName="[World_Cup_Matches].[Away Team Goals]" caption="Away Team Goals" attribute="1" defaultMemberUniqueName="[World_Cup_Matches].[Away Team Goals].[All]" allUniqueName="[World_Cup_Matches].[Away Team Goals].[All]" dimensionUniqueName="[World_Cup_Matches]" displayFolder="" count="0" memberValueDatatype="20" unbalanced="0"/>
    <cacheHierarchy uniqueName="[World_Cup_Matches].[Away Team Name]" caption="Away Team Name" attribute="1" defaultMemberUniqueName="[World_Cup_Matches].[Away Team Name].[All]" allUniqueName="[World_Cup_Matches].[Away Team Name].[All]" dimensionUniqueName="[World_Cup_Matches]" displayFolder="" count="0" memberValueDatatype="130" unbalanced="0"/>
    <cacheHierarchy uniqueName="[World_Cup_Matches].[Win conditions]" caption="Win conditions" attribute="1" defaultMemberUniqueName="[World_Cup_Matches].[Win conditions].[All]" allUniqueName="[World_Cup_Matches].[Win conditions].[All]" dimensionUniqueName="[World_Cup_Matches]" displayFolder="" count="0" memberValueDatatype="130" unbalanced="0"/>
    <cacheHierarchy uniqueName="[World_Cup_Matches].[Attendance]" caption="Attendance" attribute="1" defaultMemberUniqueName="[World_Cup_Matches].[Attendance].[All]" allUniqueName="[World_Cup_Matches].[Attendance].[All]" dimensionUniqueName="[World_Cup_Matches]" displayFolder="" count="0" memberValueDatatype="20" unbalanced="0"/>
    <cacheHierarchy uniqueName="[World_Cup_Matches].[Half-time Home Goals]" caption="Half-time Home Goals" attribute="1" defaultMemberUniqueName="[World_Cup_Matches].[Half-time Home Goals].[All]" allUniqueName="[World_Cup_Matches].[Half-time Home Goals].[All]" dimensionUniqueName="[World_Cup_Matches]" displayFolder="" count="0" memberValueDatatype="20" unbalanced="0"/>
    <cacheHierarchy uniqueName="[World_Cup_Matches].[Half-time Away Goals]" caption="Half-time Away Goals" attribute="1" defaultMemberUniqueName="[World_Cup_Matches].[Half-time Away Goals].[All]" allUniqueName="[World_Cup_Matches].[Half-time Away Goals].[All]" dimensionUniqueName="[World_Cup_Matches]" displayFolder="" count="0" memberValueDatatype="20" unbalanced="0"/>
    <cacheHierarchy uniqueName="[World_Cup_Matches].[Referee]" caption="Referee" attribute="1" defaultMemberUniqueName="[World_Cup_Matches].[Referee].[All]" allUniqueName="[World_Cup_Matches].[Referee].[All]" dimensionUniqueName="[World_Cup_Matches]" displayFolder="" count="0" memberValueDatatype="130" unbalanced="0"/>
    <cacheHierarchy uniqueName="[World_Cup_Matches].[Assistant 1]" caption="Assistant 1" attribute="1" defaultMemberUniqueName="[World_Cup_Matches].[Assistant 1].[All]" allUniqueName="[World_Cup_Matches].[Assistant 1].[All]" dimensionUniqueName="[World_Cup_Matches]" displayFolder="" count="0" memberValueDatatype="130" unbalanced="0"/>
    <cacheHierarchy uniqueName="[World_Cup_Matches].[Assistant 2]" caption="Assistant 2" attribute="1" defaultMemberUniqueName="[World_Cup_Matches].[Assistant 2].[All]" allUniqueName="[World_Cup_Matches].[Assistant 2].[All]" dimensionUniqueName="[World_Cup_Matches]" displayFolder="" count="0" memberValueDatatype="130" unbalanced="0"/>
    <cacheHierarchy uniqueName="[World_Cup_Matches].[RoundID]" caption="RoundID" attribute="1" defaultMemberUniqueName="[World_Cup_Matches].[RoundID].[All]" allUniqueName="[World_Cup_Matches].[RoundID].[All]" dimensionUniqueName="[World_Cup_Matches]" displayFolder="" count="0" memberValueDatatype="20" unbalanced="0"/>
    <cacheHierarchy uniqueName="[World_Cup_Matches].[MatchID]" caption="MatchID" attribute="1" defaultMemberUniqueName="[World_Cup_Matches].[MatchID].[All]" allUniqueName="[World_Cup_Matches].[MatchID].[All]" dimensionUniqueName="[World_Cup_Matches]" displayFolder="" count="0" memberValueDatatype="20" unbalanced="0"/>
    <cacheHierarchy uniqueName="[World_Cup_Matches].[Home Team Initials]" caption="Home Team Initials" attribute="1" defaultMemberUniqueName="[World_Cup_Matches].[Home Team Initials].[All]" allUniqueName="[World_Cup_Matches].[Home Team Initials].[All]" dimensionUniqueName="[World_Cup_Matches]" displayFolder="" count="0" memberValueDatatype="130" unbalanced="0"/>
    <cacheHierarchy uniqueName="[World_Cup_Matches].[Away Team Initials]" caption="Away Team Initials" attribute="1" defaultMemberUniqueName="[World_Cup_Matches].[Away Team Initials].[All]" allUniqueName="[World_Cup_Matches].[Away Team Initials].[All]" dimensionUniqueName="[World_Cup_Matches]" displayFolder="" count="0" memberValueDatatype="130" unbalanced="0"/>
    <cacheHierarchy uniqueName="[World_Cup_Matches].[total goals]" caption="total goals" attribute="1" defaultMemberUniqueName="[World_Cup_Matches].[total goals].[All]" allUniqueName="[World_Cup_Matches].[total goals].[All]" dimensionUniqueName="[World_Cup_Matches]" displayFolder="" count="0" memberValueDatatype="20" unbalanced="0"/>
    <cacheHierarchy uniqueName="[World_Cup_Matches].[Goal Difference]" caption="Goal Difference" attribute="1" defaultMemberUniqueName="[World_Cup_Matches].[Goal Difference].[All]" allUniqueName="[World_Cup_Matches].[Goal Difference].[All]" dimensionUniqueName="[World_Cup_Matches]" displayFolder="" count="0" memberValueDatatype="20" unbalanced="0"/>
    <cacheHierarchy uniqueName="[World_Cup_Matches].[Winner]" caption="Winner" attribute="1" defaultMemberUniqueName="[World_Cup_Matches].[Winner].[All]" allUniqueName="[World_Cup_Matches].[Winner].[All]" dimensionUniqueName="[World_Cup_Matches]" displayFolder="" count="0" memberValueDatatype="130" unbalanced="0"/>
    <cacheHierarchy uniqueName="[World_Cup_Matches].[Result]" caption="Result" attribute="1" defaultMemberUniqueName="[World_Cup_Matches].[Result].[All]" allUniqueName="[World_Cup_Matches].[Result].[All]" dimensionUniqueName="[World_Cup_Matches]" displayFolder="" count="0" memberValueDatatype="130" unbalanced="0"/>
    <cacheHierarchy uniqueName="[Measures].[__XL_Count World_Cup_Matches]" caption="__XL_Count World_Cup_Matches" measure="1" displayFolder="" measureGroup="World_Cup_Matches"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Year]" caption="Sum of Year" measure="1" displayFolder="" measureGroup="World_Cup_Matches" count="0" hidden="1">
      <extLst>
        <ext xmlns:x15="http://schemas.microsoft.com/office/spreadsheetml/2010/11/main" uri="{B97F6D7D-B522-45F9-BDA1-12C45D357490}">
          <x15:cacheHierarchy aggregatedColumn="2"/>
        </ext>
      </extLst>
    </cacheHierarchy>
    <cacheHierarchy uniqueName="[Measures].[Count of Year]" caption="Count of Year" measure="1" displayFolder="" measureGroup="World_Cup_Matches" count="0" hidden="1">
      <extLst>
        <ext xmlns:x15="http://schemas.microsoft.com/office/spreadsheetml/2010/11/main" uri="{B97F6D7D-B522-45F9-BDA1-12C45D357490}">
          <x15:cacheHierarchy aggregatedColumn="2"/>
        </ext>
      </extLst>
    </cacheHierarchy>
    <cacheHierarchy uniqueName="[Measures].[Sum of total goals]" caption="Sum of total goals" measure="1" displayFolder="" measureGroup="World_Cup_Matches" count="0" hidden="1">
      <extLst>
        <ext xmlns:x15="http://schemas.microsoft.com/office/spreadsheetml/2010/11/main" uri="{B97F6D7D-B522-45F9-BDA1-12C45D357490}">
          <x15:cacheHierarchy aggregatedColumn="22"/>
        </ext>
      </extLst>
    </cacheHierarchy>
    <cacheHierarchy uniqueName="[Measures].[Count of total goals]" caption="Count of total goals" measure="1" displayFolder="" measureGroup="World_Cup_Matches" count="0" hidden="1">
      <extLst>
        <ext xmlns:x15="http://schemas.microsoft.com/office/spreadsheetml/2010/11/main" uri="{B97F6D7D-B522-45F9-BDA1-12C45D357490}">
          <x15:cacheHierarchy aggregatedColumn="22"/>
        </ext>
      </extLst>
    </cacheHierarchy>
    <cacheHierarchy uniqueName="[Measures].[Average of total goals]" caption="Average of total goals" measure="1" displayFolder="" measureGroup="World_Cup_Matches" count="0" hidden="1">
      <extLst>
        <ext xmlns:x15="http://schemas.microsoft.com/office/spreadsheetml/2010/11/main" uri="{B97F6D7D-B522-45F9-BDA1-12C45D357490}">
          <x15:cacheHierarchy aggregatedColumn="22"/>
        </ext>
      </extLst>
    </cacheHierarchy>
    <cacheHierarchy uniqueName="[Measures].[Count of City]" caption="Count of City" measure="1" displayFolder="" measureGroup="World_Cup_Matches" count="0" oneField="1" hidden="1">
      <fieldsUsage count="1">
        <fieldUsage x="0"/>
      </fieldsUsage>
      <extLst>
        <ext xmlns:x15="http://schemas.microsoft.com/office/spreadsheetml/2010/11/main" uri="{B97F6D7D-B522-45F9-BDA1-12C45D357490}">
          <x15:cacheHierarchy aggregatedColumn="6"/>
        </ext>
      </extLst>
    </cacheHierarchy>
    <cacheHierarchy uniqueName="[Measures].[Count of Home Team Name]" caption="Count of Home Team Name" measure="1" displayFolder="" measureGroup="World_Cup_Matches" count="0" hidden="1">
      <extLst>
        <ext xmlns:x15="http://schemas.microsoft.com/office/spreadsheetml/2010/11/main" uri="{B97F6D7D-B522-45F9-BDA1-12C45D357490}">
          <x15:cacheHierarchy aggregatedColumn="7"/>
        </ext>
      </extLst>
    </cacheHierarchy>
    <cacheHierarchy uniqueName="[Measures].[Count of Away Team Name]" caption="Count of Away Team Name" measure="1" displayFolder="" measureGroup="World_Cup_Matches" count="0" hidden="1">
      <extLst>
        <ext xmlns:x15="http://schemas.microsoft.com/office/spreadsheetml/2010/11/main" uri="{B97F6D7D-B522-45F9-BDA1-12C45D357490}">
          <x15:cacheHierarchy aggregatedColumn="10"/>
        </ext>
      </extLst>
    </cacheHierarchy>
    <cacheHierarchy uniqueName="[Measures].[Sum of Away Team Goals]" caption="Sum of Away Team Goals" measure="1" displayFolder="" measureGroup="World_Cup_Matches" count="0" hidden="1">
      <extLst>
        <ext xmlns:x15="http://schemas.microsoft.com/office/spreadsheetml/2010/11/main" uri="{B97F6D7D-B522-45F9-BDA1-12C45D357490}">
          <x15:cacheHierarchy aggregatedColumn="9"/>
        </ext>
      </extLst>
    </cacheHierarchy>
    <cacheHierarchy uniqueName="[Measures].[Sum of Team Goals]" caption="Sum of Team Goals" measure="1" displayFolder="" measureGroup="Table3" count="0" hidden="1">
      <extLst>
        <ext xmlns:x15="http://schemas.microsoft.com/office/spreadsheetml/2010/11/main" uri="{B97F6D7D-B522-45F9-BDA1-12C45D357490}">
          <x15:cacheHierarchy aggregatedColumn="1"/>
        </ext>
      </extLst>
    </cacheHierarchy>
    <cacheHierarchy uniqueName="[Measures].[Sum of Attendance]" caption="Sum of Attendance" measure="1" displayFolder="" measureGroup="World_Cup_Matches" count="0" hidden="1">
      <extLst>
        <ext xmlns:x15="http://schemas.microsoft.com/office/spreadsheetml/2010/11/main" uri="{B97F6D7D-B522-45F9-BDA1-12C45D357490}">
          <x15:cacheHierarchy aggregatedColumn="12"/>
        </ext>
      </extLst>
    </cacheHierarchy>
    <cacheHierarchy uniqueName="[Measures].[Average of Attendance]" caption="Average of Attendance" measure="1" displayFolder="" measureGroup="World_Cup_Matches" count="0" hidden="1">
      <extLst>
        <ext xmlns:x15="http://schemas.microsoft.com/office/spreadsheetml/2010/11/main" uri="{B97F6D7D-B522-45F9-BDA1-12C45D357490}">
          <x15:cacheHierarchy aggregatedColumn="12"/>
        </ext>
      </extLst>
    </cacheHierarchy>
  </cacheHierarchies>
  <kpis count="0"/>
  <dimensions count="3">
    <dimension measure="1" name="Measures" uniqueName="[Measures]" caption="Measures"/>
    <dimension name="Table3" uniqueName="[Table3]" caption="Table3"/>
    <dimension name="World_Cup_Matches" uniqueName="[World_Cup_Matches]" caption="World_Cup_Matches"/>
  </dimensions>
  <measureGroups count="2">
    <measureGroup name="Table3" caption="Table3"/>
    <measureGroup name="World_Cup_Matches" caption="World_Cup_Matches"/>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39.150011111109" backgroundQuery="1" createdVersion="8" refreshedVersion="8" minRefreshableVersion="3" recordCount="0" supportSubquery="1" supportAdvancedDrill="1" xr:uid="{08214D55-33C3-4AC0-B2AD-FB94D8E7F7F3}">
  <cacheSource type="external" connectionId="2"/>
  <cacheFields count="3">
    <cacheField name="[Table3].[Team Name].[Team Name]" caption="Team Name" numFmtId="0" level="1">
      <sharedItems count="83">
        <s v="Argentina"/>
        <s v="Brazil"/>
        <s v="England"/>
        <s v="France"/>
        <s v="Germany FR"/>
        <s v="Hungary"/>
        <s v="Italy"/>
        <s v="Netherlands"/>
        <s v="Spain"/>
        <s v="Uruguay"/>
        <s v="Algeria" u="1"/>
        <s v="Angola" u="1"/>
        <s v="Australia" u="1"/>
        <s v="Austria" u="1"/>
        <s v="Belgium" u="1"/>
        <s v="Bolivia" u="1"/>
        <s v="Bulgaria" u="1"/>
        <s v="Cameroon" u="1"/>
        <s v="Canada" u="1"/>
        <s v="Chile" u="1"/>
        <s v="China PR" u="1"/>
        <s v="Cï¿½te d'Ivoire" u="1"/>
        <s v="Colombia" u="1"/>
        <s v="Costa Rica" u="1"/>
        <s v="Croatia" u="1"/>
        <s v="Cuba" u="1"/>
        <s v="Czech Republic" u="1"/>
        <s v="Czechoslovakia" u="1"/>
        <s v="Denmark" u="1"/>
        <s v="Dutch East Indies" u="1"/>
        <s v="Ecuador" u="1"/>
        <s v="Egypt" u="1"/>
        <s v="El Salvador" u="1"/>
        <s v="German DR" u="1"/>
        <s v="Germany" u="1"/>
        <s v="Ghana" u="1"/>
        <s v="Greece" u="1"/>
        <s v="Haiti" u="1"/>
        <s v="Honduras" u="1"/>
        <s v="IR Iran" u="1"/>
        <s v="Iran" u="1"/>
        <s v="Iraq" u="1"/>
        <s v="Israel" u="1"/>
        <s v="Jamaica" u="1"/>
        <s v="Japan" u="1"/>
        <s v="Korea DPR" u="1"/>
        <s v="Korea Republic" u="1"/>
        <s v="Kuwait" u="1"/>
        <s v="Mexico" u="1"/>
        <s v="Morocco" u="1"/>
        <s v="New Zealand" u="1"/>
        <s v="Nigeria" u="1"/>
        <s v="Northern Ireland" u="1"/>
        <s v="Norway" u="1"/>
        <s v="Paraguay" u="1"/>
        <s v="Peru" u="1"/>
        <s v="Poland" u="1"/>
        <s v="Portugal" u="1"/>
        <s v="rn&quot;&gt;Bosnia and Herzegovina" u="1"/>
        <s v="rn&quot;&gt;Republic of Ireland" u="1"/>
        <s v="rn&quot;&gt;Serbia and Montenegro" u="1"/>
        <s v="rn&quot;&gt;Trinidad and Tobago" u="1"/>
        <s v="rn&quot;&gt;United Arab Emirates" u="1"/>
        <s v="Romania" u="1"/>
        <s v="Russia" u="1"/>
        <s v="Saudi Arabia" u="1"/>
        <s v="Scotland" u="1"/>
        <s v="Senegal" u="1"/>
        <s v="Serbia" u="1"/>
        <s v="Slovakia" u="1"/>
        <s v="Slovenia" u="1"/>
        <s v="South Africa" u="1"/>
        <s v="Soviet Union" u="1"/>
        <s v="Sweden" u="1"/>
        <s v="Switzerland" u="1"/>
        <s v="Togo" u="1"/>
        <s v="Tunisia" u="1"/>
        <s v="Turkey" u="1"/>
        <s v="Ukraine" u="1"/>
        <s v="USA" u="1"/>
        <s v="Wales" u="1"/>
        <s v="Yugoslavia" u="1"/>
        <s v="Zaire" u="1"/>
      </sharedItems>
    </cacheField>
    <cacheField name="[Measures].[Sum of Team Goals]" caption="Sum of Team Goals" numFmtId="0" hierarchy="38" level="32767"/>
    <cacheField name="[World_Cup_Matches].[Stage].[Stage]" caption="Stage" numFmtId="0" hierarchy="4" level="1">
      <sharedItems containsSemiMixedTypes="0" containsNonDate="0" containsString="0"/>
    </cacheField>
  </cacheFields>
  <cacheHierarchies count="41">
    <cacheHierarchy uniqueName="[Table3].[Team Name]" caption="Team Name" attribute="1" defaultMemberUniqueName="[Table3].[Team Name].[All]" allUniqueName="[Table3].[Team Name].[All]" dimensionUniqueName="[Table3]" displayFolder="" count="2" memberValueDatatype="130" unbalanced="0">
      <fieldsUsage count="2">
        <fieldUsage x="-1"/>
        <fieldUsage x="0"/>
      </fieldsUsage>
    </cacheHierarchy>
    <cacheHierarchy uniqueName="[Table3].[Team Goals]" caption="Team Goals" attribute="1" defaultMemberUniqueName="[Table3].[Team Goals].[All]" allUniqueName="[Table3].[Team Goals].[All]" dimensionUniqueName="[Table3]" displayFolder="" count="0" memberValueDatatype="20" unbalanced="0"/>
    <cacheHierarchy uniqueName="[World_Cup_Matches].[Year]" caption="Year" attribute="1" defaultMemberUniqueName="[World_Cup_Matches].[Year].[All]" allUniqueName="[World_Cup_Matches].[Year].[All]" dimensionUniqueName="[World_Cup_Matches]" displayFolder="" count="0" memberValueDatatype="20" unbalanced="0"/>
    <cacheHierarchy uniqueName="[World_Cup_Matches].[Datetime]" caption="Datetime" attribute="1" defaultMemberUniqueName="[World_Cup_Matches].[Datetime].[All]" allUniqueName="[World_Cup_Matches].[Datetime].[All]" dimensionUniqueName="[World_Cup_Matches]" displayFolder="" count="0" memberValueDatatype="130" unbalanced="0"/>
    <cacheHierarchy uniqueName="[World_Cup_Matches].[Stage]" caption="Stage" attribute="1" defaultMemberUniqueName="[World_Cup_Matches].[Stage].[All]" allUniqueName="[World_Cup_Matches].[Stage].[All]" dimensionUniqueName="[World_Cup_Matches]" displayFolder="" count="2" memberValueDatatype="130" unbalanced="0">
      <fieldsUsage count="2">
        <fieldUsage x="-1"/>
        <fieldUsage x="2"/>
      </fieldsUsage>
    </cacheHierarchy>
    <cacheHierarchy uniqueName="[World_Cup_Matches].[Stadium]" caption="Stadium" attribute="1" defaultMemberUniqueName="[World_Cup_Matches].[Stadium].[All]" allUniqueName="[World_Cup_Matches].[Stadium].[All]" dimensionUniqueName="[World_Cup_Matches]" displayFolder="" count="0" memberValueDatatype="130" unbalanced="0"/>
    <cacheHierarchy uniqueName="[World_Cup_Matches].[City]" caption="City" attribute="1" defaultMemberUniqueName="[World_Cup_Matches].[City].[All]" allUniqueName="[World_Cup_Matches].[City].[All]" dimensionUniqueName="[World_Cup_Matches]" displayFolder="" count="0" memberValueDatatype="130" unbalanced="0"/>
    <cacheHierarchy uniqueName="[World_Cup_Matches].[Home Team Name]" caption="Home Team Name" attribute="1" defaultMemberUniqueName="[World_Cup_Matches].[Home Team Name].[All]" allUniqueName="[World_Cup_Matches].[Home Team Name].[All]" dimensionUniqueName="[World_Cup_Matches]" displayFolder="" count="0" memberValueDatatype="130" unbalanced="0"/>
    <cacheHierarchy uniqueName="[World_Cup_Matches].[Home Team Goals]" caption="Home Team Goals" attribute="1" defaultMemberUniqueName="[World_Cup_Matches].[Home Team Goals].[All]" allUniqueName="[World_Cup_Matches].[Home Team Goals].[All]" dimensionUniqueName="[World_Cup_Matches]" displayFolder="" count="0" memberValueDatatype="20" unbalanced="0"/>
    <cacheHierarchy uniqueName="[World_Cup_Matches].[Away Team Goals]" caption="Away Team Goals" attribute="1" defaultMemberUniqueName="[World_Cup_Matches].[Away Team Goals].[All]" allUniqueName="[World_Cup_Matches].[Away Team Goals].[All]" dimensionUniqueName="[World_Cup_Matches]" displayFolder="" count="0" memberValueDatatype="20" unbalanced="0"/>
    <cacheHierarchy uniqueName="[World_Cup_Matches].[Away Team Name]" caption="Away Team Name" attribute="1" defaultMemberUniqueName="[World_Cup_Matches].[Away Team Name].[All]" allUniqueName="[World_Cup_Matches].[Away Team Name].[All]" dimensionUniqueName="[World_Cup_Matches]" displayFolder="" count="0" memberValueDatatype="130" unbalanced="0"/>
    <cacheHierarchy uniqueName="[World_Cup_Matches].[Win conditions]" caption="Win conditions" attribute="1" defaultMemberUniqueName="[World_Cup_Matches].[Win conditions].[All]" allUniqueName="[World_Cup_Matches].[Win conditions].[All]" dimensionUniqueName="[World_Cup_Matches]" displayFolder="" count="0" memberValueDatatype="130" unbalanced="0"/>
    <cacheHierarchy uniqueName="[World_Cup_Matches].[Attendance]" caption="Attendance" attribute="1" defaultMemberUniqueName="[World_Cup_Matches].[Attendance].[All]" allUniqueName="[World_Cup_Matches].[Attendance].[All]" dimensionUniqueName="[World_Cup_Matches]" displayFolder="" count="0" memberValueDatatype="20" unbalanced="0"/>
    <cacheHierarchy uniqueName="[World_Cup_Matches].[Half-time Home Goals]" caption="Half-time Home Goals" attribute="1" defaultMemberUniqueName="[World_Cup_Matches].[Half-time Home Goals].[All]" allUniqueName="[World_Cup_Matches].[Half-time Home Goals].[All]" dimensionUniqueName="[World_Cup_Matches]" displayFolder="" count="0" memberValueDatatype="20" unbalanced="0"/>
    <cacheHierarchy uniqueName="[World_Cup_Matches].[Half-time Away Goals]" caption="Half-time Away Goals" attribute="1" defaultMemberUniqueName="[World_Cup_Matches].[Half-time Away Goals].[All]" allUniqueName="[World_Cup_Matches].[Half-time Away Goals].[All]" dimensionUniqueName="[World_Cup_Matches]" displayFolder="" count="0" memberValueDatatype="20" unbalanced="0"/>
    <cacheHierarchy uniqueName="[World_Cup_Matches].[Referee]" caption="Referee" attribute="1" defaultMemberUniqueName="[World_Cup_Matches].[Referee].[All]" allUniqueName="[World_Cup_Matches].[Referee].[All]" dimensionUniqueName="[World_Cup_Matches]" displayFolder="" count="0" memberValueDatatype="130" unbalanced="0"/>
    <cacheHierarchy uniqueName="[World_Cup_Matches].[Assistant 1]" caption="Assistant 1" attribute="1" defaultMemberUniqueName="[World_Cup_Matches].[Assistant 1].[All]" allUniqueName="[World_Cup_Matches].[Assistant 1].[All]" dimensionUniqueName="[World_Cup_Matches]" displayFolder="" count="0" memberValueDatatype="130" unbalanced="0"/>
    <cacheHierarchy uniqueName="[World_Cup_Matches].[Assistant 2]" caption="Assistant 2" attribute="1" defaultMemberUniqueName="[World_Cup_Matches].[Assistant 2].[All]" allUniqueName="[World_Cup_Matches].[Assistant 2].[All]" dimensionUniqueName="[World_Cup_Matches]" displayFolder="" count="0" memberValueDatatype="130" unbalanced="0"/>
    <cacheHierarchy uniqueName="[World_Cup_Matches].[RoundID]" caption="RoundID" attribute="1" defaultMemberUniqueName="[World_Cup_Matches].[RoundID].[All]" allUniqueName="[World_Cup_Matches].[RoundID].[All]" dimensionUniqueName="[World_Cup_Matches]" displayFolder="" count="0" memberValueDatatype="20" unbalanced="0"/>
    <cacheHierarchy uniqueName="[World_Cup_Matches].[MatchID]" caption="MatchID" attribute="1" defaultMemberUniqueName="[World_Cup_Matches].[MatchID].[All]" allUniqueName="[World_Cup_Matches].[MatchID].[All]" dimensionUniqueName="[World_Cup_Matches]" displayFolder="" count="0" memberValueDatatype="20" unbalanced="0"/>
    <cacheHierarchy uniqueName="[World_Cup_Matches].[Home Team Initials]" caption="Home Team Initials" attribute="1" defaultMemberUniqueName="[World_Cup_Matches].[Home Team Initials].[All]" allUniqueName="[World_Cup_Matches].[Home Team Initials].[All]" dimensionUniqueName="[World_Cup_Matches]" displayFolder="" count="0" memberValueDatatype="130" unbalanced="0"/>
    <cacheHierarchy uniqueName="[World_Cup_Matches].[Away Team Initials]" caption="Away Team Initials" attribute="1" defaultMemberUniqueName="[World_Cup_Matches].[Away Team Initials].[All]" allUniqueName="[World_Cup_Matches].[Away Team Initials].[All]" dimensionUniqueName="[World_Cup_Matches]" displayFolder="" count="0" memberValueDatatype="130" unbalanced="0"/>
    <cacheHierarchy uniqueName="[World_Cup_Matches].[total goals]" caption="total goals" attribute="1" defaultMemberUniqueName="[World_Cup_Matches].[total goals].[All]" allUniqueName="[World_Cup_Matches].[total goals].[All]" dimensionUniqueName="[World_Cup_Matches]" displayFolder="" count="0" memberValueDatatype="20" unbalanced="0"/>
    <cacheHierarchy uniqueName="[World_Cup_Matches].[Goal Difference]" caption="Goal Difference" attribute="1" defaultMemberUniqueName="[World_Cup_Matches].[Goal Difference].[All]" allUniqueName="[World_Cup_Matches].[Goal Difference].[All]" dimensionUniqueName="[World_Cup_Matches]" displayFolder="" count="0" memberValueDatatype="20" unbalanced="0"/>
    <cacheHierarchy uniqueName="[World_Cup_Matches].[Winner]" caption="Winner" attribute="1" defaultMemberUniqueName="[World_Cup_Matches].[Winner].[All]" allUniqueName="[World_Cup_Matches].[Winner].[All]" dimensionUniqueName="[World_Cup_Matches]" displayFolder="" count="0" memberValueDatatype="130" unbalanced="0"/>
    <cacheHierarchy uniqueName="[World_Cup_Matches].[Result]" caption="Result" attribute="1" defaultMemberUniqueName="[World_Cup_Matches].[Result].[All]" allUniqueName="[World_Cup_Matches].[Result].[All]" dimensionUniqueName="[World_Cup_Matches]" displayFolder="" count="0" memberValueDatatype="130" unbalanced="0"/>
    <cacheHierarchy uniqueName="[Measures].[__XL_Count World_Cup_Matches]" caption="__XL_Count World_Cup_Matches" measure="1" displayFolder="" measureGroup="World_Cup_Matches"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Year]" caption="Sum of Year" measure="1" displayFolder="" measureGroup="World_Cup_Matches" count="0" hidden="1">
      <extLst>
        <ext xmlns:x15="http://schemas.microsoft.com/office/spreadsheetml/2010/11/main" uri="{B97F6D7D-B522-45F9-BDA1-12C45D357490}">
          <x15:cacheHierarchy aggregatedColumn="2"/>
        </ext>
      </extLst>
    </cacheHierarchy>
    <cacheHierarchy uniqueName="[Measures].[Count of Year]" caption="Count of Year" measure="1" displayFolder="" measureGroup="World_Cup_Matches" count="0" hidden="1">
      <extLst>
        <ext xmlns:x15="http://schemas.microsoft.com/office/spreadsheetml/2010/11/main" uri="{B97F6D7D-B522-45F9-BDA1-12C45D357490}">
          <x15:cacheHierarchy aggregatedColumn="2"/>
        </ext>
      </extLst>
    </cacheHierarchy>
    <cacheHierarchy uniqueName="[Measures].[Sum of total goals]" caption="Sum of total goals" measure="1" displayFolder="" measureGroup="World_Cup_Matches" count="0" hidden="1">
      <extLst>
        <ext xmlns:x15="http://schemas.microsoft.com/office/spreadsheetml/2010/11/main" uri="{B97F6D7D-B522-45F9-BDA1-12C45D357490}">
          <x15:cacheHierarchy aggregatedColumn="22"/>
        </ext>
      </extLst>
    </cacheHierarchy>
    <cacheHierarchy uniqueName="[Measures].[Count of total goals]" caption="Count of total goals" measure="1" displayFolder="" measureGroup="World_Cup_Matches" count="0" hidden="1">
      <extLst>
        <ext xmlns:x15="http://schemas.microsoft.com/office/spreadsheetml/2010/11/main" uri="{B97F6D7D-B522-45F9-BDA1-12C45D357490}">
          <x15:cacheHierarchy aggregatedColumn="22"/>
        </ext>
      </extLst>
    </cacheHierarchy>
    <cacheHierarchy uniqueName="[Measures].[Average of total goals]" caption="Average of total goals" measure="1" displayFolder="" measureGroup="World_Cup_Matches" count="0" hidden="1">
      <extLst>
        <ext xmlns:x15="http://schemas.microsoft.com/office/spreadsheetml/2010/11/main" uri="{B97F6D7D-B522-45F9-BDA1-12C45D357490}">
          <x15:cacheHierarchy aggregatedColumn="22"/>
        </ext>
      </extLst>
    </cacheHierarchy>
    <cacheHierarchy uniqueName="[Measures].[Count of City]" caption="Count of City" measure="1" displayFolder="" measureGroup="World_Cup_Matches" count="0" hidden="1">
      <extLst>
        <ext xmlns:x15="http://schemas.microsoft.com/office/spreadsheetml/2010/11/main" uri="{B97F6D7D-B522-45F9-BDA1-12C45D357490}">
          <x15:cacheHierarchy aggregatedColumn="6"/>
        </ext>
      </extLst>
    </cacheHierarchy>
    <cacheHierarchy uniqueName="[Measures].[Count of Home Team Name]" caption="Count of Home Team Name" measure="1" displayFolder="" measureGroup="World_Cup_Matches" count="0" hidden="1">
      <extLst>
        <ext xmlns:x15="http://schemas.microsoft.com/office/spreadsheetml/2010/11/main" uri="{B97F6D7D-B522-45F9-BDA1-12C45D357490}">
          <x15:cacheHierarchy aggregatedColumn="7"/>
        </ext>
      </extLst>
    </cacheHierarchy>
    <cacheHierarchy uniqueName="[Measures].[Count of Away Team Name]" caption="Count of Away Team Name" measure="1" displayFolder="" measureGroup="World_Cup_Matches" count="0" hidden="1">
      <extLst>
        <ext xmlns:x15="http://schemas.microsoft.com/office/spreadsheetml/2010/11/main" uri="{B97F6D7D-B522-45F9-BDA1-12C45D357490}">
          <x15:cacheHierarchy aggregatedColumn="10"/>
        </ext>
      </extLst>
    </cacheHierarchy>
    <cacheHierarchy uniqueName="[Measures].[Sum of Away Team Goals]" caption="Sum of Away Team Goals" measure="1" displayFolder="" measureGroup="World_Cup_Matches" count="0" hidden="1">
      <extLst>
        <ext xmlns:x15="http://schemas.microsoft.com/office/spreadsheetml/2010/11/main" uri="{B97F6D7D-B522-45F9-BDA1-12C45D357490}">
          <x15:cacheHierarchy aggregatedColumn="9"/>
        </ext>
      </extLst>
    </cacheHierarchy>
    <cacheHierarchy uniqueName="[Measures].[Sum of Team Goals]" caption="Sum of Team Goals" measure="1" displayFolder="" measureGroup="Table3"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Attendance]" caption="Sum of Attendance" measure="1" displayFolder="" measureGroup="World_Cup_Matches" count="0" hidden="1">
      <extLst>
        <ext xmlns:x15="http://schemas.microsoft.com/office/spreadsheetml/2010/11/main" uri="{B97F6D7D-B522-45F9-BDA1-12C45D357490}">
          <x15:cacheHierarchy aggregatedColumn="12"/>
        </ext>
      </extLst>
    </cacheHierarchy>
    <cacheHierarchy uniqueName="[Measures].[Average of Attendance]" caption="Average of Attendance" measure="1" displayFolder="" measureGroup="World_Cup_Matches" count="0" hidden="1">
      <extLst>
        <ext xmlns:x15="http://schemas.microsoft.com/office/spreadsheetml/2010/11/main" uri="{B97F6D7D-B522-45F9-BDA1-12C45D357490}">
          <x15:cacheHierarchy aggregatedColumn="12"/>
        </ext>
      </extLst>
    </cacheHierarchy>
  </cacheHierarchies>
  <kpis count="0"/>
  <dimensions count="3">
    <dimension measure="1" name="Measures" uniqueName="[Measures]" caption="Measures"/>
    <dimension name="Table3" uniqueName="[Table3]" caption="Table3"/>
    <dimension name="World_Cup_Matches" uniqueName="[World_Cup_Matches]" caption="World_Cup_Matches"/>
  </dimensions>
  <measureGroups count="2">
    <measureGroup name="Table3" caption="Table3"/>
    <measureGroup name="World_Cup_Matches" caption="World_Cup_Matches"/>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39.178373958333" backgroundQuery="1" createdVersion="8" refreshedVersion="8" minRefreshableVersion="3" recordCount="0" supportSubquery="1" supportAdvancedDrill="1" xr:uid="{2A5C3B24-D615-48F3-8EFC-FD0E3506CEF2}">
  <cacheSource type="external" connectionId="2"/>
  <cacheFields count="3">
    <cacheField name="[World_Cup_Matches].[Year].[Year]" caption="Year" numFmtId="0" hierarchy="2" level="1">
      <sharedItems containsSemiMixedTypes="0" containsString="0" containsNumber="1" containsInteger="1" minValue="1930" maxValue="2014" count="20">
        <n v="1930"/>
        <n v="1934"/>
        <n v="1938"/>
        <n v="1950"/>
        <n v="1954"/>
        <n v="1958"/>
        <n v="1962"/>
        <n v="1966"/>
        <n v="1970"/>
        <n v="1974"/>
        <n v="1978"/>
        <n v="1982"/>
        <n v="1986"/>
        <n v="1990"/>
        <n v="1994"/>
        <n v="1998"/>
        <n v="2002"/>
        <n v="2006"/>
        <n v="2010"/>
        <n v="2014"/>
      </sharedItems>
      <extLst>
        <ext xmlns:x15="http://schemas.microsoft.com/office/spreadsheetml/2010/11/main" uri="{4F2E5C28-24EA-4eb8-9CBF-B6C8F9C3D259}">
          <x15:cachedUniqueNames>
            <x15:cachedUniqueName index="0" name="[World_Cup_Matches].[Year].&amp;[1930]"/>
            <x15:cachedUniqueName index="1" name="[World_Cup_Matches].[Year].&amp;[1934]"/>
            <x15:cachedUniqueName index="2" name="[World_Cup_Matches].[Year].&amp;[1938]"/>
            <x15:cachedUniqueName index="3" name="[World_Cup_Matches].[Year].&amp;[1950]"/>
            <x15:cachedUniqueName index="4" name="[World_Cup_Matches].[Year].&amp;[1954]"/>
            <x15:cachedUniqueName index="5" name="[World_Cup_Matches].[Year].&amp;[1958]"/>
            <x15:cachedUniqueName index="6" name="[World_Cup_Matches].[Year].&amp;[1962]"/>
            <x15:cachedUniqueName index="7" name="[World_Cup_Matches].[Year].&amp;[1966]"/>
            <x15:cachedUniqueName index="8" name="[World_Cup_Matches].[Year].&amp;[1970]"/>
            <x15:cachedUniqueName index="9" name="[World_Cup_Matches].[Year].&amp;[1974]"/>
            <x15:cachedUniqueName index="10" name="[World_Cup_Matches].[Year].&amp;[1978]"/>
            <x15:cachedUniqueName index="11" name="[World_Cup_Matches].[Year].&amp;[1982]"/>
            <x15:cachedUniqueName index="12" name="[World_Cup_Matches].[Year].&amp;[1986]"/>
            <x15:cachedUniqueName index="13" name="[World_Cup_Matches].[Year].&amp;[1990]"/>
            <x15:cachedUniqueName index="14" name="[World_Cup_Matches].[Year].&amp;[1994]"/>
            <x15:cachedUniqueName index="15" name="[World_Cup_Matches].[Year].&amp;[1998]"/>
            <x15:cachedUniqueName index="16" name="[World_Cup_Matches].[Year].&amp;[2002]"/>
            <x15:cachedUniqueName index="17" name="[World_Cup_Matches].[Year].&amp;[2006]"/>
            <x15:cachedUniqueName index="18" name="[World_Cup_Matches].[Year].&amp;[2010]"/>
            <x15:cachedUniqueName index="19" name="[World_Cup_Matches].[Year].&amp;[2014]"/>
          </x15:cachedUniqueNames>
        </ext>
      </extLst>
    </cacheField>
    <cacheField name="[Measures].[Sum of total goals]" caption="Sum of total goals" numFmtId="0" hierarchy="31" level="32767"/>
    <cacheField name="[World_Cup_Matches].[Stage].[Stage]" caption="Stage" numFmtId="0" hierarchy="4" level="1">
      <sharedItems containsSemiMixedTypes="0" containsNonDate="0" containsString="0"/>
    </cacheField>
  </cacheFields>
  <cacheHierarchies count="41">
    <cacheHierarchy uniqueName="[Table3].[Team Name]" caption="Team Name" attribute="1" defaultMemberUniqueName="[Table3].[Team Name].[All]" allUniqueName="[Table3].[Team Name].[All]" dimensionUniqueName="[Table3]" displayFolder="" count="0" memberValueDatatype="130" unbalanced="0"/>
    <cacheHierarchy uniqueName="[Table3].[Team Goals]" caption="Team Goals" attribute="1" defaultMemberUniqueName="[Table3].[Team Goals].[All]" allUniqueName="[Table3].[Team Goals].[All]" dimensionUniqueName="[Table3]" displayFolder="" count="0" memberValueDatatype="20" unbalanced="0"/>
    <cacheHierarchy uniqueName="[World_Cup_Matches].[Year]" caption="Year" attribute="1" defaultMemberUniqueName="[World_Cup_Matches].[Year].[All]" allUniqueName="[World_Cup_Matches].[Year].[All]" dimensionUniqueName="[World_Cup_Matches]" displayFolder="" count="2" memberValueDatatype="20" unbalanced="0">
      <fieldsUsage count="2">
        <fieldUsage x="-1"/>
        <fieldUsage x="0"/>
      </fieldsUsage>
    </cacheHierarchy>
    <cacheHierarchy uniqueName="[World_Cup_Matches].[Datetime]" caption="Datetime" attribute="1" defaultMemberUniqueName="[World_Cup_Matches].[Datetime].[All]" allUniqueName="[World_Cup_Matches].[Datetime].[All]" dimensionUniqueName="[World_Cup_Matches]" displayFolder="" count="0" memberValueDatatype="130" unbalanced="0"/>
    <cacheHierarchy uniqueName="[World_Cup_Matches].[Stage]" caption="Stage" attribute="1" defaultMemberUniqueName="[World_Cup_Matches].[Stage].[All]" allUniqueName="[World_Cup_Matches].[Stage].[All]" dimensionUniqueName="[World_Cup_Matches]" displayFolder="" count="2" memberValueDatatype="130" unbalanced="0">
      <fieldsUsage count="2">
        <fieldUsage x="-1"/>
        <fieldUsage x="2"/>
      </fieldsUsage>
    </cacheHierarchy>
    <cacheHierarchy uniqueName="[World_Cup_Matches].[Stadium]" caption="Stadium" attribute="1" defaultMemberUniqueName="[World_Cup_Matches].[Stadium].[All]" allUniqueName="[World_Cup_Matches].[Stadium].[All]" dimensionUniqueName="[World_Cup_Matches]" displayFolder="" count="0" memberValueDatatype="130" unbalanced="0"/>
    <cacheHierarchy uniqueName="[World_Cup_Matches].[City]" caption="City" attribute="1" defaultMemberUniqueName="[World_Cup_Matches].[City].[All]" allUniqueName="[World_Cup_Matches].[City].[All]" dimensionUniqueName="[World_Cup_Matches]" displayFolder="" count="0" memberValueDatatype="130" unbalanced="0"/>
    <cacheHierarchy uniqueName="[World_Cup_Matches].[Home Team Name]" caption="Home Team Name" attribute="1" defaultMemberUniqueName="[World_Cup_Matches].[Home Team Name].[All]" allUniqueName="[World_Cup_Matches].[Home Team Name].[All]" dimensionUniqueName="[World_Cup_Matches]" displayFolder="" count="0" memberValueDatatype="130" unbalanced="0"/>
    <cacheHierarchy uniqueName="[World_Cup_Matches].[Home Team Goals]" caption="Home Team Goals" attribute="1" defaultMemberUniqueName="[World_Cup_Matches].[Home Team Goals].[All]" allUniqueName="[World_Cup_Matches].[Home Team Goals].[All]" dimensionUniqueName="[World_Cup_Matches]" displayFolder="" count="0" memberValueDatatype="20" unbalanced="0"/>
    <cacheHierarchy uniqueName="[World_Cup_Matches].[Away Team Goals]" caption="Away Team Goals" attribute="1" defaultMemberUniqueName="[World_Cup_Matches].[Away Team Goals].[All]" allUniqueName="[World_Cup_Matches].[Away Team Goals].[All]" dimensionUniqueName="[World_Cup_Matches]" displayFolder="" count="0" memberValueDatatype="20" unbalanced="0"/>
    <cacheHierarchy uniqueName="[World_Cup_Matches].[Away Team Name]" caption="Away Team Name" attribute="1" defaultMemberUniqueName="[World_Cup_Matches].[Away Team Name].[All]" allUniqueName="[World_Cup_Matches].[Away Team Name].[All]" dimensionUniqueName="[World_Cup_Matches]" displayFolder="" count="0" memberValueDatatype="130" unbalanced="0"/>
    <cacheHierarchy uniqueName="[World_Cup_Matches].[Win conditions]" caption="Win conditions" attribute="1" defaultMemberUniqueName="[World_Cup_Matches].[Win conditions].[All]" allUniqueName="[World_Cup_Matches].[Win conditions].[All]" dimensionUniqueName="[World_Cup_Matches]" displayFolder="" count="0" memberValueDatatype="130" unbalanced="0"/>
    <cacheHierarchy uniqueName="[World_Cup_Matches].[Attendance]" caption="Attendance" attribute="1" defaultMemberUniqueName="[World_Cup_Matches].[Attendance].[All]" allUniqueName="[World_Cup_Matches].[Attendance].[All]" dimensionUniqueName="[World_Cup_Matches]" displayFolder="" count="0" memberValueDatatype="20" unbalanced="0"/>
    <cacheHierarchy uniqueName="[World_Cup_Matches].[Half-time Home Goals]" caption="Half-time Home Goals" attribute="1" defaultMemberUniqueName="[World_Cup_Matches].[Half-time Home Goals].[All]" allUniqueName="[World_Cup_Matches].[Half-time Home Goals].[All]" dimensionUniqueName="[World_Cup_Matches]" displayFolder="" count="0" memberValueDatatype="20" unbalanced="0"/>
    <cacheHierarchy uniqueName="[World_Cup_Matches].[Half-time Away Goals]" caption="Half-time Away Goals" attribute="1" defaultMemberUniqueName="[World_Cup_Matches].[Half-time Away Goals].[All]" allUniqueName="[World_Cup_Matches].[Half-time Away Goals].[All]" dimensionUniqueName="[World_Cup_Matches]" displayFolder="" count="0" memberValueDatatype="20" unbalanced="0"/>
    <cacheHierarchy uniqueName="[World_Cup_Matches].[Referee]" caption="Referee" attribute="1" defaultMemberUniqueName="[World_Cup_Matches].[Referee].[All]" allUniqueName="[World_Cup_Matches].[Referee].[All]" dimensionUniqueName="[World_Cup_Matches]" displayFolder="" count="0" memberValueDatatype="130" unbalanced="0"/>
    <cacheHierarchy uniqueName="[World_Cup_Matches].[Assistant 1]" caption="Assistant 1" attribute="1" defaultMemberUniqueName="[World_Cup_Matches].[Assistant 1].[All]" allUniqueName="[World_Cup_Matches].[Assistant 1].[All]" dimensionUniqueName="[World_Cup_Matches]" displayFolder="" count="0" memberValueDatatype="130" unbalanced="0"/>
    <cacheHierarchy uniqueName="[World_Cup_Matches].[Assistant 2]" caption="Assistant 2" attribute="1" defaultMemberUniqueName="[World_Cup_Matches].[Assistant 2].[All]" allUniqueName="[World_Cup_Matches].[Assistant 2].[All]" dimensionUniqueName="[World_Cup_Matches]" displayFolder="" count="0" memberValueDatatype="130" unbalanced="0"/>
    <cacheHierarchy uniqueName="[World_Cup_Matches].[RoundID]" caption="RoundID" attribute="1" defaultMemberUniqueName="[World_Cup_Matches].[RoundID].[All]" allUniqueName="[World_Cup_Matches].[RoundID].[All]" dimensionUniqueName="[World_Cup_Matches]" displayFolder="" count="0" memberValueDatatype="20" unbalanced="0"/>
    <cacheHierarchy uniqueName="[World_Cup_Matches].[MatchID]" caption="MatchID" attribute="1" defaultMemberUniqueName="[World_Cup_Matches].[MatchID].[All]" allUniqueName="[World_Cup_Matches].[MatchID].[All]" dimensionUniqueName="[World_Cup_Matches]" displayFolder="" count="0" memberValueDatatype="20" unbalanced="0"/>
    <cacheHierarchy uniqueName="[World_Cup_Matches].[Home Team Initials]" caption="Home Team Initials" attribute="1" defaultMemberUniqueName="[World_Cup_Matches].[Home Team Initials].[All]" allUniqueName="[World_Cup_Matches].[Home Team Initials].[All]" dimensionUniqueName="[World_Cup_Matches]" displayFolder="" count="0" memberValueDatatype="130" unbalanced="0"/>
    <cacheHierarchy uniqueName="[World_Cup_Matches].[Away Team Initials]" caption="Away Team Initials" attribute="1" defaultMemberUniqueName="[World_Cup_Matches].[Away Team Initials].[All]" allUniqueName="[World_Cup_Matches].[Away Team Initials].[All]" dimensionUniqueName="[World_Cup_Matches]" displayFolder="" count="0" memberValueDatatype="130" unbalanced="0"/>
    <cacheHierarchy uniqueName="[World_Cup_Matches].[total goals]" caption="total goals" attribute="1" defaultMemberUniqueName="[World_Cup_Matches].[total goals].[All]" allUniqueName="[World_Cup_Matches].[total goals].[All]" dimensionUniqueName="[World_Cup_Matches]" displayFolder="" count="0" memberValueDatatype="20" unbalanced="0"/>
    <cacheHierarchy uniqueName="[World_Cup_Matches].[Goal Difference]" caption="Goal Difference" attribute="1" defaultMemberUniqueName="[World_Cup_Matches].[Goal Difference].[All]" allUniqueName="[World_Cup_Matches].[Goal Difference].[All]" dimensionUniqueName="[World_Cup_Matches]" displayFolder="" count="0" memberValueDatatype="20" unbalanced="0"/>
    <cacheHierarchy uniqueName="[World_Cup_Matches].[Winner]" caption="Winner" attribute="1" defaultMemberUniqueName="[World_Cup_Matches].[Winner].[All]" allUniqueName="[World_Cup_Matches].[Winner].[All]" dimensionUniqueName="[World_Cup_Matches]" displayFolder="" count="0" memberValueDatatype="130" unbalanced="0"/>
    <cacheHierarchy uniqueName="[World_Cup_Matches].[Result]" caption="Result" attribute="1" defaultMemberUniqueName="[World_Cup_Matches].[Result].[All]" allUniqueName="[World_Cup_Matches].[Result].[All]" dimensionUniqueName="[World_Cup_Matches]" displayFolder="" count="0" memberValueDatatype="130" unbalanced="0"/>
    <cacheHierarchy uniqueName="[Measures].[__XL_Count World_Cup_Matches]" caption="__XL_Count World_Cup_Matches" measure="1" displayFolder="" measureGroup="World_Cup_Matches"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Year]" caption="Sum of Year" measure="1" displayFolder="" measureGroup="World_Cup_Matches" count="0" hidden="1">
      <extLst>
        <ext xmlns:x15="http://schemas.microsoft.com/office/spreadsheetml/2010/11/main" uri="{B97F6D7D-B522-45F9-BDA1-12C45D357490}">
          <x15:cacheHierarchy aggregatedColumn="2"/>
        </ext>
      </extLst>
    </cacheHierarchy>
    <cacheHierarchy uniqueName="[Measures].[Count of Year]" caption="Count of Year" measure="1" displayFolder="" measureGroup="World_Cup_Matches" count="0" hidden="1">
      <extLst>
        <ext xmlns:x15="http://schemas.microsoft.com/office/spreadsheetml/2010/11/main" uri="{B97F6D7D-B522-45F9-BDA1-12C45D357490}">
          <x15:cacheHierarchy aggregatedColumn="2"/>
        </ext>
      </extLst>
    </cacheHierarchy>
    <cacheHierarchy uniqueName="[Measures].[Sum of total goals]" caption="Sum of total goals" measure="1" displayFolder="" measureGroup="World_Cup_Matches" count="0" oneField="1" hidden="1">
      <fieldsUsage count="1">
        <fieldUsage x="1"/>
      </fieldsUsage>
      <extLst>
        <ext xmlns:x15="http://schemas.microsoft.com/office/spreadsheetml/2010/11/main" uri="{B97F6D7D-B522-45F9-BDA1-12C45D357490}">
          <x15:cacheHierarchy aggregatedColumn="22"/>
        </ext>
      </extLst>
    </cacheHierarchy>
    <cacheHierarchy uniqueName="[Measures].[Count of total goals]" caption="Count of total goals" measure="1" displayFolder="" measureGroup="World_Cup_Matches" count="0" hidden="1">
      <extLst>
        <ext xmlns:x15="http://schemas.microsoft.com/office/spreadsheetml/2010/11/main" uri="{B97F6D7D-B522-45F9-BDA1-12C45D357490}">
          <x15:cacheHierarchy aggregatedColumn="22"/>
        </ext>
      </extLst>
    </cacheHierarchy>
    <cacheHierarchy uniqueName="[Measures].[Average of total goals]" caption="Average of total goals" measure="1" displayFolder="" measureGroup="World_Cup_Matches" count="0" hidden="1">
      <extLst>
        <ext xmlns:x15="http://schemas.microsoft.com/office/spreadsheetml/2010/11/main" uri="{B97F6D7D-B522-45F9-BDA1-12C45D357490}">
          <x15:cacheHierarchy aggregatedColumn="22"/>
        </ext>
      </extLst>
    </cacheHierarchy>
    <cacheHierarchy uniqueName="[Measures].[Count of City]" caption="Count of City" measure="1" displayFolder="" measureGroup="World_Cup_Matches" count="0" hidden="1">
      <extLst>
        <ext xmlns:x15="http://schemas.microsoft.com/office/spreadsheetml/2010/11/main" uri="{B97F6D7D-B522-45F9-BDA1-12C45D357490}">
          <x15:cacheHierarchy aggregatedColumn="6"/>
        </ext>
      </extLst>
    </cacheHierarchy>
    <cacheHierarchy uniqueName="[Measures].[Count of Home Team Name]" caption="Count of Home Team Name" measure="1" displayFolder="" measureGroup="World_Cup_Matches" count="0" hidden="1">
      <extLst>
        <ext xmlns:x15="http://schemas.microsoft.com/office/spreadsheetml/2010/11/main" uri="{B97F6D7D-B522-45F9-BDA1-12C45D357490}">
          <x15:cacheHierarchy aggregatedColumn="7"/>
        </ext>
      </extLst>
    </cacheHierarchy>
    <cacheHierarchy uniqueName="[Measures].[Count of Away Team Name]" caption="Count of Away Team Name" measure="1" displayFolder="" measureGroup="World_Cup_Matches" count="0" hidden="1">
      <extLst>
        <ext xmlns:x15="http://schemas.microsoft.com/office/spreadsheetml/2010/11/main" uri="{B97F6D7D-B522-45F9-BDA1-12C45D357490}">
          <x15:cacheHierarchy aggregatedColumn="10"/>
        </ext>
      </extLst>
    </cacheHierarchy>
    <cacheHierarchy uniqueName="[Measures].[Sum of Away Team Goals]" caption="Sum of Away Team Goals" measure="1" displayFolder="" measureGroup="World_Cup_Matches" count="0" hidden="1">
      <extLst>
        <ext xmlns:x15="http://schemas.microsoft.com/office/spreadsheetml/2010/11/main" uri="{B97F6D7D-B522-45F9-BDA1-12C45D357490}">
          <x15:cacheHierarchy aggregatedColumn="9"/>
        </ext>
      </extLst>
    </cacheHierarchy>
    <cacheHierarchy uniqueName="[Measures].[Sum of Team Goals]" caption="Sum of Team Goals" measure="1" displayFolder="" measureGroup="Table3" count="0" hidden="1">
      <extLst>
        <ext xmlns:x15="http://schemas.microsoft.com/office/spreadsheetml/2010/11/main" uri="{B97F6D7D-B522-45F9-BDA1-12C45D357490}">
          <x15:cacheHierarchy aggregatedColumn="1"/>
        </ext>
      </extLst>
    </cacheHierarchy>
    <cacheHierarchy uniqueName="[Measures].[Sum of Attendance]" caption="Sum of Attendance" measure="1" displayFolder="" measureGroup="World_Cup_Matches" count="0" hidden="1">
      <extLst>
        <ext xmlns:x15="http://schemas.microsoft.com/office/spreadsheetml/2010/11/main" uri="{B97F6D7D-B522-45F9-BDA1-12C45D357490}">
          <x15:cacheHierarchy aggregatedColumn="12"/>
        </ext>
      </extLst>
    </cacheHierarchy>
    <cacheHierarchy uniqueName="[Measures].[Average of Attendance]" caption="Average of Attendance" measure="1" displayFolder="" measureGroup="World_Cup_Matches" count="0" hidden="1">
      <extLst>
        <ext xmlns:x15="http://schemas.microsoft.com/office/spreadsheetml/2010/11/main" uri="{B97F6D7D-B522-45F9-BDA1-12C45D357490}">
          <x15:cacheHierarchy aggregatedColumn="12"/>
        </ext>
      </extLst>
    </cacheHierarchy>
  </cacheHierarchies>
  <kpis count="0"/>
  <dimensions count="3">
    <dimension measure="1" name="Measures" uniqueName="[Measures]" caption="Measures"/>
    <dimension name="Table3" uniqueName="[Table3]" caption="Table3"/>
    <dimension name="World_Cup_Matches" uniqueName="[World_Cup_Matches]" caption="World_Cup_Matches"/>
  </dimensions>
  <measureGroups count="2">
    <measureGroup name="Table3" caption="Table3"/>
    <measureGroup name="World_Cup_Matches" caption="World_Cup_Matches"/>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39.178375578704" backgroundQuery="1" createdVersion="8" refreshedVersion="8" minRefreshableVersion="3" recordCount="0" supportSubquery="1" supportAdvancedDrill="1" xr:uid="{EA0EC13A-9D38-47E9-AEBB-75F136E566AC}">
  <cacheSource type="external" connectionId="2"/>
  <cacheFields count="2">
    <cacheField name="[World_Cup_Matches].[Year].[Year]" caption="Year" numFmtId="0" hierarchy="2" level="1">
      <sharedItems containsSemiMixedTypes="0" containsString="0" containsNumber="1" containsInteger="1" minValue="1930" maxValue="2014" count="20">
        <n v="1930"/>
        <n v="1934"/>
        <n v="1938"/>
        <n v="1950"/>
        <n v="1954"/>
        <n v="1958"/>
        <n v="1962"/>
        <n v="1966"/>
        <n v="1970"/>
        <n v="1974"/>
        <n v="1978"/>
        <n v="1982"/>
        <n v="1986"/>
        <n v="1990"/>
        <n v="1994"/>
        <n v="1998"/>
        <n v="2002"/>
        <n v="2006"/>
        <n v="2010"/>
        <n v="2014"/>
      </sharedItems>
      <extLst>
        <ext xmlns:x15="http://schemas.microsoft.com/office/spreadsheetml/2010/11/main" uri="{4F2E5C28-24EA-4eb8-9CBF-B6C8F9C3D259}">
          <x15:cachedUniqueNames>
            <x15:cachedUniqueName index="0" name="[World_Cup_Matches].[Year].&amp;[1930]"/>
            <x15:cachedUniqueName index="1" name="[World_Cup_Matches].[Year].&amp;[1934]"/>
            <x15:cachedUniqueName index="2" name="[World_Cup_Matches].[Year].&amp;[1938]"/>
            <x15:cachedUniqueName index="3" name="[World_Cup_Matches].[Year].&amp;[1950]"/>
            <x15:cachedUniqueName index="4" name="[World_Cup_Matches].[Year].&amp;[1954]"/>
            <x15:cachedUniqueName index="5" name="[World_Cup_Matches].[Year].&amp;[1958]"/>
            <x15:cachedUniqueName index="6" name="[World_Cup_Matches].[Year].&amp;[1962]"/>
            <x15:cachedUniqueName index="7" name="[World_Cup_Matches].[Year].&amp;[1966]"/>
            <x15:cachedUniqueName index="8" name="[World_Cup_Matches].[Year].&amp;[1970]"/>
            <x15:cachedUniqueName index="9" name="[World_Cup_Matches].[Year].&amp;[1974]"/>
            <x15:cachedUniqueName index="10" name="[World_Cup_Matches].[Year].&amp;[1978]"/>
            <x15:cachedUniqueName index="11" name="[World_Cup_Matches].[Year].&amp;[1982]"/>
            <x15:cachedUniqueName index="12" name="[World_Cup_Matches].[Year].&amp;[1986]"/>
            <x15:cachedUniqueName index="13" name="[World_Cup_Matches].[Year].&amp;[1990]"/>
            <x15:cachedUniqueName index="14" name="[World_Cup_Matches].[Year].&amp;[1994]"/>
            <x15:cachedUniqueName index="15" name="[World_Cup_Matches].[Year].&amp;[1998]"/>
            <x15:cachedUniqueName index="16" name="[World_Cup_Matches].[Year].&amp;[2002]"/>
            <x15:cachedUniqueName index="17" name="[World_Cup_Matches].[Year].&amp;[2006]"/>
            <x15:cachedUniqueName index="18" name="[World_Cup_Matches].[Year].&amp;[2010]"/>
            <x15:cachedUniqueName index="19" name="[World_Cup_Matches].[Year].&amp;[2014]"/>
          </x15:cachedUniqueNames>
        </ext>
      </extLst>
    </cacheField>
    <cacheField name="[Measures].[Average of total goals]" caption="Average of total goals" numFmtId="0" hierarchy="33" level="32767"/>
  </cacheFields>
  <cacheHierarchies count="41">
    <cacheHierarchy uniqueName="[Table3].[Team Name]" caption="Team Name" attribute="1" defaultMemberUniqueName="[Table3].[Team Name].[All]" allUniqueName="[Table3].[Team Name].[All]" dimensionUniqueName="[Table3]" displayFolder="" count="0" memberValueDatatype="130" unbalanced="0"/>
    <cacheHierarchy uniqueName="[Table3].[Team Goals]" caption="Team Goals" attribute="1" defaultMemberUniqueName="[Table3].[Team Goals].[All]" allUniqueName="[Table3].[Team Goals].[All]" dimensionUniqueName="[Table3]" displayFolder="" count="0" memberValueDatatype="20" unbalanced="0"/>
    <cacheHierarchy uniqueName="[World_Cup_Matches].[Year]" caption="Year" attribute="1" defaultMemberUniqueName="[World_Cup_Matches].[Year].[All]" allUniqueName="[World_Cup_Matches].[Year].[All]" dimensionUniqueName="[World_Cup_Matches]" displayFolder="" count="2" memberValueDatatype="20" unbalanced="0">
      <fieldsUsage count="2">
        <fieldUsage x="-1"/>
        <fieldUsage x="0"/>
      </fieldsUsage>
    </cacheHierarchy>
    <cacheHierarchy uniqueName="[World_Cup_Matches].[Datetime]" caption="Datetime" attribute="1" defaultMemberUniqueName="[World_Cup_Matches].[Datetime].[All]" allUniqueName="[World_Cup_Matches].[Datetime].[All]" dimensionUniqueName="[World_Cup_Matches]" displayFolder="" count="0" memberValueDatatype="130" unbalanced="0"/>
    <cacheHierarchy uniqueName="[World_Cup_Matches].[Stage]" caption="Stage" attribute="1" defaultMemberUniqueName="[World_Cup_Matches].[Stage].[All]" allUniqueName="[World_Cup_Matches].[Stage].[All]" dimensionUniqueName="[World_Cup_Matches]" displayFolder="" count="0" memberValueDatatype="130" unbalanced="0"/>
    <cacheHierarchy uniqueName="[World_Cup_Matches].[Stadium]" caption="Stadium" attribute="1" defaultMemberUniqueName="[World_Cup_Matches].[Stadium].[All]" allUniqueName="[World_Cup_Matches].[Stadium].[All]" dimensionUniqueName="[World_Cup_Matches]" displayFolder="" count="0" memberValueDatatype="130" unbalanced="0"/>
    <cacheHierarchy uniqueName="[World_Cup_Matches].[City]" caption="City" attribute="1" defaultMemberUniqueName="[World_Cup_Matches].[City].[All]" allUniqueName="[World_Cup_Matches].[City].[All]" dimensionUniqueName="[World_Cup_Matches]" displayFolder="" count="0" memberValueDatatype="130" unbalanced="0"/>
    <cacheHierarchy uniqueName="[World_Cup_Matches].[Home Team Name]" caption="Home Team Name" attribute="1" defaultMemberUniqueName="[World_Cup_Matches].[Home Team Name].[All]" allUniqueName="[World_Cup_Matches].[Home Team Name].[All]" dimensionUniqueName="[World_Cup_Matches]" displayFolder="" count="0" memberValueDatatype="130" unbalanced="0"/>
    <cacheHierarchy uniqueName="[World_Cup_Matches].[Home Team Goals]" caption="Home Team Goals" attribute="1" defaultMemberUniqueName="[World_Cup_Matches].[Home Team Goals].[All]" allUniqueName="[World_Cup_Matches].[Home Team Goals].[All]" dimensionUniqueName="[World_Cup_Matches]" displayFolder="" count="0" memberValueDatatype="20" unbalanced="0"/>
    <cacheHierarchy uniqueName="[World_Cup_Matches].[Away Team Goals]" caption="Away Team Goals" attribute="1" defaultMemberUniqueName="[World_Cup_Matches].[Away Team Goals].[All]" allUniqueName="[World_Cup_Matches].[Away Team Goals].[All]" dimensionUniqueName="[World_Cup_Matches]" displayFolder="" count="0" memberValueDatatype="20" unbalanced="0"/>
    <cacheHierarchy uniqueName="[World_Cup_Matches].[Away Team Name]" caption="Away Team Name" attribute="1" defaultMemberUniqueName="[World_Cup_Matches].[Away Team Name].[All]" allUniqueName="[World_Cup_Matches].[Away Team Name].[All]" dimensionUniqueName="[World_Cup_Matches]" displayFolder="" count="0" memberValueDatatype="130" unbalanced="0"/>
    <cacheHierarchy uniqueName="[World_Cup_Matches].[Win conditions]" caption="Win conditions" attribute="1" defaultMemberUniqueName="[World_Cup_Matches].[Win conditions].[All]" allUniqueName="[World_Cup_Matches].[Win conditions].[All]" dimensionUniqueName="[World_Cup_Matches]" displayFolder="" count="0" memberValueDatatype="130" unbalanced="0"/>
    <cacheHierarchy uniqueName="[World_Cup_Matches].[Attendance]" caption="Attendance" attribute="1" defaultMemberUniqueName="[World_Cup_Matches].[Attendance].[All]" allUniqueName="[World_Cup_Matches].[Attendance].[All]" dimensionUniqueName="[World_Cup_Matches]" displayFolder="" count="0" memberValueDatatype="20" unbalanced="0"/>
    <cacheHierarchy uniqueName="[World_Cup_Matches].[Half-time Home Goals]" caption="Half-time Home Goals" attribute="1" defaultMemberUniqueName="[World_Cup_Matches].[Half-time Home Goals].[All]" allUniqueName="[World_Cup_Matches].[Half-time Home Goals].[All]" dimensionUniqueName="[World_Cup_Matches]" displayFolder="" count="0" memberValueDatatype="20" unbalanced="0"/>
    <cacheHierarchy uniqueName="[World_Cup_Matches].[Half-time Away Goals]" caption="Half-time Away Goals" attribute="1" defaultMemberUniqueName="[World_Cup_Matches].[Half-time Away Goals].[All]" allUniqueName="[World_Cup_Matches].[Half-time Away Goals].[All]" dimensionUniqueName="[World_Cup_Matches]" displayFolder="" count="0" memberValueDatatype="20" unbalanced="0"/>
    <cacheHierarchy uniqueName="[World_Cup_Matches].[Referee]" caption="Referee" attribute="1" defaultMemberUniqueName="[World_Cup_Matches].[Referee].[All]" allUniqueName="[World_Cup_Matches].[Referee].[All]" dimensionUniqueName="[World_Cup_Matches]" displayFolder="" count="0" memberValueDatatype="130" unbalanced="0"/>
    <cacheHierarchy uniqueName="[World_Cup_Matches].[Assistant 1]" caption="Assistant 1" attribute="1" defaultMemberUniqueName="[World_Cup_Matches].[Assistant 1].[All]" allUniqueName="[World_Cup_Matches].[Assistant 1].[All]" dimensionUniqueName="[World_Cup_Matches]" displayFolder="" count="0" memberValueDatatype="130" unbalanced="0"/>
    <cacheHierarchy uniqueName="[World_Cup_Matches].[Assistant 2]" caption="Assistant 2" attribute="1" defaultMemberUniqueName="[World_Cup_Matches].[Assistant 2].[All]" allUniqueName="[World_Cup_Matches].[Assistant 2].[All]" dimensionUniqueName="[World_Cup_Matches]" displayFolder="" count="0" memberValueDatatype="130" unbalanced="0"/>
    <cacheHierarchy uniqueName="[World_Cup_Matches].[RoundID]" caption="RoundID" attribute="1" defaultMemberUniqueName="[World_Cup_Matches].[RoundID].[All]" allUniqueName="[World_Cup_Matches].[RoundID].[All]" dimensionUniqueName="[World_Cup_Matches]" displayFolder="" count="0" memberValueDatatype="20" unbalanced="0"/>
    <cacheHierarchy uniqueName="[World_Cup_Matches].[MatchID]" caption="MatchID" attribute="1" defaultMemberUniqueName="[World_Cup_Matches].[MatchID].[All]" allUniqueName="[World_Cup_Matches].[MatchID].[All]" dimensionUniqueName="[World_Cup_Matches]" displayFolder="" count="0" memberValueDatatype="20" unbalanced="0"/>
    <cacheHierarchy uniqueName="[World_Cup_Matches].[Home Team Initials]" caption="Home Team Initials" attribute="1" defaultMemberUniqueName="[World_Cup_Matches].[Home Team Initials].[All]" allUniqueName="[World_Cup_Matches].[Home Team Initials].[All]" dimensionUniqueName="[World_Cup_Matches]" displayFolder="" count="0" memberValueDatatype="130" unbalanced="0"/>
    <cacheHierarchy uniqueName="[World_Cup_Matches].[Away Team Initials]" caption="Away Team Initials" attribute="1" defaultMemberUniqueName="[World_Cup_Matches].[Away Team Initials].[All]" allUniqueName="[World_Cup_Matches].[Away Team Initials].[All]" dimensionUniqueName="[World_Cup_Matches]" displayFolder="" count="0" memberValueDatatype="130" unbalanced="0"/>
    <cacheHierarchy uniqueName="[World_Cup_Matches].[total goals]" caption="total goals" attribute="1" defaultMemberUniqueName="[World_Cup_Matches].[total goals].[All]" allUniqueName="[World_Cup_Matches].[total goals].[All]" dimensionUniqueName="[World_Cup_Matches]" displayFolder="" count="0" memberValueDatatype="20" unbalanced="0"/>
    <cacheHierarchy uniqueName="[World_Cup_Matches].[Goal Difference]" caption="Goal Difference" attribute="1" defaultMemberUniqueName="[World_Cup_Matches].[Goal Difference].[All]" allUniqueName="[World_Cup_Matches].[Goal Difference].[All]" dimensionUniqueName="[World_Cup_Matches]" displayFolder="" count="0" memberValueDatatype="20" unbalanced="0"/>
    <cacheHierarchy uniqueName="[World_Cup_Matches].[Winner]" caption="Winner" attribute="1" defaultMemberUniqueName="[World_Cup_Matches].[Winner].[All]" allUniqueName="[World_Cup_Matches].[Winner].[All]" dimensionUniqueName="[World_Cup_Matches]" displayFolder="" count="0" memberValueDatatype="130" unbalanced="0"/>
    <cacheHierarchy uniqueName="[World_Cup_Matches].[Result]" caption="Result" attribute="1" defaultMemberUniqueName="[World_Cup_Matches].[Result].[All]" allUniqueName="[World_Cup_Matches].[Result].[All]" dimensionUniqueName="[World_Cup_Matches]" displayFolder="" count="0" memberValueDatatype="130" unbalanced="0"/>
    <cacheHierarchy uniqueName="[Measures].[__XL_Count World_Cup_Matches]" caption="__XL_Count World_Cup_Matches" measure="1" displayFolder="" measureGroup="World_Cup_Matches"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Year]" caption="Sum of Year" measure="1" displayFolder="" measureGroup="World_Cup_Matches" count="0" hidden="1">
      <extLst>
        <ext xmlns:x15="http://schemas.microsoft.com/office/spreadsheetml/2010/11/main" uri="{B97F6D7D-B522-45F9-BDA1-12C45D357490}">
          <x15:cacheHierarchy aggregatedColumn="2"/>
        </ext>
      </extLst>
    </cacheHierarchy>
    <cacheHierarchy uniqueName="[Measures].[Count of Year]" caption="Count of Year" measure="1" displayFolder="" measureGroup="World_Cup_Matches" count="0" hidden="1">
      <extLst>
        <ext xmlns:x15="http://schemas.microsoft.com/office/spreadsheetml/2010/11/main" uri="{B97F6D7D-B522-45F9-BDA1-12C45D357490}">
          <x15:cacheHierarchy aggregatedColumn="2"/>
        </ext>
      </extLst>
    </cacheHierarchy>
    <cacheHierarchy uniqueName="[Measures].[Sum of total goals]" caption="Sum of total goals" measure="1" displayFolder="" measureGroup="World_Cup_Matches" count="0" hidden="1">
      <extLst>
        <ext xmlns:x15="http://schemas.microsoft.com/office/spreadsheetml/2010/11/main" uri="{B97F6D7D-B522-45F9-BDA1-12C45D357490}">
          <x15:cacheHierarchy aggregatedColumn="22"/>
        </ext>
      </extLst>
    </cacheHierarchy>
    <cacheHierarchy uniqueName="[Measures].[Count of total goals]" caption="Count of total goals" measure="1" displayFolder="" measureGroup="World_Cup_Matches" count="0" hidden="1">
      <extLst>
        <ext xmlns:x15="http://schemas.microsoft.com/office/spreadsheetml/2010/11/main" uri="{B97F6D7D-B522-45F9-BDA1-12C45D357490}">
          <x15:cacheHierarchy aggregatedColumn="22"/>
        </ext>
      </extLst>
    </cacheHierarchy>
    <cacheHierarchy uniqueName="[Measures].[Average of total goals]" caption="Average of total goals" measure="1" displayFolder="" measureGroup="World_Cup_Matches" count="0" oneField="1" hidden="1">
      <fieldsUsage count="1">
        <fieldUsage x="1"/>
      </fieldsUsage>
      <extLst>
        <ext xmlns:x15="http://schemas.microsoft.com/office/spreadsheetml/2010/11/main" uri="{B97F6D7D-B522-45F9-BDA1-12C45D357490}">
          <x15:cacheHierarchy aggregatedColumn="22"/>
        </ext>
      </extLst>
    </cacheHierarchy>
    <cacheHierarchy uniqueName="[Measures].[Count of City]" caption="Count of City" measure="1" displayFolder="" measureGroup="World_Cup_Matches" count="0" hidden="1">
      <extLst>
        <ext xmlns:x15="http://schemas.microsoft.com/office/spreadsheetml/2010/11/main" uri="{B97F6D7D-B522-45F9-BDA1-12C45D357490}">
          <x15:cacheHierarchy aggregatedColumn="6"/>
        </ext>
      </extLst>
    </cacheHierarchy>
    <cacheHierarchy uniqueName="[Measures].[Count of Home Team Name]" caption="Count of Home Team Name" measure="1" displayFolder="" measureGroup="World_Cup_Matches" count="0" hidden="1">
      <extLst>
        <ext xmlns:x15="http://schemas.microsoft.com/office/spreadsheetml/2010/11/main" uri="{B97F6D7D-B522-45F9-BDA1-12C45D357490}">
          <x15:cacheHierarchy aggregatedColumn="7"/>
        </ext>
      </extLst>
    </cacheHierarchy>
    <cacheHierarchy uniqueName="[Measures].[Count of Away Team Name]" caption="Count of Away Team Name" measure="1" displayFolder="" measureGroup="World_Cup_Matches" count="0" hidden="1">
      <extLst>
        <ext xmlns:x15="http://schemas.microsoft.com/office/spreadsheetml/2010/11/main" uri="{B97F6D7D-B522-45F9-BDA1-12C45D357490}">
          <x15:cacheHierarchy aggregatedColumn="10"/>
        </ext>
      </extLst>
    </cacheHierarchy>
    <cacheHierarchy uniqueName="[Measures].[Sum of Away Team Goals]" caption="Sum of Away Team Goals" measure="1" displayFolder="" measureGroup="World_Cup_Matches" count="0" hidden="1">
      <extLst>
        <ext xmlns:x15="http://schemas.microsoft.com/office/spreadsheetml/2010/11/main" uri="{B97F6D7D-B522-45F9-BDA1-12C45D357490}">
          <x15:cacheHierarchy aggregatedColumn="9"/>
        </ext>
      </extLst>
    </cacheHierarchy>
    <cacheHierarchy uniqueName="[Measures].[Sum of Team Goals]" caption="Sum of Team Goals" measure="1" displayFolder="" measureGroup="Table3" count="0" hidden="1">
      <extLst>
        <ext xmlns:x15="http://schemas.microsoft.com/office/spreadsheetml/2010/11/main" uri="{B97F6D7D-B522-45F9-BDA1-12C45D357490}">
          <x15:cacheHierarchy aggregatedColumn="1"/>
        </ext>
      </extLst>
    </cacheHierarchy>
    <cacheHierarchy uniqueName="[Measures].[Sum of Attendance]" caption="Sum of Attendance" measure="1" displayFolder="" measureGroup="World_Cup_Matches" count="0" hidden="1">
      <extLst>
        <ext xmlns:x15="http://schemas.microsoft.com/office/spreadsheetml/2010/11/main" uri="{B97F6D7D-B522-45F9-BDA1-12C45D357490}">
          <x15:cacheHierarchy aggregatedColumn="12"/>
        </ext>
      </extLst>
    </cacheHierarchy>
    <cacheHierarchy uniqueName="[Measures].[Average of Attendance]" caption="Average of Attendance" measure="1" displayFolder="" measureGroup="World_Cup_Matches" count="0" hidden="1">
      <extLst>
        <ext xmlns:x15="http://schemas.microsoft.com/office/spreadsheetml/2010/11/main" uri="{B97F6D7D-B522-45F9-BDA1-12C45D357490}">
          <x15:cacheHierarchy aggregatedColumn="12"/>
        </ext>
      </extLst>
    </cacheHierarchy>
  </cacheHierarchies>
  <kpis count="0"/>
  <dimensions count="3">
    <dimension measure="1" name="Measures" uniqueName="[Measures]" caption="Measures"/>
    <dimension name="Table3" uniqueName="[Table3]" caption="Table3"/>
    <dimension name="World_Cup_Matches" uniqueName="[World_Cup_Matches]" caption="World_Cup_Matches"/>
  </dimensions>
  <measureGroups count="2">
    <measureGroup name="Table3" caption="Table3"/>
    <measureGroup name="World_Cup_Matches" caption="World_Cup_Matches"/>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39.178376620373" backgroundQuery="1" createdVersion="8" refreshedVersion="8" minRefreshableVersion="3" recordCount="0" supportSubquery="1" supportAdvancedDrill="1" xr:uid="{13AB6663-EE46-4A65-9E3B-0F84C23C95BF}">
  <cacheSource type="external" connectionId="2"/>
  <cacheFields count="2">
    <cacheField name="[World_Cup_Matches].[Year].[Year]" caption="Year" numFmtId="0" hierarchy="2" level="1">
      <sharedItems containsSemiMixedTypes="0" containsString="0" containsNumber="1" containsInteger="1" minValue="1930" maxValue="2014" count="20">
        <n v="1930"/>
        <n v="1934"/>
        <n v="1938"/>
        <n v="1950"/>
        <n v="1954"/>
        <n v="1958"/>
        <n v="1962"/>
        <n v="1966"/>
        <n v="1970"/>
        <n v="1974"/>
        <n v="1978"/>
        <n v="1982"/>
        <n v="1986"/>
        <n v="1990"/>
        <n v="1994"/>
        <n v="1998"/>
        <n v="2002"/>
        <n v="2006"/>
        <n v="2010"/>
        <n v="2014"/>
      </sharedItems>
      <extLst>
        <ext xmlns:x15="http://schemas.microsoft.com/office/spreadsheetml/2010/11/main" uri="{4F2E5C28-24EA-4eb8-9CBF-B6C8F9C3D259}">
          <x15:cachedUniqueNames>
            <x15:cachedUniqueName index="0" name="[World_Cup_Matches].[Year].&amp;[1930]"/>
            <x15:cachedUniqueName index="1" name="[World_Cup_Matches].[Year].&amp;[1934]"/>
            <x15:cachedUniqueName index="2" name="[World_Cup_Matches].[Year].&amp;[1938]"/>
            <x15:cachedUniqueName index="3" name="[World_Cup_Matches].[Year].&amp;[1950]"/>
            <x15:cachedUniqueName index="4" name="[World_Cup_Matches].[Year].&amp;[1954]"/>
            <x15:cachedUniqueName index="5" name="[World_Cup_Matches].[Year].&amp;[1958]"/>
            <x15:cachedUniqueName index="6" name="[World_Cup_Matches].[Year].&amp;[1962]"/>
            <x15:cachedUniqueName index="7" name="[World_Cup_Matches].[Year].&amp;[1966]"/>
            <x15:cachedUniqueName index="8" name="[World_Cup_Matches].[Year].&amp;[1970]"/>
            <x15:cachedUniqueName index="9" name="[World_Cup_Matches].[Year].&amp;[1974]"/>
            <x15:cachedUniqueName index="10" name="[World_Cup_Matches].[Year].&amp;[1978]"/>
            <x15:cachedUniqueName index="11" name="[World_Cup_Matches].[Year].&amp;[1982]"/>
            <x15:cachedUniqueName index="12" name="[World_Cup_Matches].[Year].&amp;[1986]"/>
            <x15:cachedUniqueName index="13" name="[World_Cup_Matches].[Year].&amp;[1990]"/>
            <x15:cachedUniqueName index="14" name="[World_Cup_Matches].[Year].&amp;[1994]"/>
            <x15:cachedUniqueName index="15" name="[World_Cup_Matches].[Year].&amp;[1998]"/>
            <x15:cachedUniqueName index="16" name="[World_Cup_Matches].[Year].&amp;[2002]"/>
            <x15:cachedUniqueName index="17" name="[World_Cup_Matches].[Year].&amp;[2006]"/>
            <x15:cachedUniqueName index="18" name="[World_Cup_Matches].[Year].&amp;[2010]"/>
            <x15:cachedUniqueName index="19" name="[World_Cup_Matches].[Year].&amp;[2014]"/>
          </x15:cachedUniqueNames>
        </ext>
      </extLst>
    </cacheField>
    <cacheField name="[Measures].[Count of Year]" caption="Count of Year" numFmtId="0" hierarchy="30" level="32767"/>
  </cacheFields>
  <cacheHierarchies count="41">
    <cacheHierarchy uniqueName="[Table3].[Team Name]" caption="Team Name" attribute="1" defaultMemberUniqueName="[Table3].[Team Name].[All]" allUniqueName="[Table3].[Team Name].[All]" dimensionUniqueName="[Table3]" displayFolder="" count="0" memberValueDatatype="130" unbalanced="0"/>
    <cacheHierarchy uniqueName="[Table3].[Team Goals]" caption="Team Goals" attribute="1" defaultMemberUniqueName="[Table3].[Team Goals].[All]" allUniqueName="[Table3].[Team Goals].[All]" dimensionUniqueName="[Table3]" displayFolder="" count="0" memberValueDatatype="20" unbalanced="0"/>
    <cacheHierarchy uniqueName="[World_Cup_Matches].[Year]" caption="Year" attribute="1" defaultMemberUniqueName="[World_Cup_Matches].[Year].[All]" allUniqueName="[World_Cup_Matches].[Year].[All]" dimensionUniqueName="[World_Cup_Matches]" displayFolder="" count="2" memberValueDatatype="20" unbalanced="0">
      <fieldsUsage count="2">
        <fieldUsage x="-1"/>
        <fieldUsage x="0"/>
      </fieldsUsage>
    </cacheHierarchy>
    <cacheHierarchy uniqueName="[World_Cup_Matches].[Datetime]" caption="Datetime" attribute="1" defaultMemberUniqueName="[World_Cup_Matches].[Datetime].[All]" allUniqueName="[World_Cup_Matches].[Datetime].[All]" dimensionUniqueName="[World_Cup_Matches]" displayFolder="" count="0" memberValueDatatype="130" unbalanced="0"/>
    <cacheHierarchy uniqueName="[World_Cup_Matches].[Stage]" caption="Stage" attribute="1" defaultMemberUniqueName="[World_Cup_Matches].[Stage].[All]" allUniqueName="[World_Cup_Matches].[Stage].[All]" dimensionUniqueName="[World_Cup_Matches]" displayFolder="" count="0" memberValueDatatype="130" unbalanced="0"/>
    <cacheHierarchy uniqueName="[World_Cup_Matches].[Stadium]" caption="Stadium" attribute="1" defaultMemberUniqueName="[World_Cup_Matches].[Stadium].[All]" allUniqueName="[World_Cup_Matches].[Stadium].[All]" dimensionUniqueName="[World_Cup_Matches]" displayFolder="" count="0" memberValueDatatype="130" unbalanced="0"/>
    <cacheHierarchy uniqueName="[World_Cup_Matches].[City]" caption="City" attribute="1" defaultMemberUniqueName="[World_Cup_Matches].[City].[All]" allUniqueName="[World_Cup_Matches].[City].[All]" dimensionUniqueName="[World_Cup_Matches]" displayFolder="" count="0" memberValueDatatype="130" unbalanced="0"/>
    <cacheHierarchy uniqueName="[World_Cup_Matches].[Home Team Name]" caption="Home Team Name" attribute="1" defaultMemberUniqueName="[World_Cup_Matches].[Home Team Name].[All]" allUniqueName="[World_Cup_Matches].[Home Team Name].[All]" dimensionUniqueName="[World_Cup_Matches]" displayFolder="" count="0" memberValueDatatype="130" unbalanced="0"/>
    <cacheHierarchy uniqueName="[World_Cup_Matches].[Home Team Goals]" caption="Home Team Goals" attribute="1" defaultMemberUniqueName="[World_Cup_Matches].[Home Team Goals].[All]" allUniqueName="[World_Cup_Matches].[Home Team Goals].[All]" dimensionUniqueName="[World_Cup_Matches]" displayFolder="" count="0" memberValueDatatype="20" unbalanced="0"/>
    <cacheHierarchy uniqueName="[World_Cup_Matches].[Away Team Goals]" caption="Away Team Goals" attribute="1" defaultMemberUniqueName="[World_Cup_Matches].[Away Team Goals].[All]" allUniqueName="[World_Cup_Matches].[Away Team Goals].[All]" dimensionUniqueName="[World_Cup_Matches]" displayFolder="" count="0" memberValueDatatype="20" unbalanced="0"/>
    <cacheHierarchy uniqueName="[World_Cup_Matches].[Away Team Name]" caption="Away Team Name" attribute="1" defaultMemberUniqueName="[World_Cup_Matches].[Away Team Name].[All]" allUniqueName="[World_Cup_Matches].[Away Team Name].[All]" dimensionUniqueName="[World_Cup_Matches]" displayFolder="" count="0" memberValueDatatype="130" unbalanced="0"/>
    <cacheHierarchy uniqueName="[World_Cup_Matches].[Win conditions]" caption="Win conditions" attribute="1" defaultMemberUniqueName="[World_Cup_Matches].[Win conditions].[All]" allUniqueName="[World_Cup_Matches].[Win conditions].[All]" dimensionUniqueName="[World_Cup_Matches]" displayFolder="" count="0" memberValueDatatype="130" unbalanced="0"/>
    <cacheHierarchy uniqueName="[World_Cup_Matches].[Attendance]" caption="Attendance" attribute="1" defaultMemberUniqueName="[World_Cup_Matches].[Attendance].[All]" allUniqueName="[World_Cup_Matches].[Attendance].[All]" dimensionUniqueName="[World_Cup_Matches]" displayFolder="" count="0" memberValueDatatype="20" unbalanced="0"/>
    <cacheHierarchy uniqueName="[World_Cup_Matches].[Half-time Home Goals]" caption="Half-time Home Goals" attribute="1" defaultMemberUniqueName="[World_Cup_Matches].[Half-time Home Goals].[All]" allUniqueName="[World_Cup_Matches].[Half-time Home Goals].[All]" dimensionUniqueName="[World_Cup_Matches]" displayFolder="" count="0" memberValueDatatype="20" unbalanced="0"/>
    <cacheHierarchy uniqueName="[World_Cup_Matches].[Half-time Away Goals]" caption="Half-time Away Goals" attribute="1" defaultMemberUniqueName="[World_Cup_Matches].[Half-time Away Goals].[All]" allUniqueName="[World_Cup_Matches].[Half-time Away Goals].[All]" dimensionUniqueName="[World_Cup_Matches]" displayFolder="" count="0" memberValueDatatype="20" unbalanced="0"/>
    <cacheHierarchy uniqueName="[World_Cup_Matches].[Referee]" caption="Referee" attribute="1" defaultMemberUniqueName="[World_Cup_Matches].[Referee].[All]" allUniqueName="[World_Cup_Matches].[Referee].[All]" dimensionUniqueName="[World_Cup_Matches]" displayFolder="" count="0" memberValueDatatype="130" unbalanced="0"/>
    <cacheHierarchy uniqueName="[World_Cup_Matches].[Assistant 1]" caption="Assistant 1" attribute="1" defaultMemberUniqueName="[World_Cup_Matches].[Assistant 1].[All]" allUniqueName="[World_Cup_Matches].[Assistant 1].[All]" dimensionUniqueName="[World_Cup_Matches]" displayFolder="" count="0" memberValueDatatype="130" unbalanced="0"/>
    <cacheHierarchy uniqueName="[World_Cup_Matches].[Assistant 2]" caption="Assistant 2" attribute="1" defaultMemberUniqueName="[World_Cup_Matches].[Assistant 2].[All]" allUniqueName="[World_Cup_Matches].[Assistant 2].[All]" dimensionUniqueName="[World_Cup_Matches]" displayFolder="" count="0" memberValueDatatype="130" unbalanced="0"/>
    <cacheHierarchy uniqueName="[World_Cup_Matches].[RoundID]" caption="RoundID" attribute="1" defaultMemberUniqueName="[World_Cup_Matches].[RoundID].[All]" allUniqueName="[World_Cup_Matches].[RoundID].[All]" dimensionUniqueName="[World_Cup_Matches]" displayFolder="" count="0" memberValueDatatype="20" unbalanced="0"/>
    <cacheHierarchy uniqueName="[World_Cup_Matches].[MatchID]" caption="MatchID" attribute="1" defaultMemberUniqueName="[World_Cup_Matches].[MatchID].[All]" allUniqueName="[World_Cup_Matches].[MatchID].[All]" dimensionUniqueName="[World_Cup_Matches]" displayFolder="" count="0" memberValueDatatype="20" unbalanced="0"/>
    <cacheHierarchy uniqueName="[World_Cup_Matches].[Home Team Initials]" caption="Home Team Initials" attribute="1" defaultMemberUniqueName="[World_Cup_Matches].[Home Team Initials].[All]" allUniqueName="[World_Cup_Matches].[Home Team Initials].[All]" dimensionUniqueName="[World_Cup_Matches]" displayFolder="" count="0" memberValueDatatype="130" unbalanced="0"/>
    <cacheHierarchy uniqueName="[World_Cup_Matches].[Away Team Initials]" caption="Away Team Initials" attribute="1" defaultMemberUniqueName="[World_Cup_Matches].[Away Team Initials].[All]" allUniqueName="[World_Cup_Matches].[Away Team Initials].[All]" dimensionUniqueName="[World_Cup_Matches]" displayFolder="" count="0" memberValueDatatype="130" unbalanced="0"/>
    <cacheHierarchy uniqueName="[World_Cup_Matches].[total goals]" caption="total goals" attribute="1" defaultMemberUniqueName="[World_Cup_Matches].[total goals].[All]" allUniqueName="[World_Cup_Matches].[total goals].[All]" dimensionUniqueName="[World_Cup_Matches]" displayFolder="" count="0" memberValueDatatype="20" unbalanced="0"/>
    <cacheHierarchy uniqueName="[World_Cup_Matches].[Goal Difference]" caption="Goal Difference" attribute="1" defaultMemberUniqueName="[World_Cup_Matches].[Goal Difference].[All]" allUniqueName="[World_Cup_Matches].[Goal Difference].[All]" dimensionUniqueName="[World_Cup_Matches]" displayFolder="" count="0" memberValueDatatype="20" unbalanced="0"/>
    <cacheHierarchy uniqueName="[World_Cup_Matches].[Winner]" caption="Winner" attribute="1" defaultMemberUniqueName="[World_Cup_Matches].[Winner].[All]" allUniqueName="[World_Cup_Matches].[Winner].[All]" dimensionUniqueName="[World_Cup_Matches]" displayFolder="" count="0" memberValueDatatype="130" unbalanced="0"/>
    <cacheHierarchy uniqueName="[World_Cup_Matches].[Result]" caption="Result" attribute="1" defaultMemberUniqueName="[World_Cup_Matches].[Result].[All]" allUniqueName="[World_Cup_Matches].[Result].[All]" dimensionUniqueName="[World_Cup_Matches]" displayFolder="" count="0" memberValueDatatype="130" unbalanced="0"/>
    <cacheHierarchy uniqueName="[Measures].[__XL_Count World_Cup_Matches]" caption="__XL_Count World_Cup_Matches" measure="1" displayFolder="" measureGroup="World_Cup_Matches"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Year]" caption="Sum of Year" measure="1" displayFolder="" measureGroup="World_Cup_Matches" count="0" hidden="1">
      <extLst>
        <ext xmlns:x15="http://schemas.microsoft.com/office/spreadsheetml/2010/11/main" uri="{B97F6D7D-B522-45F9-BDA1-12C45D357490}">
          <x15:cacheHierarchy aggregatedColumn="2"/>
        </ext>
      </extLst>
    </cacheHierarchy>
    <cacheHierarchy uniqueName="[Measures].[Count of Year]" caption="Count of Year" measure="1" displayFolder="" measureGroup="World_Cup_Matches" count="0" oneField="1" hidden="1">
      <fieldsUsage count="1">
        <fieldUsage x="1"/>
      </fieldsUsage>
      <extLst>
        <ext xmlns:x15="http://schemas.microsoft.com/office/spreadsheetml/2010/11/main" uri="{B97F6D7D-B522-45F9-BDA1-12C45D357490}">
          <x15:cacheHierarchy aggregatedColumn="2"/>
        </ext>
      </extLst>
    </cacheHierarchy>
    <cacheHierarchy uniqueName="[Measures].[Sum of total goals]" caption="Sum of total goals" measure="1" displayFolder="" measureGroup="World_Cup_Matches" count="0" hidden="1">
      <extLst>
        <ext xmlns:x15="http://schemas.microsoft.com/office/spreadsheetml/2010/11/main" uri="{B97F6D7D-B522-45F9-BDA1-12C45D357490}">
          <x15:cacheHierarchy aggregatedColumn="22"/>
        </ext>
      </extLst>
    </cacheHierarchy>
    <cacheHierarchy uniqueName="[Measures].[Count of total goals]" caption="Count of total goals" measure="1" displayFolder="" measureGroup="World_Cup_Matches" count="0" hidden="1">
      <extLst>
        <ext xmlns:x15="http://schemas.microsoft.com/office/spreadsheetml/2010/11/main" uri="{B97F6D7D-B522-45F9-BDA1-12C45D357490}">
          <x15:cacheHierarchy aggregatedColumn="22"/>
        </ext>
      </extLst>
    </cacheHierarchy>
    <cacheHierarchy uniqueName="[Measures].[Average of total goals]" caption="Average of total goals" measure="1" displayFolder="" measureGroup="World_Cup_Matches" count="0" hidden="1">
      <extLst>
        <ext xmlns:x15="http://schemas.microsoft.com/office/spreadsheetml/2010/11/main" uri="{B97F6D7D-B522-45F9-BDA1-12C45D357490}">
          <x15:cacheHierarchy aggregatedColumn="22"/>
        </ext>
      </extLst>
    </cacheHierarchy>
    <cacheHierarchy uniqueName="[Measures].[Count of City]" caption="Count of City" measure="1" displayFolder="" measureGroup="World_Cup_Matches" count="0" hidden="1">
      <extLst>
        <ext xmlns:x15="http://schemas.microsoft.com/office/spreadsheetml/2010/11/main" uri="{B97F6D7D-B522-45F9-BDA1-12C45D357490}">
          <x15:cacheHierarchy aggregatedColumn="6"/>
        </ext>
      </extLst>
    </cacheHierarchy>
    <cacheHierarchy uniqueName="[Measures].[Count of Home Team Name]" caption="Count of Home Team Name" measure="1" displayFolder="" measureGroup="World_Cup_Matches" count="0" hidden="1">
      <extLst>
        <ext xmlns:x15="http://schemas.microsoft.com/office/spreadsheetml/2010/11/main" uri="{B97F6D7D-B522-45F9-BDA1-12C45D357490}">
          <x15:cacheHierarchy aggregatedColumn="7"/>
        </ext>
      </extLst>
    </cacheHierarchy>
    <cacheHierarchy uniqueName="[Measures].[Count of Away Team Name]" caption="Count of Away Team Name" measure="1" displayFolder="" measureGroup="World_Cup_Matches" count="0" hidden="1">
      <extLst>
        <ext xmlns:x15="http://schemas.microsoft.com/office/spreadsheetml/2010/11/main" uri="{B97F6D7D-B522-45F9-BDA1-12C45D357490}">
          <x15:cacheHierarchy aggregatedColumn="10"/>
        </ext>
      </extLst>
    </cacheHierarchy>
    <cacheHierarchy uniqueName="[Measures].[Sum of Away Team Goals]" caption="Sum of Away Team Goals" measure="1" displayFolder="" measureGroup="World_Cup_Matches" count="0" hidden="1">
      <extLst>
        <ext xmlns:x15="http://schemas.microsoft.com/office/spreadsheetml/2010/11/main" uri="{B97F6D7D-B522-45F9-BDA1-12C45D357490}">
          <x15:cacheHierarchy aggregatedColumn="9"/>
        </ext>
      </extLst>
    </cacheHierarchy>
    <cacheHierarchy uniqueName="[Measures].[Sum of Team Goals]" caption="Sum of Team Goals" measure="1" displayFolder="" measureGroup="Table3" count="0" hidden="1">
      <extLst>
        <ext xmlns:x15="http://schemas.microsoft.com/office/spreadsheetml/2010/11/main" uri="{B97F6D7D-B522-45F9-BDA1-12C45D357490}">
          <x15:cacheHierarchy aggregatedColumn="1"/>
        </ext>
      </extLst>
    </cacheHierarchy>
    <cacheHierarchy uniqueName="[Measures].[Sum of Attendance]" caption="Sum of Attendance" measure="1" displayFolder="" measureGroup="World_Cup_Matches" count="0" hidden="1">
      <extLst>
        <ext xmlns:x15="http://schemas.microsoft.com/office/spreadsheetml/2010/11/main" uri="{B97F6D7D-B522-45F9-BDA1-12C45D357490}">
          <x15:cacheHierarchy aggregatedColumn="12"/>
        </ext>
      </extLst>
    </cacheHierarchy>
    <cacheHierarchy uniqueName="[Measures].[Average of Attendance]" caption="Average of Attendance" measure="1" displayFolder="" measureGroup="World_Cup_Matches" count="0" hidden="1">
      <extLst>
        <ext xmlns:x15="http://schemas.microsoft.com/office/spreadsheetml/2010/11/main" uri="{B97F6D7D-B522-45F9-BDA1-12C45D357490}">
          <x15:cacheHierarchy aggregatedColumn="12"/>
        </ext>
      </extLst>
    </cacheHierarchy>
  </cacheHierarchies>
  <kpis count="0"/>
  <dimensions count="3">
    <dimension measure="1" name="Measures" uniqueName="[Measures]" caption="Measures"/>
    <dimension name="Table3" uniqueName="[Table3]" caption="Table3"/>
    <dimension name="World_Cup_Matches" uniqueName="[World_Cup_Matches]" caption="World_Cup_Matches"/>
  </dimensions>
  <measureGroups count="2">
    <measureGroup name="Table3" caption="Table3"/>
    <measureGroup name="World_Cup_Matches" caption="World_Cup_Matches"/>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39.178377777775" backgroundQuery="1" createdVersion="8" refreshedVersion="8" minRefreshableVersion="3" recordCount="0" supportSubquery="1" supportAdvancedDrill="1" xr:uid="{96679618-355F-4E2D-AF3B-1835FF3153AE}">
  <cacheSource type="external" connectionId="2"/>
  <cacheFields count="2">
    <cacheField name="[World_Cup_Matches].[Year].[Year]" caption="Year" numFmtId="0" hierarchy="2" level="1">
      <sharedItems containsSemiMixedTypes="0" containsString="0" containsNumber="1" containsInteger="1" minValue="1930" maxValue="2014" count="20">
        <n v="1930"/>
        <n v="1934"/>
        <n v="1938"/>
        <n v="1950"/>
        <n v="1954"/>
        <n v="1958"/>
        <n v="1962"/>
        <n v="1966"/>
        <n v="1970"/>
        <n v="1974"/>
        <n v="1978"/>
        <n v="1982"/>
        <n v="1986"/>
        <n v="1990"/>
        <n v="1994"/>
        <n v="1998"/>
        <n v="2002"/>
        <n v="2006"/>
        <n v="2010"/>
        <n v="2014"/>
      </sharedItems>
      <extLst>
        <ext xmlns:x15="http://schemas.microsoft.com/office/spreadsheetml/2010/11/main" uri="{4F2E5C28-24EA-4eb8-9CBF-B6C8F9C3D259}">
          <x15:cachedUniqueNames>
            <x15:cachedUniqueName index="0" name="[World_Cup_Matches].[Year].&amp;[1930]"/>
            <x15:cachedUniqueName index="1" name="[World_Cup_Matches].[Year].&amp;[1934]"/>
            <x15:cachedUniqueName index="2" name="[World_Cup_Matches].[Year].&amp;[1938]"/>
            <x15:cachedUniqueName index="3" name="[World_Cup_Matches].[Year].&amp;[1950]"/>
            <x15:cachedUniqueName index="4" name="[World_Cup_Matches].[Year].&amp;[1954]"/>
            <x15:cachedUniqueName index="5" name="[World_Cup_Matches].[Year].&amp;[1958]"/>
            <x15:cachedUniqueName index="6" name="[World_Cup_Matches].[Year].&amp;[1962]"/>
            <x15:cachedUniqueName index="7" name="[World_Cup_Matches].[Year].&amp;[1966]"/>
            <x15:cachedUniqueName index="8" name="[World_Cup_Matches].[Year].&amp;[1970]"/>
            <x15:cachedUniqueName index="9" name="[World_Cup_Matches].[Year].&amp;[1974]"/>
            <x15:cachedUniqueName index="10" name="[World_Cup_Matches].[Year].&amp;[1978]"/>
            <x15:cachedUniqueName index="11" name="[World_Cup_Matches].[Year].&amp;[1982]"/>
            <x15:cachedUniqueName index="12" name="[World_Cup_Matches].[Year].&amp;[1986]"/>
            <x15:cachedUniqueName index="13" name="[World_Cup_Matches].[Year].&amp;[1990]"/>
            <x15:cachedUniqueName index="14" name="[World_Cup_Matches].[Year].&amp;[1994]"/>
            <x15:cachedUniqueName index="15" name="[World_Cup_Matches].[Year].&amp;[1998]"/>
            <x15:cachedUniqueName index="16" name="[World_Cup_Matches].[Year].&amp;[2002]"/>
            <x15:cachedUniqueName index="17" name="[World_Cup_Matches].[Year].&amp;[2006]"/>
            <x15:cachedUniqueName index="18" name="[World_Cup_Matches].[Year].&amp;[2010]"/>
            <x15:cachedUniqueName index="19" name="[World_Cup_Matches].[Year].&amp;[2014]"/>
          </x15:cachedUniqueNames>
        </ext>
      </extLst>
    </cacheField>
    <cacheField name="[Measures].[Average of Attendance]" caption="Average of Attendance" numFmtId="0" hierarchy="40" level="32767"/>
  </cacheFields>
  <cacheHierarchies count="41">
    <cacheHierarchy uniqueName="[Table3].[Team Name]" caption="Team Name" attribute="1" defaultMemberUniqueName="[Table3].[Team Name].[All]" allUniqueName="[Table3].[Team Name].[All]" dimensionUniqueName="[Table3]" displayFolder="" count="0" memberValueDatatype="130" unbalanced="0"/>
    <cacheHierarchy uniqueName="[Table3].[Team Goals]" caption="Team Goals" attribute="1" defaultMemberUniqueName="[Table3].[Team Goals].[All]" allUniqueName="[Table3].[Team Goals].[All]" dimensionUniqueName="[Table3]" displayFolder="" count="0" memberValueDatatype="20" unbalanced="0"/>
    <cacheHierarchy uniqueName="[World_Cup_Matches].[Year]" caption="Year" attribute="1" defaultMemberUniqueName="[World_Cup_Matches].[Year].[All]" allUniqueName="[World_Cup_Matches].[Year].[All]" dimensionUniqueName="[World_Cup_Matches]" displayFolder="" count="2" memberValueDatatype="20" unbalanced="0">
      <fieldsUsage count="2">
        <fieldUsage x="-1"/>
        <fieldUsage x="0"/>
      </fieldsUsage>
    </cacheHierarchy>
    <cacheHierarchy uniqueName="[World_Cup_Matches].[Datetime]" caption="Datetime" attribute="1" defaultMemberUniqueName="[World_Cup_Matches].[Datetime].[All]" allUniqueName="[World_Cup_Matches].[Datetime].[All]" dimensionUniqueName="[World_Cup_Matches]" displayFolder="" count="0" memberValueDatatype="130" unbalanced="0"/>
    <cacheHierarchy uniqueName="[World_Cup_Matches].[Stage]" caption="Stage" attribute="1" defaultMemberUniqueName="[World_Cup_Matches].[Stage].[All]" allUniqueName="[World_Cup_Matches].[Stage].[All]" dimensionUniqueName="[World_Cup_Matches]" displayFolder="" count="0" memberValueDatatype="130" unbalanced="0"/>
    <cacheHierarchy uniqueName="[World_Cup_Matches].[Stadium]" caption="Stadium" attribute="1" defaultMemberUniqueName="[World_Cup_Matches].[Stadium].[All]" allUniqueName="[World_Cup_Matches].[Stadium].[All]" dimensionUniqueName="[World_Cup_Matches]" displayFolder="" count="0" memberValueDatatype="130" unbalanced="0"/>
    <cacheHierarchy uniqueName="[World_Cup_Matches].[City]" caption="City" attribute="1" defaultMemberUniqueName="[World_Cup_Matches].[City].[All]" allUniqueName="[World_Cup_Matches].[City].[All]" dimensionUniqueName="[World_Cup_Matches]" displayFolder="" count="0" memberValueDatatype="130" unbalanced="0"/>
    <cacheHierarchy uniqueName="[World_Cup_Matches].[Home Team Name]" caption="Home Team Name" attribute="1" defaultMemberUniqueName="[World_Cup_Matches].[Home Team Name].[All]" allUniqueName="[World_Cup_Matches].[Home Team Name].[All]" dimensionUniqueName="[World_Cup_Matches]" displayFolder="" count="0" memberValueDatatype="130" unbalanced="0"/>
    <cacheHierarchy uniqueName="[World_Cup_Matches].[Home Team Goals]" caption="Home Team Goals" attribute="1" defaultMemberUniqueName="[World_Cup_Matches].[Home Team Goals].[All]" allUniqueName="[World_Cup_Matches].[Home Team Goals].[All]" dimensionUniqueName="[World_Cup_Matches]" displayFolder="" count="0" memberValueDatatype="20" unbalanced="0"/>
    <cacheHierarchy uniqueName="[World_Cup_Matches].[Away Team Goals]" caption="Away Team Goals" attribute="1" defaultMemberUniqueName="[World_Cup_Matches].[Away Team Goals].[All]" allUniqueName="[World_Cup_Matches].[Away Team Goals].[All]" dimensionUniqueName="[World_Cup_Matches]" displayFolder="" count="0" memberValueDatatype="20" unbalanced="0"/>
    <cacheHierarchy uniqueName="[World_Cup_Matches].[Away Team Name]" caption="Away Team Name" attribute="1" defaultMemberUniqueName="[World_Cup_Matches].[Away Team Name].[All]" allUniqueName="[World_Cup_Matches].[Away Team Name].[All]" dimensionUniqueName="[World_Cup_Matches]" displayFolder="" count="0" memberValueDatatype="130" unbalanced="0"/>
    <cacheHierarchy uniqueName="[World_Cup_Matches].[Win conditions]" caption="Win conditions" attribute="1" defaultMemberUniqueName="[World_Cup_Matches].[Win conditions].[All]" allUniqueName="[World_Cup_Matches].[Win conditions].[All]" dimensionUniqueName="[World_Cup_Matches]" displayFolder="" count="0" memberValueDatatype="130" unbalanced="0"/>
    <cacheHierarchy uniqueName="[World_Cup_Matches].[Attendance]" caption="Attendance" attribute="1" defaultMemberUniqueName="[World_Cup_Matches].[Attendance].[All]" allUniqueName="[World_Cup_Matches].[Attendance].[All]" dimensionUniqueName="[World_Cup_Matches]" displayFolder="" count="0" memberValueDatatype="20" unbalanced="0"/>
    <cacheHierarchy uniqueName="[World_Cup_Matches].[Half-time Home Goals]" caption="Half-time Home Goals" attribute="1" defaultMemberUniqueName="[World_Cup_Matches].[Half-time Home Goals].[All]" allUniqueName="[World_Cup_Matches].[Half-time Home Goals].[All]" dimensionUniqueName="[World_Cup_Matches]" displayFolder="" count="0" memberValueDatatype="20" unbalanced="0"/>
    <cacheHierarchy uniqueName="[World_Cup_Matches].[Half-time Away Goals]" caption="Half-time Away Goals" attribute="1" defaultMemberUniqueName="[World_Cup_Matches].[Half-time Away Goals].[All]" allUniqueName="[World_Cup_Matches].[Half-time Away Goals].[All]" dimensionUniqueName="[World_Cup_Matches]" displayFolder="" count="0" memberValueDatatype="20" unbalanced="0"/>
    <cacheHierarchy uniqueName="[World_Cup_Matches].[Referee]" caption="Referee" attribute="1" defaultMemberUniqueName="[World_Cup_Matches].[Referee].[All]" allUniqueName="[World_Cup_Matches].[Referee].[All]" dimensionUniqueName="[World_Cup_Matches]" displayFolder="" count="0" memberValueDatatype="130" unbalanced="0"/>
    <cacheHierarchy uniqueName="[World_Cup_Matches].[Assistant 1]" caption="Assistant 1" attribute="1" defaultMemberUniqueName="[World_Cup_Matches].[Assistant 1].[All]" allUniqueName="[World_Cup_Matches].[Assistant 1].[All]" dimensionUniqueName="[World_Cup_Matches]" displayFolder="" count="0" memberValueDatatype="130" unbalanced="0"/>
    <cacheHierarchy uniqueName="[World_Cup_Matches].[Assistant 2]" caption="Assistant 2" attribute="1" defaultMemberUniqueName="[World_Cup_Matches].[Assistant 2].[All]" allUniqueName="[World_Cup_Matches].[Assistant 2].[All]" dimensionUniqueName="[World_Cup_Matches]" displayFolder="" count="0" memberValueDatatype="130" unbalanced="0"/>
    <cacheHierarchy uniqueName="[World_Cup_Matches].[RoundID]" caption="RoundID" attribute="1" defaultMemberUniqueName="[World_Cup_Matches].[RoundID].[All]" allUniqueName="[World_Cup_Matches].[RoundID].[All]" dimensionUniqueName="[World_Cup_Matches]" displayFolder="" count="0" memberValueDatatype="20" unbalanced="0"/>
    <cacheHierarchy uniqueName="[World_Cup_Matches].[MatchID]" caption="MatchID" attribute="1" defaultMemberUniqueName="[World_Cup_Matches].[MatchID].[All]" allUniqueName="[World_Cup_Matches].[MatchID].[All]" dimensionUniqueName="[World_Cup_Matches]" displayFolder="" count="0" memberValueDatatype="20" unbalanced="0"/>
    <cacheHierarchy uniqueName="[World_Cup_Matches].[Home Team Initials]" caption="Home Team Initials" attribute="1" defaultMemberUniqueName="[World_Cup_Matches].[Home Team Initials].[All]" allUniqueName="[World_Cup_Matches].[Home Team Initials].[All]" dimensionUniqueName="[World_Cup_Matches]" displayFolder="" count="0" memberValueDatatype="130" unbalanced="0"/>
    <cacheHierarchy uniqueName="[World_Cup_Matches].[Away Team Initials]" caption="Away Team Initials" attribute="1" defaultMemberUniqueName="[World_Cup_Matches].[Away Team Initials].[All]" allUniqueName="[World_Cup_Matches].[Away Team Initials].[All]" dimensionUniqueName="[World_Cup_Matches]" displayFolder="" count="0" memberValueDatatype="130" unbalanced="0"/>
    <cacheHierarchy uniqueName="[World_Cup_Matches].[total goals]" caption="total goals" attribute="1" defaultMemberUniqueName="[World_Cup_Matches].[total goals].[All]" allUniqueName="[World_Cup_Matches].[total goals].[All]" dimensionUniqueName="[World_Cup_Matches]" displayFolder="" count="0" memberValueDatatype="20" unbalanced="0"/>
    <cacheHierarchy uniqueName="[World_Cup_Matches].[Goal Difference]" caption="Goal Difference" attribute="1" defaultMemberUniqueName="[World_Cup_Matches].[Goal Difference].[All]" allUniqueName="[World_Cup_Matches].[Goal Difference].[All]" dimensionUniqueName="[World_Cup_Matches]" displayFolder="" count="0" memberValueDatatype="20" unbalanced="0"/>
    <cacheHierarchy uniqueName="[World_Cup_Matches].[Winner]" caption="Winner" attribute="1" defaultMemberUniqueName="[World_Cup_Matches].[Winner].[All]" allUniqueName="[World_Cup_Matches].[Winner].[All]" dimensionUniqueName="[World_Cup_Matches]" displayFolder="" count="0" memberValueDatatype="130" unbalanced="0"/>
    <cacheHierarchy uniqueName="[World_Cup_Matches].[Result]" caption="Result" attribute="1" defaultMemberUniqueName="[World_Cup_Matches].[Result].[All]" allUniqueName="[World_Cup_Matches].[Result].[All]" dimensionUniqueName="[World_Cup_Matches]" displayFolder="" count="0" memberValueDatatype="130" unbalanced="0"/>
    <cacheHierarchy uniqueName="[Measures].[__XL_Count World_Cup_Matches]" caption="__XL_Count World_Cup_Matches" measure="1" displayFolder="" measureGroup="World_Cup_Matches"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Year]" caption="Sum of Year" measure="1" displayFolder="" measureGroup="World_Cup_Matches" count="0" hidden="1">
      <extLst>
        <ext xmlns:x15="http://schemas.microsoft.com/office/spreadsheetml/2010/11/main" uri="{B97F6D7D-B522-45F9-BDA1-12C45D357490}">
          <x15:cacheHierarchy aggregatedColumn="2"/>
        </ext>
      </extLst>
    </cacheHierarchy>
    <cacheHierarchy uniqueName="[Measures].[Count of Year]" caption="Count of Year" measure="1" displayFolder="" measureGroup="World_Cup_Matches" count="0" hidden="1">
      <extLst>
        <ext xmlns:x15="http://schemas.microsoft.com/office/spreadsheetml/2010/11/main" uri="{B97F6D7D-B522-45F9-BDA1-12C45D357490}">
          <x15:cacheHierarchy aggregatedColumn="2"/>
        </ext>
      </extLst>
    </cacheHierarchy>
    <cacheHierarchy uniqueName="[Measures].[Sum of total goals]" caption="Sum of total goals" measure="1" displayFolder="" measureGroup="World_Cup_Matches" count="0" hidden="1">
      <extLst>
        <ext xmlns:x15="http://schemas.microsoft.com/office/spreadsheetml/2010/11/main" uri="{B97F6D7D-B522-45F9-BDA1-12C45D357490}">
          <x15:cacheHierarchy aggregatedColumn="22"/>
        </ext>
      </extLst>
    </cacheHierarchy>
    <cacheHierarchy uniqueName="[Measures].[Count of total goals]" caption="Count of total goals" measure="1" displayFolder="" measureGroup="World_Cup_Matches" count="0" hidden="1">
      <extLst>
        <ext xmlns:x15="http://schemas.microsoft.com/office/spreadsheetml/2010/11/main" uri="{B97F6D7D-B522-45F9-BDA1-12C45D357490}">
          <x15:cacheHierarchy aggregatedColumn="22"/>
        </ext>
      </extLst>
    </cacheHierarchy>
    <cacheHierarchy uniqueName="[Measures].[Average of total goals]" caption="Average of total goals" measure="1" displayFolder="" measureGroup="World_Cup_Matches" count="0" hidden="1">
      <extLst>
        <ext xmlns:x15="http://schemas.microsoft.com/office/spreadsheetml/2010/11/main" uri="{B97F6D7D-B522-45F9-BDA1-12C45D357490}">
          <x15:cacheHierarchy aggregatedColumn="22"/>
        </ext>
      </extLst>
    </cacheHierarchy>
    <cacheHierarchy uniqueName="[Measures].[Count of City]" caption="Count of City" measure="1" displayFolder="" measureGroup="World_Cup_Matches" count="0" hidden="1">
      <extLst>
        <ext xmlns:x15="http://schemas.microsoft.com/office/spreadsheetml/2010/11/main" uri="{B97F6D7D-B522-45F9-BDA1-12C45D357490}">
          <x15:cacheHierarchy aggregatedColumn="6"/>
        </ext>
      </extLst>
    </cacheHierarchy>
    <cacheHierarchy uniqueName="[Measures].[Count of Home Team Name]" caption="Count of Home Team Name" measure="1" displayFolder="" measureGroup="World_Cup_Matches" count="0" hidden="1">
      <extLst>
        <ext xmlns:x15="http://schemas.microsoft.com/office/spreadsheetml/2010/11/main" uri="{B97F6D7D-B522-45F9-BDA1-12C45D357490}">
          <x15:cacheHierarchy aggregatedColumn="7"/>
        </ext>
      </extLst>
    </cacheHierarchy>
    <cacheHierarchy uniqueName="[Measures].[Count of Away Team Name]" caption="Count of Away Team Name" measure="1" displayFolder="" measureGroup="World_Cup_Matches" count="0" hidden="1">
      <extLst>
        <ext xmlns:x15="http://schemas.microsoft.com/office/spreadsheetml/2010/11/main" uri="{B97F6D7D-B522-45F9-BDA1-12C45D357490}">
          <x15:cacheHierarchy aggregatedColumn="10"/>
        </ext>
      </extLst>
    </cacheHierarchy>
    <cacheHierarchy uniqueName="[Measures].[Sum of Away Team Goals]" caption="Sum of Away Team Goals" measure="1" displayFolder="" measureGroup="World_Cup_Matches" count="0" hidden="1">
      <extLst>
        <ext xmlns:x15="http://schemas.microsoft.com/office/spreadsheetml/2010/11/main" uri="{B97F6D7D-B522-45F9-BDA1-12C45D357490}">
          <x15:cacheHierarchy aggregatedColumn="9"/>
        </ext>
      </extLst>
    </cacheHierarchy>
    <cacheHierarchy uniqueName="[Measures].[Sum of Team Goals]" caption="Sum of Team Goals" measure="1" displayFolder="" measureGroup="Table3" count="0" hidden="1">
      <extLst>
        <ext xmlns:x15="http://schemas.microsoft.com/office/spreadsheetml/2010/11/main" uri="{B97F6D7D-B522-45F9-BDA1-12C45D357490}">
          <x15:cacheHierarchy aggregatedColumn="1"/>
        </ext>
      </extLst>
    </cacheHierarchy>
    <cacheHierarchy uniqueName="[Measures].[Sum of Attendance]" caption="Sum of Attendance" measure="1" displayFolder="" measureGroup="World_Cup_Matches" count="0" hidden="1">
      <extLst>
        <ext xmlns:x15="http://schemas.microsoft.com/office/spreadsheetml/2010/11/main" uri="{B97F6D7D-B522-45F9-BDA1-12C45D357490}">
          <x15:cacheHierarchy aggregatedColumn="12"/>
        </ext>
      </extLst>
    </cacheHierarchy>
    <cacheHierarchy uniqueName="[Measures].[Average of Attendance]" caption="Average of Attendance" measure="1" displayFolder="" measureGroup="World_Cup_Matches" count="0" oneField="1" hidden="1">
      <fieldsUsage count="1">
        <fieldUsage x="1"/>
      </fieldsUsage>
      <extLst>
        <ext xmlns:x15="http://schemas.microsoft.com/office/spreadsheetml/2010/11/main" uri="{B97F6D7D-B522-45F9-BDA1-12C45D357490}">
          <x15:cacheHierarchy aggregatedColumn="12"/>
        </ext>
      </extLst>
    </cacheHierarchy>
  </cacheHierarchies>
  <kpis count="0"/>
  <dimensions count="3">
    <dimension measure="1" name="Measures" uniqueName="[Measures]" caption="Measures"/>
    <dimension name="Table3" uniqueName="[Table3]" caption="Table3"/>
    <dimension name="World_Cup_Matches" uniqueName="[World_Cup_Matches]" caption="World_Cup_Matches"/>
  </dimensions>
  <measureGroups count="2">
    <measureGroup name="Table3" caption="Table3"/>
    <measureGroup name="World_Cup_Matches" caption="World_Cup_Matches"/>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39.149993171297" backgroundQuery="1" createdVersion="3" refreshedVersion="8" minRefreshableVersion="3" recordCount="0" supportSubquery="1" supportAdvancedDrill="1" xr:uid="{3DEEE053-E9CE-4C38-87EA-5B51B2F3587C}">
  <cacheSource type="external" connectionId="2">
    <extLst>
      <ext xmlns:x14="http://schemas.microsoft.com/office/spreadsheetml/2009/9/main" uri="{F057638F-6D5F-4e77-A914-E7F072B9BCA8}">
        <x14:sourceConnection name="ThisWorkbookDataModel"/>
      </ext>
    </extLst>
  </cacheSource>
  <cacheFields count="0"/>
  <cacheHierarchies count="41">
    <cacheHierarchy uniqueName="[Table3].[Team Name]" caption="Team Name" attribute="1" defaultMemberUniqueName="[Table3].[Team Name].[All]" allUniqueName="[Table3].[Team Name].[All]" dimensionUniqueName="[Table3]" displayFolder="" count="0" memberValueDatatype="130" unbalanced="0"/>
    <cacheHierarchy uniqueName="[Table3].[Team Goals]" caption="Team Goals" attribute="1" defaultMemberUniqueName="[Table3].[Team Goals].[All]" allUniqueName="[Table3].[Team Goals].[All]" dimensionUniqueName="[Table3]" displayFolder="" count="0" memberValueDatatype="20" unbalanced="0"/>
    <cacheHierarchy uniqueName="[World_Cup_Matches].[Year]" caption="Year" attribute="1" defaultMemberUniqueName="[World_Cup_Matches].[Year].[All]" allUniqueName="[World_Cup_Matches].[Year].[All]" dimensionUniqueName="[World_Cup_Matches]" displayFolder="" count="2" memberValueDatatype="20" unbalanced="0"/>
    <cacheHierarchy uniqueName="[World_Cup_Matches].[Datetime]" caption="Datetime" attribute="1" defaultMemberUniqueName="[World_Cup_Matches].[Datetime].[All]" allUniqueName="[World_Cup_Matches].[Datetime].[All]" dimensionUniqueName="[World_Cup_Matches]" displayFolder="" count="0" memberValueDatatype="130" unbalanced="0"/>
    <cacheHierarchy uniqueName="[World_Cup_Matches].[Stage]" caption="Stage" attribute="1" defaultMemberUniqueName="[World_Cup_Matches].[Stage].[All]" allUniqueName="[World_Cup_Matches].[Stage].[All]" dimensionUniqueName="[World_Cup_Matches]" displayFolder="" count="0" memberValueDatatype="130" unbalanced="0"/>
    <cacheHierarchy uniqueName="[World_Cup_Matches].[Stadium]" caption="Stadium" attribute="1" defaultMemberUniqueName="[World_Cup_Matches].[Stadium].[All]" allUniqueName="[World_Cup_Matches].[Stadium].[All]" dimensionUniqueName="[World_Cup_Matches]" displayFolder="" count="0" memberValueDatatype="130" unbalanced="0"/>
    <cacheHierarchy uniqueName="[World_Cup_Matches].[City]" caption="City" attribute="1" defaultMemberUniqueName="[World_Cup_Matches].[City].[All]" allUniqueName="[World_Cup_Matches].[City].[All]" dimensionUniqueName="[World_Cup_Matches]" displayFolder="" count="0" memberValueDatatype="130" unbalanced="0"/>
    <cacheHierarchy uniqueName="[World_Cup_Matches].[Home Team Name]" caption="Home Team Name" attribute="1" defaultMemberUniqueName="[World_Cup_Matches].[Home Team Name].[All]" allUniqueName="[World_Cup_Matches].[Home Team Name].[All]" dimensionUniqueName="[World_Cup_Matches]" displayFolder="" count="0" memberValueDatatype="130" unbalanced="0"/>
    <cacheHierarchy uniqueName="[World_Cup_Matches].[Home Team Goals]" caption="Home Team Goals" attribute="1" defaultMemberUniqueName="[World_Cup_Matches].[Home Team Goals].[All]" allUniqueName="[World_Cup_Matches].[Home Team Goals].[All]" dimensionUniqueName="[World_Cup_Matches]" displayFolder="" count="0" memberValueDatatype="20" unbalanced="0"/>
    <cacheHierarchy uniqueName="[World_Cup_Matches].[Away Team Goals]" caption="Away Team Goals" attribute="1" defaultMemberUniqueName="[World_Cup_Matches].[Away Team Goals].[All]" allUniqueName="[World_Cup_Matches].[Away Team Goals].[All]" dimensionUniqueName="[World_Cup_Matches]" displayFolder="" count="0" memberValueDatatype="20" unbalanced="0"/>
    <cacheHierarchy uniqueName="[World_Cup_Matches].[Away Team Name]" caption="Away Team Name" attribute="1" defaultMemberUniqueName="[World_Cup_Matches].[Away Team Name].[All]" allUniqueName="[World_Cup_Matches].[Away Team Name].[All]" dimensionUniqueName="[World_Cup_Matches]" displayFolder="" count="0" memberValueDatatype="130" unbalanced="0"/>
    <cacheHierarchy uniqueName="[World_Cup_Matches].[Win conditions]" caption="Win conditions" attribute="1" defaultMemberUniqueName="[World_Cup_Matches].[Win conditions].[All]" allUniqueName="[World_Cup_Matches].[Win conditions].[All]" dimensionUniqueName="[World_Cup_Matches]" displayFolder="" count="0" memberValueDatatype="130" unbalanced="0"/>
    <cacheHierarchy uniqueName="[World_Cup_Matches].[Attendance]" caption="Attendance" attribute="1" defaultMemberUniqueName="[World_Cup_Matches].[Attendance].[All]" allUniqueName="[World_Cup_Matches].[Attendance].[All]" dimensionUniqueName="[World_Cup_Matches]" displayFolder="" count="0" memberValueDatatype="20" unbalanced="0"/>
    <cacheHierarchy uniqueName="[World_Cup_Matches].[Half-time Home Goals]" caption="Half-time Home Goals" attribute="1" defaultMemberUniqueName="[World_Cup_Matches].[Half-time Home Goals].[All]" allUniqueName="[World_Cup_Matches].[Half-time Home Goals].[All]" dimensionUniqueName="[World_Cup_Matches]" displayFolder="" count="0" memberValueDatatype="20" unbalanced="0"/>
    <cacheHierarchy uniqueName="[World_Cup_Matches].[Half-time Away Goals]" caption="Half-time Away Goals" attribute="1" defaultMemberUniqueName="[World_Cup_Matches].[Half-time Away Goals].[All]" allUniqueName="[World_Cup_Matches].[Half-time Away Goals].[All]" dimensionUniqueName="[World_Cup_Matches]" displayFolder="" count="0" memberValueDatatype="20" unbalanced="0"/>
    <cacheHierarchy uniqueName="[World_Cup_Matches].[Referee]" caption="Referee" attribute="1" defaultMemberUniqueName="[World_Cup_Matches].[Referee].[All]" allUniqueName="[World_Cup_Matches].[Referee].[All]" dimensionUniqueName="[World_Cup_Matches]" displayFolder="" count="0" memberValueDatatype="130" unbalanced="0"/>
    <cacheHierarchy uniqueName="[World_Cup_Matches].[Assistant 1]" caption="Assistant 1" attribute="1" defaultMemberUniqueName="[World_Cup_Matches].[Assistant 1].[All]" allUniqueName="[World_Cup_Matches].[Assistant 1].[All]" dimensionUniqueName="[World_Cup_Matches]" displayFolder="" count="0" memberValueDatatype="130" unbalanced="0"/>
    <cacheHierarchy uniqueName="[World_Cup_Matches].[Assistant 2]" caption="Assistant 2" attribute="1" defaultMemberUniqueName="[World_Cup_Matches].[Assistant 2].[All]" allUniqueName="[World_Cup_Matches].[Assistant 2].[All]" dimensionUniqueName="[World_Cup_Matches]" displayFolder="" count="0" memberValueDatatype="130" unbalanced="0"/>
    <cacheHierarchy uniqueName="[World_Cup_Matches].[RoundID]" caption="RoundID" attribute="1" defaultMemberUniqueName="[World_Cup_Matches].[RoundID].[All]" allUniqueName="[World_Cup_Matches].[RoundID].[All]" dimensionUniqueName="[World_Cup_Matches]" displayFolder="" count="0" memberValueDatatype="20" unbalanced="0"/>
    <cacheHierarchy uniqueName="[World_Cup_Matches].[MatchID]" caption="MatchID" attribute="1" defaultMemberUniqueName="[World_Cup_Matches].[MatchID].[All]" allUniqueName="[World_Cup_Matches].[MatchID].[All]" dimensionUniqueName="[World_Cup_Matches]" displayFolder="" count="0" memberValueDatatype="20" unbalanced="0"/>
    <cacheHierarchy uniqueName="[World_Cup_Matches].[Home Team Initials]" caption="Home Team Initials" attribute="1" defaultMemberUniqueName="[World_Cup_Matches].[Home Team Initials].[All]" allUniqueName="[World_Cup_Matches].[Home Team Initials].[All]" dimensionUniqueName="[World_Cup_Matches]" displayFolder="" count="0" memberValueDatatype="130" unbalanced="0"/>
    <cacheHierarchy uniqueName="[World_Cup_Matches].[Away Team Initials]" caption="Away Team Initials" attribute="1" defaultMemberUniqueName="[World_Cup_Matches].[Away Team Initials].[All]" allUniqueName="[World_Cup_Matches].[Away Team Initials].[All]" dimensionUniqueName="[World_Cup_Matches]" displayFolder="" count="0" memberValueDatatype="130" unbalanced="0"/>
    <cacheHierarchy uniqueName="[World_Cup_Matches].[total goals]" caption="total goals" attribute="1" defaultMemberUniqueName="[World_Cup_Matches].[total goals].[All]" allUniqueName="[World_Cup_Matches].[total goals].[All]" dimensionUniqueName="[World_Cup_Matches]" displayFolder="" count="0" memberValueDatatype="20" unbalanced="0"/>
    <cacheHierarchy uniqueName="[World_Cup_Matches].[Goal Difference]" caption="Goal Difference" attribute="1" defaultMemberUniqueName="[World_Cup_Matches].[Goal Difference].[All]" allUniqueName="[World_Cup_Matches].[Goal Difference].[All]" dimensionUniqueName="[World_Cup_Matches]" displayFolder="" count="0" memberValueDatatype="20" unbalanced="0"/>
    <cacheHierarchy uniqueName="[World_Cup_Matches].[Winner]" caption="Winner" attribute="1" defaultMemberUniqueName="[World_Cup_Matches].[Winner].[All]" allUniqueName="[World_Cup_Matches].[Winner].[All]" dimensionUniqueName="[World_Cup_Matches]" displayFolder="" count="0" memberValueDatatype="130" unbalanced="0"/>
    <cacheHierarchy uniqueName="[World_Cup_Matches].[Result]" caption="Result" attribute="1" defaultMemberUniqueName="[World_Cup_Matches].[Result].[All]" allUniqueName="[World_Cup_Matches].[Result].[All]" dimensionUniqueName="[World_Cup_Matches]" displayFolder="" count="0" memberValueDatatype="130" unbalanced="0"/>
    <cacheHierarchy uniqueName="[Measures].[__XL_Count World_Cup_Matches]" caption="__XL_Count World_Cup_Matches" measure="1" displayFolder="" measureGroup="World_Cup_Matches"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Year]" caption="Sum of Year" measure="1" displayFolder="" measureGroup="World_Cup_Matches" count="0" hidden="1">
      <extLst>
        <ext xmlns:x15="http://schemas.microsoft.com/office/spreadsheetml/2010/11/main" uri="{B97F6D7D-B522-45F9-BDA1-12C45D357490}">
          <x15:cacheHierarchy aggregatedColumn="2"/>
        </ext>
      </extLst>
    </cacheHierarchy>
    <cacheHierarchy uniqueName="[Measures].[Count of Year]" caption="Count of Year" measure="1" displayFolder="" measureGroup="World_Cup_Matches" count="0" hidden="1">
      <extLst>
        <ext xmlns:x15="http://schemas.microsoft.com/office/spreadsheetml/2010/11/main" uri="{B97F6D7D-B522-45F9-BDA1-12C45D357490}">
          <x15:cacheHierarchy aggregatedColumn="2"/>
        </ext>
      </extLst>
    </cacheHierarchy>
    <cacheHierarchy uniqueName="[Measures].[Sum of total goals]" caption="Sum of total goals" measure="1" displayFolder="" measureGroup="World_Cup_Matches" count="0" hidden="1">
      <extLst>
        <ext xmlns:x15="http://schemas.microsoft.com/office/spreadsheetml/2010/11/main" uri="{B97F6D7D-B522-45F9-BDA1-12C45D357490}">
          <x15:cacheHierarchy aggregatedColumn="22"/>
        </ext>
      </extLst>
    </cacheHierarchy>
    <cacheHierarchy uniqueName="[Measures].[Count of total goals]" caption="Count of total goals" measure="1" displayFolder="" measureGroup="World_Cup_Matches" count="0" hidden="1">
      <extLst>
        <ext xmlns:x15="http://schemas.microsoft.com/office/spreadsheetml/2010/11/main" uri="{B97F6D7D-B522-45F9-BDA1-12C45D357490}">
          <x15:cacheHierarchy aggregatedColumn="22"/>
        </ext>
      </extLst>
    </cacheHierarchy>
    <cacheHierarchy uniqueName="[Measures].[Average of total goals]" caption="Average of total goals" measure="1" displayFolder="" measureGroup="World_Cup_Matches" count="0" hidden="1">
      <extLst>
        <ext xmlns:x15="http://schemas.microsoft.com/office/spreadsheetml/2010/11/main" uri="{B97F6D7D-B522-45F9-BDA1-12C45D357490}">
          <x15:cacheHierarchy aggregatedColumn="22"/>
        </ext>
      </extLst>
    </cacheHierarchy>
    <cacheHierarchy uniqueName="[Measures].[Count of City]" caption="Count of City" measure="1" displayFolder="" measureGroup="World_Cup_Matches" count="0" hidden="1">
      <extLst>
        <ext xmlns:x15="http://schemas.microsoft.com/office/spreadsheetml/2010/11/main" uri="{B97F6D7D-B522-45F9-BDA1-12C45D357490}">
          <x15:cacheHierarchy aggregatedColumn="6"/>
        </ext>
      </extLst>
    </cacheHierarchy>
    <cacheHierarchy uniqueName="[Measures].[Count of Home Team Name]" caption="Count of Home Team Name" measure="1" displayFolder="" measureGroup="World_Cup_Matches" count="0" hidden="1">
      <extLst>
        <ext xmlns:x15="http://schemas.microsoft.com/office/spreadsheetml/2010/11/main" uri="{B97F6D7D-B522-45F9-BDA1-12C45D357490}">
          <x15:cacheHierarchy aggregatedColumn="7"/>
        </ext>
      </extLst>
    </cacheHierarchy>
    <cacheHierarchy uniqueName="[Measures].[Count of Away Team Name]" caption="Count of Away Team Name" measure="1" displayFolder="" measureGroup="World_Cup_Matches" count="0" hidden="1">
      <extLst>
        <ext xmlns:x15="http://schemas.microsoft.com/office/spreadsheetml/2010/11/main" uri="{B97F6D7D-B522-45F9-BDA1-12C45D357490}">
          <x15:cacheHierarchy aggregatedColumn="10"/>
        </ext>
      </extLst>
    </cacheHierarchy>
    <cacheHierarchy uniqueName="[Measures].[Sum of Away Team Goals]" caption="Sum of Away Team Goals" measure="1" displayFolder="" measureGroup="World_Cup_Matches" count="0" hidden="1">
      <extLst>
        <ext xmlns:x15="http://schemas.microsoft.com/office/spreadsheetml/2010/11/main" uri="{B97F6D7D-B522-45F9-BDA1-12C45D357490}">
          <x15:cacheHierarchy aggregatedColumn="9"/>
        </ext>
      </extLst>
    </cacheHierarchy>
    <cacheHierarchy uniqueName="[Measures].[Sum of Team Goals]" caption="Sum of Team Goals" measure="1" displayFolder="" measureGroup="Table3" count="0" hidden="1">
      <extLst>
        <ext xmlns:x15="http://schemas.microsoft.com/office/spreadsheetml/2010/11/main" uri="{B97F6D7D-B522-45F9-BDA1-12C45D357490}">
          <x15:cacheHierarchy aggregatedColumn="1"/>
        </ext>
      </extLst>
    </cacheHierarchy>
    <cacheHierarchy uniqueName="[Measures].[Sum of Attendance]" caption="Sum of Attendance" measure="1" displayFolder="" measureGroup="World_Cup_Matches" count="0" hidden="1">
      <extLst>
        <ext xmlns:x15="http://schemas.microsoft.com/office/spreadsheetml/2010/11/main" uri="{B97F6D7D-B522-45F9-BDA1-12C45D357490}">
          <x15:cacheHierarchy aggregatedColumn="12"/>
        </ext>
      </extLst>
    </cacheHierarchy>
    <cacheHierarchy uniqueName="[Measures].[Average of Attendance]" caption="Average of Attendance" measure="1" displayFolder="" measureGroup="World_Cup_Matches"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811989068"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04">
  <r>
    <x v="0"/>
  </r>
  <r>
    <x v="1"/>
  </r>
  <r>
    <x v="2"/>
  </r>
  <r>
    <x v="3"/>
  </r>
  <r>
    <x v="4"/>
  </r>
  <r>
    <x v="5"/>
  </r>
  <r>
    <x v="2"/>
  </r>
  <r>
    <x v="1"/>
  </r>
  <r>
    <x v="6"/>
  </r>
  <r>
    <x v="5"/>
  </r>
  <r>
    <x v="4"/>
  </r>
  <r>
    <x v="7"/>
  </r>
  <r>
    <x v="8"/>
  </r>
  <r>
    <x v="6"/>
  </r>
  <r>
    <x v="4"/>
  </r>
  <r>
    <x v="4"/>
  </r>
  <r>
    <x v="6"/>
  </r>
  <r>
    <x v="6"/>
  </r>
  <r>
    <x v="9"/>
  </r>
  <r>
    <x v="10"/>
  </r>
  <r>
    <x v="11"/>
  </r>
  <r>
    <x v="12"/>
  </r>
  <r>
    <x v="13"/>
  </r>
  <r>
    <x v="14"/>
  </r>
  <r>
    <x v="15"/>
  </r>
  <r>
    <x v="16"/>
  </r>
  <r>
    <x v="16"/>
  </r>
  <r>
    <x v="13"/>
  </r>
  <r>
    <x v="15"/>
  </r>
  <r>
    <x v="9"/>
  </r>
  <r>
    <x v="15"/>
  </r>
  <r>
    <x v="15"/>
  </r>
  <r>
    <x v="16"/>
  </r>
  <r>
    <x v="13"/>
  </r>
  <r>
    <x v="15"/>
  </r>
  <r>
    <x v="11"/>
  </r>
  <r>
    <x v="10"/>
  </r>
  <r>
    <x v="0"/>
  </r>
  <r>
    <x v="17"/>
  </r>
  <r>
    <x v="15"/>
  </r>
  <r>
    <x v="7"/>
  </r>
  <r>
    <x v="16"/>
  </r>
  <r>
    <x v="17"/>
  </r>
  <r>
    <x v="11"/>
  </r>
  <r>
    <x v="7"/>
  </r>
  <r>
    <x v="10"/>
  </r>
  <r>
    <x v="12"/>
  </r>
  <r>
    <x v="15"/>
  </r>
  <r>
    <x v="7"/>
  </r>
  <r>
    <x v="10"/>
  </r>
  <r>
    <x v="15"/>
  </r>
  <r>
    <x v="7"/>
  </r>
  <r>
    <x v="15"/>
  </r>
  <r>
    <x v="7"/>
  </r>
  <r>
    <x v="18"/>
  </r>
  <r>
    <x v="14"/>
  </r>
  <r>
    <x v="12"/>
  </r>
  <r>
    <x v="2"/>
  </r>
  <r>
    <x v="7"/>
  </r>
  <r>
    <x v="2"/>
  </r>
  <r>
    <x v="14"/>
  </r>
  <r>
    <x v="12"/>
  </r>
  <r>
    <x v="1"/>
  </r>
  <r>
    <x v="7"/>
  </r>
  <r>
    <x v="14"/>
  </r>
  <r>
    <x v="15"/>
  </r>
  <r>
    <x v="6"/>
  </r>
  <r>
    <x v="11"/>
  </r>
  <r>
    <x v="5"/>
  </r>
  <r>
    <x v="6"/>
  </r>
  <r>
    <x v="7"/>
  </r>
  <r>
    <x v="7"/>
  </r>
  <r>
    <x v="6"/>
  </r>
  <r>
    <x v="12"/>
  </r>
  <r>
    <x v="6"/>
  </r>
  <r>
    <x v="6"/>
  </r>
  <r>
    <x v="9"/>
  </r>
  <r>
    <x v="7"/>
  </r>
  <r>
    <x v="2"/>
  </r>
  <r>
    <x v="19"/>
  </r>
  <r>
    <x v="10"/>
  </r>
  <r>
    <x v="18"/>
  </r>
  <r>
    <x v="11"/>
  </r>
  <r>
    <x v="6"/>
  </r>
  <r>
    <x v="9"/>
  </r>
  <r>
    <x v="0"/>
  </r>
  <r>
    <x v="7"/>
  </r>
  <r>
    <x v="10"/>
  </r>
  <r>
    <x v="20"/>
  </r>
  <r>
    <x v="18"/>
  </r>
  <r>
    <x v="15"/>
  </r>
  <r>
    <x v="19"/>
  </r>
  <r>
    <x v="11"/>
  </r>
  <r>
    <x v="6"/>
  </r>
  <r>
    <x v="9"/>
  </r>
  <r>
    <x v="19"/>
  </r>
  <r>
    <x v="10"/>
  </r>
  <r>
    <x v="19"/>
  </r>
  <r>
    <x v="10"/>
  </r>
  <r>
    <x v="9"/>
  </r>
  <r>
    <x v="19"/>
  </r>
  <r>
    <x v="12"/>
  </r>
  <r>
    <x v="21"/>
  </r>
  <r>
    <x v="4"/>
  </r>
  <r>
    <x v="10"/>
  </r>
  <r>
    <x v="0"/>
  </r>
  <r>
    <x v="2"/>
  </r>
  <r>
    <x v="7"/>
  </r>
  <r>
    <x v="22"/>
  </r>
  <r>
    <x v="7"/>
  </r>
  <r>
    <x v="23"/>
  </r>
  <r>
    <x v="8"/>
  </r>
  <r>
    <x v="2"/>
  </r>
  <r>
    <x v="21"/>
  </r>
  <r>
    <x v="19"/>
  </r>
  <r>
    <x v="4"/>
  </r>
  <r>
    <x v="12"/>
  </r>
  <r>
    <x v="12"/>
  </r>
  <r>
    <x v="7"/>
  </r>
  <r>
    <x v="19"/>
  </r>
  <r>
    <x v="10"/>
  </r>
  <r>
    <x v="8"/>
  </r>
  <r>
    <x v="0"/>
  </r>
  <r>
    <x v="18"/>
  </r>
  <r>
    <x v="16"/>
  </r>
  <r>
    <x v="21"/>
  </r>
  <r>
    <x v="22"/>
  </r>
  <r>
    <x v="24"/>
  </r>
  <r>
    <x v="7"/>
  </r>
  <r>
    <x v="19"/>
  </r>
  <r>
    <x v="12"/>
  </r>
  <r>
    <x v="0"/>
  </r>
  <r>
    <x v="12"/>
  </r>
  <r>
    <x v="7"/>
  </r>
  <r>
    <x v="0"/>
  </r>
  <r>
    <x v="7"/>
  </r>
  <r>
    <x v="6"/>
  </r>
  <r>
    <x v="7"/>
  </r>
  <r>
    <x v="4"/>
  </r>
  <r>
    <x v="5"/>
  </r>
  <r>
    <x v="21"/>
  </r>
  <r>
    <x v="16"/>
  </r>
  <r>
    <x v="10"/>
  </r>
  <r>
    <x v="19"/>
  </r>
  <r>
    <x v="2"/>
  </r>
  <r>
    <x v="7"/>
  </r>
  <r>
    <x v="18"/>
  </r>
  <r>
    <x v="5"/>
  </r>
  <r>
    <x v="21"/>
  </r>
  <r>
    <x v="14"/>
  </r>
  <r>
    <x v="10"/>
  </r>
  <r>
    <x v="19"/>
  </r>
  <r>
    <x v="21"/>
  </r>
  <r>
    <x v="7"/>
  </r>
  <r>
    <x v="10"/>
  </r>
  <r>
    <x v="19"/>
  </r>
  <r>
    <x v="2"/>
  </r>
  <r>
    <x v="23"/>
  </r>
  <r>
    <x v="18"/>
  </r>
  <r>
    <x v="15"/>
  </r>
  <r>
    <x v="5"/>
  </r>
  <r>
    <x v="7"/>
  </r>
  <r>
    <x v="16"/>
  </r>
  <r>
    <x v="2"/>
  </r>
  <r>
    <x v="16"/>
  </r>
  <r>
    <x v="7"/>
  </r>
  <r>
    <x v="5"/>
  </r>
  <r>
    <x v="7"/>
  </r>
  <r>
    <x v="18"/>
  </r>
  <r>
    <x v="19"/>
  </r>
  <r>
    <x v="7"/>
  </r>
  <r>
    <x v="21"/>
  </r>
  <r>
    <x v="0"/>
  </r>
  <r>
    <x v="25"/>
  </r>
  <r>
    <x v="4"/>
  </r>
  <r>
    <x v="15"/>
  </r>
  <r>
    <x v="6"/>
  </r>
  <r>
    <x v="14"/>
  </r>
  <r>
    <x v="10"/>
  </r>
  <r>
    <x v="26"/>
  </r>
  <r>
    <x v="25"/>
  </r>
  <r>
    <x v="19"/>
  </r>
  <r>
    <x v="21"/>
  </r>
  <r>
    <x v="18"/>
  </r>
  <r>
    <x v="6"/>
  </r>
  <r>
    <x v="4"/>
  </r>
  <r>
    <x v="25"/>
  </r>
  <r>
    <x v="26"/>
  </r>
  <r>
    <x v="18"/>
  </r>
  <r>
    <x v="10"/>
  </r>
  <r>
    <x v="19"/>
  </r>
  <r>
    <x v="21"/>
  </r>
  <r>
    <x v="18"/>
  </r>
  <r>
    <x v="19"/>
  </r>
  <r>
    <x v="21"/>
  </r>
  <r>
    <x v="25"/>
  </r>
  <r>
    <x v="19"/>
  </r>
  <r>
    <x v="18"/>
  </r>
  <r>
    <x v="25"/>
  </r>
  <r>
    <x v="18"/>
  </r>
  <r>
    <x v="23"/>
  </r>
  <r>
    <x v="6"/>
  </r>
  <r>
    <x v="27"/>
  </r>
  <r>
    <x v="18"/>
  </r>
  <r>
    <x v="15"/>
  </r>
  <r>
    <x v="19"/>
  </r>
  <r>
    <x v="7"/>
  </r>
  <r>
    <x v="28"/>
  </r>
  <r>
    <x v="6"/>
  </r>
  <r>
    <x v="27"/>
  </r>
  <r>
    <x v="3"/>
  </r>
  <r>
    <x v="21"/>
  </r>
  <r>
    <x v="12"/>
  </r>
  <r>
    <x v="19"/>
  </r>
  <r>
    <x v="7"/>
  </r>
  <r>
    <x v="23"/>
  </r>
  <r>
    <x v="12"/>
  </r>
  <r>
    <x v="19"/>
  </r>
  <r>
    <x v="7"/>
  </r>
  <r>
    <x v="21"/>
  </r>
  <r>
    <x v="15"/>
  </r>
  <r>
    <x v="29"/>
  </r>
  <r>
    <x v="18"/>
  </r>
  <r>
    <x v="23"/>
  </r>
  <r>
    <x v="15"/>
  </r>
  <r>
    <x v="19"/>
  </r>
  <r>
    <x v="7"/>
  </r>
  <r>
    <x v="6"/>
  </r>
  <r>
    <x v="7"/>
  </r>
  <r>
    <x v="15"/>
  </r>
  <r>
    <x v="19"/>
  </r>
  <r>
    <x v="7"/>
  </r>
  <r>
    <x v="7"/>
  </r>
  <r>
    <x v="19"/>
  </r>
  <r>
    <x v="30"/>
  </r>
  <r>
    <x v="31"/>
  </r>
  <r>
    <x v="6"/>
  </r>
  <r>
    <x v="12"/>
  </r>
  <r>
    <x v="15"/>
  </r>
  <r>
    <x v="32"/>
  </r>
  <r>
    <x v="33"/>
  </r>
  <r>
    <x v="34"/>
  </r>
  <r>
    <x v="5"/>
  </r>
  <r>
    <x v="2"/>
  </r>
  <r>
    <x v="35"/>
  </r>
  <r>
    <x v="29"/>
  </r>
  <r>
    <x v="36"/>
  </r>
  <r>
    <x v="4"/>
  </r>
  <r>
    <x v="34"/>
  </r>
  <r>
    <x v="33"/>
  </r>
  <r>
    <x v="31"/>
  </r>
  <r>
    <x v="30"/>
  </r>
  <r>
    <x v="29"/>
  </r>
  <r>
    <x v="4"/>
  </r>
  <r>
    <x v="12"/>
  </r>
  <r>
    <x v="32"/>
  </r>
  <r>
    <x v="2"/>
  </r>
  <r>
    <x v="7"/>
  </r>
  <r>
    <x v="35"/>
  </r>
  <r>
    <x v="12"/>
  </r>
  <r>
    <x v="4"/>
  </r>
  <r>
    <x v="32"/>
  </r>
  <r>
    <x v="30"/>
  </r>
  <r>
    <x v="19"/>
  </r>
  <r>
    <x v="32"/>
  </r>
  <r>
    <x v="35"/>
  </r>
  <r>
    <x v="4"/>
  </r>
  <r>
    <x v="12"/>
  </r>
  <r>
    <x v="7"/>
  </r>
  <r>
    <x v="35"/>
  </r>
  <r>
    <x v="19"/>
  </r>
  <r>
    <x v="15"/>
  </r>
  <r>
    <x v="37"/>
  </r>
  <r>
    <x v="4"/>
  </r>
  <r>
    <x v="12"/>
  </r>
  <r>
    <x v="9"/>
  </r>
  <r>
    <x v="27"/>
  </r>
  <r>
    <x v="35"/>
  </r>
  <r>
    <x v="15"/>
  </r>
  <r>
    <x v="32"/>
  </r>
  <r>
    <x v="19"/>
  </r>
  <r>
    <x v="4"/>
  </r>
  <r>
    <x v="7"/>
  </r>
  <r>
    <x v="9"/>
  </r>
  <r>
    <x v="34"/>
  </r>
  <r>
    <x v="35"/>
  </r>
  <r>
    <x v="0"/>
  </r>
  <r>
    <x v="32"/>
  </r>
  <r>
    <x v="19"/>
  </r>
  <r>
    <x v="15"/>
  </r>
  <r>
    <x v="7"/>
  </r>
  <r>
    <x v="14"/>
  </r>
  <r>
    <x v="27"/>
  </r>
  <r>
    <x v="34"/>
  </r>
  <r>
    <x v="19"/>
  </r>
  <r>
    <x v="35"/>
  </r>
  <r>
    <x v="7"/>
  </r>
  <r>
    <x v="4"/>
  </r>
  <r>
    <x v="32"/>
  </r>
  <r>
    <x v="15"/>
  </r>
  <r>
    <x v="19"/>
  </r>
  <r>
    <x v="4"/>
  </r>
  <r>
    <x v="35"/>
  </r>
  <r>
    <x v="9"/>
  </r>
  <r>
    <x v="7"/>
  </r>
  <r>
    <x v="4"/>
  </r>
  <r>
    <x v="7"/>
  </r>
  <r>
    <x v="4"/>
  </r>
  <r>
    <x v="4"/>
  </r>
  <r>
    <x v="15"/>
  </r>
  <r>
    <x v="7"/>
  </r>
  <r>
    <x v="27"/>
  </r>
  <r>
    <x v="10"/>
  </r>
  <r>
    <x v="34"/>
  </r>
  <r>
    <x v="19"/>
  </r>
  <r>
    <x v="18"/>
  </r>
  <r>
    <x v="14"/>
  </r>
  <r>
    <x v="5"/>
  </r>
  <r>
    <x v="16"/>
  </r>
  <r>
    <x v="2"/>
  </r>
  <r>
    <x v="15"/>
  </r>
  <r>
    <x v="4"/>
  </r>
  <r>
    <x v="7"/>
  </r>
  <r>
    <x v="32"/>
  </r>
  <r>
    <x v="28"/>
  </r>
  <r>
    <x v="21"/>
  </r>
  <r>
    <x v="19"/>
  </r>
  <r>
    <x v="18"/>
  </r>
  <r>
    <x v="14"/>
  </r>
  <r>
    <x v="38"/>
  </r>
  <r>
    <x v="0"/>
  </r>
  <r>
    <x v="39"/>
  </r>
  <r>
    <x v="32"/>
  </r>
  <r>
    <x v="28"/>
  </r>
  <r>
    <x v="21"/>
  </r>
  <r>
    <x v="15"/>
  </r>
  <r>
    <x v="4"/>
  </r>
  <r>
    <x v="7"/>
  </r>
  <r>
    <x v="38"/>
  </r>
  <r>
    <x v="0"/>
  </r>
  <r>
    <x v="39"/>
  </r>
  <r>
    <x v="19"/>
  </r>
  <r>
    <x v="18"/>
  </r>
  <r>
    <x v="22"/>
  </r>
  <r>
    <x v="9"/>
  </r>
  <r>
    <x v="32"/>
  </r>
  <r>
    <x v="15"/>
  </r>
  <r>
    <x v="19"/>
  </r>
  <r>
    <x v="9"/>
  </r>
  <r>
    <x v="28"/>
  </r>
  <r>
    <x v="4"/>
  </r>
  <r>
    <x v="19"/>
  </r>
  <r>
    <x v="0"/>
  </r>
  <r>
    <x v="32"/>
  </r>
  <r>
    <x v="15"/>
  </r>
  <r>
    <x v="14"/>
  </r>
  <r>
    <x v="32"/>
  </r>
  <r>
    <x v="19"/>
  </r>
  <r>
    <x v="32"/>
  </r>
  <r>
    <x v="15"/>
  </r>
  <r>
    <x v="29"/>
  </r>
  <r>
    <x v="40"/>
  </r>
  <r>
    <x v="14"/>
  </r>
  <r>
    <x v="21"/>
  </r>
  <r>
    <x v="4"/>
  </r>
  <r>
    <x v="41"/>
  </r>
  <r>
    <x v="38"/>
  </r>
  <r>
    <x v="28"/>
  </r>
  <r>
    <x v="25"/>
  </r>
  <r>
    <x v="8"/>
  </r>
  <r>
    <x v="34"/>
  </r>
  <r>
    <x v="6"/>
  </r>
  <r>
    <x v="15"/>
  </r>
  <r>
    <x v="0"/>
  </r>
  <r>
    <x v="42"/>
  </r>
  <r>
    <x v="10"/>
  </r>
  <r>
    <x v="7"/>
  </r>
  <r>
    <x v="18"/>
  </r>
  <r>
    <x v="22"/>
  </r>
  <r>
    <x v="23"/>
  </r>
  <r>
    <x v="32"/>
  </r>
  <r>
    <x v="43"/>
  </r>
  <r>
    <x v="44"/>
  </r>
  <r>
    <x v="19"/>
  </r>
  <r>
    <x v="10"/>
  </r>
  <r>
    <x v="21"/>
  </r>
  <r>
    <x v="42"/>
  </r>
  <r>
    <x v="4"/>
  </r>
  <r>
    <x v="8"/>
  </r>
  <r>
    <x v="43"/>
  </r>
  <r>
    <x v="25"/>
  </r>
  <r>
    <x v="18"/>
  </r>
  <r>
    <x v="22"/>
  </r>
  <r>
    <x v="38"/>
  </r>
  <r>
    <x v="34"/>
  </r>
  <r>
    <x v="44"/>
  </r>
  <r>
    <x v="21"/>
  </r>
  <r>
    <x v="23"/>
  </r>
  <r>
    <x v="4"/>
  </r>
  <r>
    <x v="7"/>
  </r>
  <r>
    <x v="15"/>
  </r>
  <r>
    <x v="41"/>
  </r>
  <r>
    <x v="18"/>
  </r>
  <r>
    <x v="44"/>
  </r>
  <r>
    <x v="7"/>
  </r>
  <r>
    <x v="19"/>
  </r>
  <r>
    <x v="14"/>
  </r>
  <r>
    <x v="4"/>
  </r>
  <r>
    <x v="0"/>
  </r>
  <r>
    <x v="4"/>
  </r>
  <r>
    <x v="0"/>
  </r>
  <r>
    <x v="4"/>
  </r>
  <r>
    <x v="4"/>
  </r>
  <r>
    <x v="21"/>
  </r>
  <r>
    <x v="45"/>
  </r>
  <r>
    <x v="15"/>
  </r>
  <r>
    <x v="1"/>
  </r>
  <r>
    <x v="7"/>
  </r>
  <r>
    <x v="19"/>
  </r>
  <r>
    <x v="46"/>
  </r>
  <r>
    <x v="18"/>
  </r>
  <r>
    <x v="28"/>
  </r>
  <r>
    <x v="35"/>
  </r>
  <r>
    <x v="6"/>
  </r>
  <r>
    <x v="4"/>
  </r>
  <r>
    <x v="47"/>
  </r>
  <r>
    <x v="2"/>
  </r>
  <r>
    <x v="15"/>
  </r>
  <r>
    <x v="9"/>
  </r>
  <r>
    <x v="19"/>
  </r>
  <r>
    <x v="7"/>
  </r>
  <r>
    <x v="12"/>
  </r>
  <r>
    <x v="18"/>
  </r>
  <r>
    <x v="48"/>
  </r>
  <r>
    <x v="42"/>
  </r>
  <r>
    <x v="28"/>
  </r>
  <r>
    <x v="4"/>
  </r>
  <r>
    <x v="47"/>
  </r>
  <r>
    <x v="19"/>
  </r>
  <r>
    <x v="2"/>
  </r>
  <r>
    <x v="15"/>
  </r>
  <r>
    <x v="9"/>
  </r>
  <r>
    <x v="7"/>
  </r>
  <r>
    <x v="12"/>
  </r>
  <r>
    <x v="42"/>
  </r>
  <r>
    <x v="28"/>
  </r>
  <r>
    <x v="48"/>
  </r>
  <r>
    <x v="18"/>
  </r>
  <r>
    <x v="47"/>
  </r>
  <r>
    <x v="16"/>
  </r>
  <r>
    <x v="7"/>
  </r>
  <r>
    <x v="19"/>
  </r>
  <r>
    <x v="48"/>
  </r>
  <r>
    <x v="15"/>
  </r>
  <r>
    <x v="14"/>
  </r>
  <r>
    <x v="18"/>
  </r>
  <r>
    <x v="2"/>
  </r>
  <r>
    <x v="15"/>
  </r>
  <r>
    <x v="19"/>
  </r>
  <r>
    <x v="18"/>
  </r>
  <r>
    <x v="15"/>
  </r>
  <r>
    <x v="19"/>
  </r>
  <r>
    <x v="15"/>
  </r>
  <r>
    <x v="19"/>
  </r>
  <r>
    <x v="14"/>
  </r>
  <r>
    <x v="13"/>
  </r>
  <r>
    <x v="1"/>
  </r>
  <r>
    <x v="15"/>
  </r>
  <r>
    <x v="49"/>
  </r>
  <r>
    <x v="28"/>
  </r>
  <r>
    <x v="50"/>
  </r>
  <r>
    <x v="47"/>
  </r>
  <r>
    <x v="35"/>
  </r>
  <r>
    <x v="7"/>
  </r>
  <r>
    <x v="4"/>
  </r>
  <r>
    <x v="51"/>
  </r>
  <r>
    <x v="13"/>
  </r>
  <r>
    <x v="3"/>
  </r>
  <r>
    <x v="1"/>
  </r>
  <r>
    <x v="15"/>
  </r>
  <r>
    <x v="42"/>
  </r>
  <r>
    <x v="23"/>
  </r>
  <r>
    <x v="12"/>
  </r>
  <r>
    <x v="7"/>
  </r>
  <r>
    <x v="28"/>
  </r>
  <r>
    <x v="52"/>
  </r>
  <r>
    <x v="4"/>
  </r>
  <r>
    <x v="29"/>
  </r>
  <r>
    <x v="1"/>
  </r>
  <r>
    <x v="11"/>
  </r>
  <r>
    <x v="13"/>
  </r>
  <r>
    <x v="53"/>
  </r>
  <r>
    <x v="48"/>
  </r>
  <r>
    <x v="7"/>
  </r>
  <r>
    <x v="15"/>
  </r>
  <r>
    <x v="54"/>
  </r>
  <r>
    <x v="41"/>
  </r>
  <r>
    <x v="28"/>
  </r>
  <r>
    <x v="55"/>
  </r>
  <r>
    <x v="4"/>
  </r>
  <r>
    <x v="13"/>
  </r>
  <r>
    <x v="14"/>
  </r>
  <r>
    <x v="52"/>
  </r>
  <r>
    <x v="3"/>
  </r>
  <r>
    <x v="35"/>
  </r>
  <r>
    <x v="7"/>
  </r>
  <r>
    <x v="51"/>
  </r>
  <r>
    <x v="23"/>
  </r>
  <r>
    <x v="15"/>
  </r>
  <r>
    <x v="35"/>
  </r>
  <r>
    <x v="29"/>
  </r>
  <r>
    <x v="3"/>
  </r>
  <r>
    <x v="29"/>
  </r>
  <r>
    <x v="12"/>
  </r>
  <r>
    <x v="12"/>
  </r>
  <r>
    <x v="7"/>
  </r>
  <r>
    <x v="7"/>
  </r>
  <r>
    <x v="41"/>
  </r>
  <r>
    <x v="15"/>
  </r>
  <r>
    <x v="47"/>
  </r>
  <r>
    <x v="8"/>
  </r>
  <r>
    <x v="52"/>
  </r>
  <r>
    <x v="0"/>
  </r>
  <r>
    <x v="14"/>
  </r>
  <r>
    <x v="42"/>
  </r>
  <r>
    <x v="35"/>
  </r>
  <r>
    <x v="4"/>
  </r>
  <r>
    <x v="2"/>
  </r>
  <r>
    <x v="56"/>
  </r>
  <r>
    <x v="18"/>
  </r>
  <r>
    <x v="3"/>
  </r>
  <r>
    <x v="13"/>
  </r>
  <r>
    <x v="34"/>
  </r>
  <r>
    <x v="7"/>
  </r>
  <r>
    <x v="5"/>
  </r>
  <r>
    <x v="15"/>
  </r>
  <r>
    <x v="57"/>
  </r>
  <r>
    <x v="0"/>
  </r>
  <r>
    <x v="51"/>
  </r>
  <r>
    <x v="14"/>
  </r>
  <r>
    <x v="58"/>
  </r>
  <r>
    <x v="28"/>
  </r>
  <r>
    <x v="35"/>
  </r>
  <r>
    <x v="13"/>
  </r>
  <r>
    <x v="4"/>
  </r>
  <r>
    <x v="1"/>
  </r>
  <r>
    <x v="49"/>
  </r>
  <r>
    <x v="3"/>
  </r>
  <r>
    <x v="15"/>
  </r>
  <r>
    <x v="5"/>
  </r>
  <r>
    <x v="34"/>
  </r>
  <r>
    <x v="7"/>
  </r>
  <r>
    <x v="0"/>
  </r>
  <r>
    <x v="57"/>
  </r>
  <r>
    <x v="14"/>
  </r>
  <r>
    <x v="51"/>
  </r>
  <r>
    <x v="28"/>
  </r>
  <r>
    <x v="35"/>
  </r>
  <r>
    <x v="13"/>
  </r>
  <r>
    <x v="1"/>
  </r>
  <r>
    <x v="58"/>
  </r>
  <r>
    <x v="4"/>
  </r>
  <r>
    <x v="3"/>
  </r>
  <r>
    <x v="49"/>
  </r>
  <r>
    <x v="15"/>
  </r>
  <r>
    <x v="7"/>
  </r>
  <r>
    <x v="0"/>
  </r>
  <r>
    <x v="51"/>
  </r>
  <r>
    <x v="13"/>
  </r>
  <r>
    <x v="35"/>
  </r>
  <r>
    <x v="3"/>
  </r>
  <r>
    <x v="4"/>
  </r>
  <r>
    <x v="15"/>
  </r>
  <r>
    <x v="7"/>
  </r>
  <r>
    <x v="35"/>
  </r>
  <r>
    <x v="13"/>
  </r>
  <r>
    <x v="7"/>
  </r>
  <r>
    <x v="0"/>
  </r>
  <r>
    <x v="35"/>
  </r>
  <r>
    <x v="7"/>
  </r>
  <r>
    <x v="0"/>
  </r>
  <r>
    <x v="6"/>
  </r>
  <r>
    <x v="48"/>
  </r>
  <r>
    <x v="13"/>
  </r>
  <r>
    <x v="4"/>
  </r>
  <r>
    <x v="8"/>
  </r>
  <r>
    <x v="18"/>
  </r>
  <r>
    <x v="14"/>
  </r>
  <r>
    <x v="7"/>
  </r>
  <r>
    <x v="15"/>
  </r>
  <r>
    <x v="59"/>
  </r>
  <r>
    <x v="60"/>
  </r>
  <r>
    <x v="58"/>
  </r>
  <r>
    <x v="42"/>
  </r>
  <r>
    <x v="54"/>
  </r>
  <r>
    <x v="1"/>
  </r>
  <r>
    <x v="13"/>
  </r>
  <r>
    <x v="44"/>
  </r>
  <r>
    <x v="47"/>
  </r>
  <r>
    <x v="0"/>
  </r>
  <r>
    <x v="12"/>
  </r>
  <r>
    <x v="4"/>
  </r>
  <r>
    <x v="14"/>
  </r>
  <r>
    <x v="57"/>
  </r>
  <r>
    <x v="7"/>
  </r>
  <r>
    <x v="15"/>
  </r>
  <r>
    <x v="46"/>
  </r>
  <r>
    <x v="58"/>
  </r>
  <r>
    <x v="23"/>
  </r>
  <r>
    <x v="42"/>
  </r>
  <r>
    <x v="25"/>
  </r>
  <r>
    <x v="37"/>
  </r>
  <r>
    <x v="44"/>
  </r>
  <r>
    <x v="61"/>
  </r>
  <r>
    <x v="52"/>
  </r>
  <r>
    <x v="47"/>
  </r>
  <r>
    <x v="12"/>
  </r>
  <r>
    <x v="51"/>
  </r>
  <r>
    <x v="62"/>
  </r>
  <r>
    <x v="57"/>
  </r>
  <r>
    <x v="46"/>
  </r>
  <r>
    <x v="20"/>
  </r>
  <r>
    <x v="63"/>
  </r>
  <r>
    <x v="23"/>
  </r>
  <r>
    <x v="37"/>
  </r>
  <r>
    <x v="25"/>
  </r>
  <r>
    <x v="32"/>
  </r>
  <r>
    <x v="28"/>
  </r>
  <r>
    <x v="44"/>
  </r>
  <r>
    <x v="13"/>
  </r>
  <r>
    <x v="14"/>
  </r>
  <r>
    <x v="12"/>
  </r>
  <r>
    <x v="7"/>
  </r>
  <r>
    <x v="23"/>
  </r>
  <r>
    <x v="58"/>
  </r>
  <r>
    <x v="42"/>
  </r>
  <r>
    <x v="18"/>
  </r>
  <r>
    <x v="13"/>
  </r>
  <r>
    <x v="61"/>
  </r>
  <r>
    <x v="14"/>
  </r>
  <r>
    <x v="13"/>
  </r>
  <r>
    <x v="7"/>
  </r>
  <r>
    <x v="42"/>
  </r>
  <r>
    <x v="13"/>
  </r>
  <r>
    <x v="13"/>
  </r>
  <r>
    <x v="32"/>
  </r>
  <r>
    <x v="18"/>
  </r>
  <r>
    <x v="64"/>
  </r>
  <r>
    <x v="4"/>
  </r>
  <r>
    <x v="65"/>
  </r>
  <r>
    <x v="23"/>
  </r>
  <r>
    <x v="66"/>
  </r>
  <r>
    <x v="33"/>
  </r>
  <r>
    <x v="1"/>
  </r>
  <r>
    <x v="15"/>
  </r>
  <r>
    <x v="42"/>
  </r>
  <r>
    <x v="0"/>
  </r>
  <r>
    <x v="7"/>
  </r>
  <r>
    <x v="14"/>
  </r>
  <r>
    <x v="37"/>
  </r>
  <r>
    <x v="13"/>
  </r>
  <r>
    <x v="63"/>
  </r>
  <r>
    <x v="18"/>
  </r>
  <r>
    <x v="12"/>
  </r>
  <r>
    <x v="4"/>
  </r>
  <r>
    <x v="35"/>
  </r>
  <r>
    <x v="23"/>
  </r>
  <r>
    <x v="25"/>
  </r>
  <r>
    <x v="67"/>
  </r>
  <r>
    <x v="15"/>
  </r>
  <r>
    <x v="58"/>
  </r>
  <r>
    <x v="7"/>
  </r>
  <r>
    <x v="0"/>
  </r>
  <r>
    <x v="68"/>
  </r>
  <r>
    <x v="52"/>
  </r>
  <r>
    <x v="14"/>
  </r>
  <r>
    <x v="63"/>
  </r>
  <r>
    <x v="46"/>
  </r>
  <r>
    <x v="12"/>
  </r>
  <r>
    <x v="8"/>
  </r>
  <r>
    <x v="69"/>
  </r>
  <r>
    <x v="25"/>
  </r>
  <r>
    <x v="35"/>
  </r>
  <r>
    <x v="70"/>
  </r>
  <r>
    <x v="67"/>
  </r>
  <r>
    <x v="71"/>
  </r>
  <r>
    <x v="58"/>
  </r>
  <r>
    <x v="59"/>
  </r>
  <r>
    <x v="72"/>
  </r>
  <r>
    <x v="52"/>
  </r>
  <r>
    <x v="68"/>
  </r>
  <r>
    <x v="11"/>
  </r>
  <r>
    <x v="13"/>
  </r>
  <r>
    <x v="4"/>
  </r>
  <r>
    <x v="18"/>
  </r>
  <r>
    <x v="25"/>
  </r>
  <r>
    <x v="15"/>
  </r>
  <r>
    <x v="11"/>
  </r>
  <r>
    <x v="7"/>
  </r>
  <r>
    <x v="14"/>
  </r>
  <r>
    <x v="13"/>
  </r>
  <r>
    <x v="15"/>
  </r>
  <r>
    <x v="18"/>
  </r>
  <r>
    <x v="7"/>
  </r>
  <r>
    <x v="13"/>
  </r>
  <r>
    <x v="25"/>
  </r>
  <r>
    <x v="13"/>
  </r>
  <r>
    <x v="15"/>
  </r>
  <r>
    <x v="57"/>
  </r>
  <r>
    <x v="6"/>
  </r>
  <r>
    <x v="42"/>
  </r>
  <r>
    <x v="4"/>
  </r>
  <r>
    <x v="18"/>
  </r>
  <r>
    <x v="38"/>
  </r>
  <r>
    <x v="73"/>
  </r>
  <r>
    <x v="13"/>
  </r>
  <r>
    <x v="35"/>
  </r>
  <r>
    <x v="58"/>
  </r>
  <r>
    <x v="15"/>
  </r>
  <r>
    <x v="74"/>
  </r>
  <r>
    <x v="70"/>
  </r>
  <r>
    <x v="7"/>
  </r>
  <r>
    <x v="39"/>
  </r>
  <r>
    <x v="14"/>
  </r>
  <r>
    <x v="57"/>
  </r>
  <r>
    <x v="4"/>
  </r>
  <r>
    <x v="55"/>
  </r>
  <r>
    <x v="0"/>
  </r>
  <r>
    <x v="13"/>
  </r>
  <r>
    <x v="62"/>
  </r>
  <r>
    <x v="18"/>
  </r>
  <r>
    <x v="35"/>
  </r>
  <r>
    <x v="71"/>
  </r>
  <r>
    <x v="47"/>
  </r>
  <r>
    <x v="75"/>
  </r>
  <r>
    <x v="15"/>
  </r>
  <r>
    <x v="7"/>
  </r>
  <r>
    <x v="25"/>
  </r>
  <r>
    <x v="5"/>
  </r>
  <r>
    <x v="14"/>
  </r>
  <r>
    <x v="23"/>
  </r>
  <r>
    <x v="0"/>
  </r>
  <r>
    <x v="51"/>
  </r>
  <r>
    <x v="55"/>
  </r>
  <r>
    <x v="62"/>
  </r>
  <r>
    <x v="1"/>
  </r>
  <r>
    <x v="71"/>
  </r>
  <r>
    <x v="33"/>
  </r>
  <r>
    <x v="75"/>
  </r>
  <r>
    <x v="8"/>
  </r>
  <r>
    <x v="44"/>
  </r>
  <r>
    <x v="47"/>
  </r>
  <r>
    <x v="25"/>
  </r>
  <r>
    <x v="26"/>
  </r>
  <r>
    <x v="5"/>
  </r>
  <r>
    <x v="11"/>
  </r>
  <r>
    <x v="6"/>
  </r>
  <r>
    <x v="1"/>
  </r>
  <r>
    <x v="13"/>
  </r>
  <r>
    <x v="4"/>
  </r>
  <r>
    <x v="35"/>
  </r>
  <r>
    <x v="7"/>
  </r>
  <r>
    <x v="8"/>
  </r>
  <r>
    <x v="14"/>
  </r>
  <r>
    <x v="35"/>
  </r>
  <r>
    <x v="6"/>
  </r>
  <r>
    <x v="4"/>
  </r>
  <r>
    <x v="8"/>
  </r>
  <r>
    <x v="6"/>
  </r>
  <r>
    <x v="13"/>
  </r>
  <r>
    <x v="6"/>
  </r>
  <r>
    <x v="35"/>
  </r>
  <r>
    <x v="7"/>
  </r>
  <r>
    <x v="23"/>
  </r>
  <r>
    <x v="14"/>
  </r>
  <r>
    <x v="5"/>
  </r>
  <r>
    <x v="49"/>
  </r>
  <r>
    <x v="6"/>
  </r>
  <r>
    <x v="18"/>
  </r>
  <r>
    <x v="70"/>
  </r>
  <r>
    <x v="11"/>
  </r>
  <r>
    <x v="0"/>
  </r>
  <r>
    <x v="4"/>
  </r>
  <r>
    <x v="13"/>
  </r>
  <r>
    <x v="76"/>
  </r>
  <r>
    <x v="71"/>
  </r>
  <r>
    <x v="28"/>
  </r>
  <r>
    <x v="7"/>
  </r>
  <r>
    <x v="54"/>
  </r>
  <r>
    <x v="33"/>
  </r>
  <r>
    <x v="14"/>
  </r>
  <r>
    <x v="47"/>
  </r>
  <r>
    <x v="49"/>
  </r>
  <r>
    <x v="6"/>
  </r>
  <r>
    <x v="58"/>
  </r>
  <r>
    <x v="15"/>
  </r>
  <r>
    <x v="11"/>
  </r>
  <r>
    <x v="39"/>
  </r>
  <r>
    <x v="4"/>
  </r>
  <r>
    <x v="13"/>
  </r>
  <r>
    <x v="51"/>
  </r>
  <r>
    <x v="28"/>
  </r>
  <r>
    <x v="42"/>
  </r>
  <r>
    <x v="1"/>
  </r>
  <r>
    <x v="33"/>
  </r>
  <r>
    <x v="35"/>
  </r>
  <r>
    <x v="47"/>
  </r>
  <r>
    <x v="59"/>
  </r>
  <r>
    <x v="15"/>
  </r>
  <r>
    <x v="46"/>
  </r>
  <r>
    <x v="58"/>
  </r>
  <r>
    <x v="55"/>
  </r>
  <r>
    <x v="51"/>
  </r>
  <r>
    <x v="77"/>
  </r>
  <r>
    <x v="39"/>
  </r>
  <r>
    <x v="63"/>
  </r>
  <r>
    <x v="1"/>
  </r>
  <r>
    <x v="25"/>
  </r>
  <r>
    <x v="42"/>
  </r>
  <r>
    <x v="38"/>
  </r>
  <r>
    <x v="7"/>
  </r>
  <r>
    <x v="49"/>
  </r>
  <r>
    <x v="0"/>
  </r>
  <r>
    <x v="13"/>
  </r>
  <r>
    <x v="7"/>
  </r>
  <r>
    <x v="0"/>
  </r>
  <r>
    <x v="7"/>
  </r>
  <r>
    <x v="7"/>
  </r>
  <r>
    <x v="13"/>
  </r>
  <r>
    <x v="35"/>
  </r>
  <r>
    <x v="35"/>
  </r>
  <r>
    <x v="4"/>
  </r>
  <r>
    <x v="35"/>
  </r>
  <r>
    <x v="46"/>
  </r>
  <r>
    <x v="4"/>
  </r>
  <r>
    <x v="28"/>
  </r>
  <r>
    <x v="7"/>
  </r>
  <r>
    <x v="49"/>
  </r>
  <r>
    <x v="35"/>
  </r>
  <r>
    <x v="46"/>
  </r>
  <r>
    <x v="0"/>
  </r>
  <r>
    <x v="13"/>
  </r>
  <r>
    <x v="4"/>
  </r>
  <r>
    <x v="28"/>
  </r>
  <r>
    <x v="0"/>
  </r>
  <r>
    <x v="7"/>
  </r>
  <r>
    <x v="4"/>
  </r>
  <r>
    <x v="35"/>
  </r>
  <r>
    <x v="7"/>
  </r>
  <r>
    <x v="35"/>
  </r>
  <r>
    <x v="7"/>
  </r>
  <r>
    <x v="13"/>
  </r>
  <r>
    <x v="23"/>
  </r>
  <r>
    <x v="28"/>
  </r>
  <r>
    <x v="7"/>
  </r>
  <r>
    <x v="27"/>
  </r>
  <r>
    <x v="0"/>
  </r>
  <r>
    <x v="23"/>
  </r>
  <r>
    <x v="53"/>
  </r>
  <r>
    <x v="8"/>
  </r>
  <r>
    <x v="27"/>
  </r>
  <r>
    <x v="0"/>
  </r>
  <r>
    <x v="23"/>
  </r>
  <r>
    <x v="53"/>
  </r>
  <r>
    <x v="28"/>
  </r>
  <r>
    <x v="3"/>
  </r>
  <r>
    <x v="5"/>
  </r>
  <r>
    <x v="1"/>
  </r>
  <r>
    <x v="2"/>
  </r>
  <r>
    <x v="4"/>
  </r>
  <r>
    <x v="0"/>
  </r>
  <r>
    <x v="78"/>
  </r>
  <r>
    <x v="35"/>
  </r>
  <r>
    <x v="4"/>
  </r>
  <r>
    <x v="28"/>
  </r>
  <r>
    <x v="7"/>
  </r>
  <r>
    <x v="1"/>
  </r>
  <r>
    <x v="3"/>
  </r>
  <r>
    <x v="11"/>
  </r>
  <r>
    <x v="12"/>
  </r>
  <r>
    <x v="14"/>
  </r>
  <r>
    <x v="10"/>
  </r>
  <r>
    <x v="14"/>
  </r>
  <r>
    <x v="9"/>
  </r>
  <r>
    <x v="13"/>
  </r>
  <r>
    <x v="9"/>
  </r>
  <r>
    <x v="16"/>
  </r>
  <r>
    <x v="13"/>
  </r>
  <r>
    <x v="79"/>
  </r>
  <r>
    <x v="28"/>
  </r>
  <r>
    <x v="3"/>
  </r>
  <r>
    <x v="50"/>
  </r>
  <r>
    <x v="32"/>
  </r>
  <r>
    <x v="35"/>
  </r>
  <r>
    <x v="3"/>
  </r>
  <r>
    <x v="13"/>
  </r>
  <r>
    <x v="16"/>
  </r>
  <r>
    <x v="11"/>
  </r>
  <r>
    <x v="17"/>
  </r>
  <r>
    <x v="0"/>
  </r>
  <r>
    <x v="16"/>
  </r>
  <r>
    <x v="12"/>
  </r>
  <r>
    <x v="7"/>
  </r>
  <r>
    <x v="12"/>
  </r>
  <r>
    <x v="10"/>
  </r>
  <r>
    <x v="23"/>
  </r>
  <r>
    <x v="5"/>
  </r>
  <r>
    <x v="1"/>
  </r>
  <r>
    <x v="15"/>
  </r>
  <r>
    <x v="11"/>
  </r>
  <r>
    <x v="11"/>
  </r>
  <r>
    <x v="23"/>
  </r>
  <r>
    <x v="5"/>
  </r>
  <r>
    <x v="8"/>
  </r>
  <r>
    <x v="18"/>
  </r>
  <r>
    <x v="2"/>
  </r>
  <r>
    <x v="18"/>
  </r>
  <r>
    <x v="8"/>
  </r>
  <r>
    <x v="53"/>
  </r>
  <r>
    <x v="23"/>
  </r>
  <r>
    <x v="1"/>
  </r>
  <r>
    <x v="14"/>
  </r>
  <r>
    <x v="12"/>
  </r>
  <r>
    <x v="14"/>
  </r>
  <r>
    <x v="12"/>
  </r>
  <r>
    <x v="14"/>
  </r>
  <r>
    <x v="7"/>
  </r>
  <r>
    <x v="16"/>
  </r>
  <r>
    <x v="34"/>
  </r>
  <r>
    <x v="23"/>
  </r>
  <r>
    <x v="0"/>
  </r>
  <r>
    <x v="20"/>
  </r>
  <r>
    <x v="42"/>
  </r>
  <r>
    <x v="28"/>
  </r>
  <r>
    <x v="15"/>
  </r>
  <r>
    <x v="34"/>
  </r>
  <r>
    <x v="16"/>
  </r>
  <r>
    <x v="23"/>
  </r>
  <r>
    <x v="2"/>
  </r>
  <r>
    <x v="19"/>
  </r>
  <r>
    <x v="42"/>
  </r>
  <r>
    <x v="11"/>
  </r>
  <r>
    <x v="28"/>
  </r>
  <r>
    <x v="20"/>
  </r>
  <r>
    <x v="15"/>
  </r>
  <r>
    <x v="18"/>
  </r>
  <r>
    <x v="11"/>
  </r>
  <r>
    <x v="2"/>
  </r>
  <r>
    <x v="7"/>
  </r>
  <r>
    <x v="9"/>
  </r>
  <r>
    <x v="6"/>
  </r>
  <r>
    <x v="6"/>
  </r>
  <r>
    <x v="10"/>
  </r>
  <r>
    <x v="23"/>
  </r>
  <r>
    <x v="18"/>
  </r>
  <r>
    <x v="19"/>
  </r>
  <r>
    <x v="24"/>
  </r>
  <r>
    <x v="8"/>
  </r>
  <r>
    <x v="34"/>
  </r>
  <r>
    <x v="9"/>
  </r>
  <r>
    <x v="16"/>
  </r>
  <r>
    <x v="18"/>
  </r>
  <r>
    <x v="24"/>
  </r>
  <r>
    <x v="34"/>
  </r>
  <r>
    <x v="0"/>
  </r>
  <r>
    <x v="9"/>
  </r>
  <r>
    <x v="16"/>
  </r>
  <r>
    <x v="22"/>
  </r>
  <r>
    <x v="10"/>
  </r>
  <r>
    <x v="24"/>
  </r>
  <r>
    <x v="21"/>
  </r>
  <r>
    <x v="22"/>
  </r>
  <r>
    <x v="23"/>
  </r>
  <r>
    <x v="2"/>
  </r>
  <r>
    <x v="34"/>
  </r>
  <r>
    <x v="9"/>
  </r>
  <r>
    <x v="4"/>
  </r>
  <r>
    <x v="18"/>
  </r>
  <r>
    <x v="16"/>
  </r>
  <r>
    <x v="10"/>
  </r>
  <r>
    <x v="24"/>
  </r>
  <r>
    <x v="2"/>
  </r>
  <r>
    <x v="21"/>
  </r>
  <r>
    <x v="22"/>
  </r>
  <r>
    <x v="19"/>
  </r>
  <r>
    <x v="0"/>
  </r>
  <r>
    <x v="19"/>
  </r>
  <r>
    <x v="12"/>
  </r>
  <r>
    <x v="49"/>
  </r>
  <r>
    <x v="23"/>
  </r>
  <r>
    <x v="29"/>
  </r>
  <r>
    <x v="11"/>
  </r>
  <r>
    <x v="2"/>
  </r>
  <r>
    <x v="14"/>
  </r>
  <r>
    <x v="18"/>
  </r>
  <r>
    <x v="15"/>
  </r>
  <r>
    <x v="6"/>
  </r>
  <r>
    <x v="16"/>
  </r>
  <r>
    <x v="4"/>
  </r>
  <r>
    <x v="15"/>
  </r>
  <r>
    <x v="49"/>
  </r>
  <r>
    <x v="23"/>
  </r>
  <r>
    <x v="29"/>
  </r>
  <r>
    <x v="11"/>
  </r>
  <r>
    <x v="6"/>
  </r>
  <r>
    <x v="14"/>
  </r>
  <r>
    <x v="4"/>
  </r>
  <r>
    <x v="5"/>
  </r>
  <r>
    <x v="49"/>
  </r>
  <r>
    <x v="16"/>
  </r>
  <r>
    <x v="29"/>
  </r>
  <r>
    <x v="11"/>
  </r>
  <r>
    <x v="21"/>
  </r>
  <r>
    <x v="18"/>
  </r>
  <r>
    <x v="10"/>
  </r>
  <r>
    <x v="19"/>
  </r>
  <r>
    <x v="2"/>
  </r>
  <r>
    <x v="5"/>
  </r>
  <r>
    <x v="2"/>
  </r>
  <r>
    <x v="16"/>
  </r>
  <r>
    <x v="6"/>
  </r>
  <r>
    <x v="11"/>
  </r>
  <r>
    <x v="29"/>
  </r>
  <r>
    <x v="26"/>
  </r>
  <r>
    <x v="23"/>
  </r>
  <r>
    <x v="10"/>
  </r>
  <r>
    <x v="14"/>
  </r>
  <r>
    <x v="5"/>
  </r>
  <r>
    <x v="0"/>
  </r>
  <r>
    <x v="11"/>
  </r>
  <r>
    <x v="7"/>
  </r>
  <r>
    <x v="5"/>
  </r>
  <r>
    <x v="29"/>
  </r>
  <r>
    <x v="4"/>
  </r>
  <r>
    <x v="15"/>
  </r>
  <r>
    <x v="23"/>
  </r>
  <r>
    <x v="23"/>
  </r>
  <r>
    <x v="11"/>
  </r>
  <r>
    <x v="7"/>
  </r>
  <r>
    <x v="15"/>
  </r>
  <r>
    <x v="0"/>
  </r>
  <r>
    <x v="29"/>
  </r>
  <r>
    <x v="14"/>
  </r>
  <r>
    <x v="5"/>
  </r>
  <r>
    <x v="4"/>
  </r>
  <r>
    <x v="6"/>
  </r>
  <r>
    <x v="10"/>
  </r>
  <r>
    <x v="26"/>
  </r>
  <r>
    <x v="21"/>
  </r>
  <r>
    <x v="25"/>
  </r>
  <r>
    <x v="21"/>
  </r>
  <r>
    <x v="19"/>
  </r>
  <r>
    <x v="21"/>
  </r>
  <r>
    <x v="80"/>
  </r>
  <r>
    <x v="29"/>
  </r>
  <r>
    <x v="3"/>
  </r>
  <r>
    <x v="12"/>
  </r>
  <r>
    <x v="41"/>
  </r>
  <r>
    <x v="16"/>
  </r>
  <r>
    <x v="81"/>
  </r>
  <r>
    <x v="15"/>
  </r>
  <r>
    <x v="41"/>
  </r>
  <r>
    <x v="16"/>
  </r>
  <r>
    <x v="28"/>
  </r>
  <r>
    <x v="80"/>
  </r>
  <r>
    <x v="29"/>
  </r>
  <r>
    <x v="18"/>
  </r>
  <r>
    <x v="81"/>
  </r>
  <r>
    <x v="6"/>
  </r>
  <r>
    <x v="27"/>
  </r>
  <r>
    <x v="3"/>
  </r>
  <r>
    <x v="81"/>
  </r>
  <r>
    <x v="80"/>
  </r>
  <r>
    <x v="41"/>
  </r>
  <r>
    <x v="16"/>
  </r>
  <r>
    <x v="28"/>
  </r>
  <r>
    <x v="23"/>
  </r>
  <r>
    <x v="18"/>
  </r>
  <r>
    <x v="27"/>
  </r>
  <r>
    <x v="21"/>
  </r>
  <r>
    <x v="6"/>
  </r>
  <r>
    <x v="19"/>
  </r>
  <r>
    <x v="6"/>
  </r>
  <r>
    <x v="15"/>
  </r>
  <r>
    <x v="2"/>
  </r>
  <r>
    <x v="5"/>
  </r>
  <r>
    <x v="33"/>
  </r>
  <r>
    <x v="34"/>
  </r>
  <r>
    <x v="35"/>
  </r>
  <r>
    <x v="29"/>
  </r>
  <r>
    <x v="36"/>
  </r>
  <r>
    <x v="4"/>
  </r>
  <r>
    <x v="19"/>
  </r>
  <r>
    <x v="7"/>
  </r>
  <r>
    <x v="30"/>
  </r>
  <r>
    <x v="31"/>
  </r>
  <r>
    <x v="12"/>
  </r>
  <r>
    <x v="6"/>
  </r>
  <r>
    <x v="32"/>
  </r>
  <r>
    <x v="15"/>
  </r>
  <r>
    <x v="2"/>
  </r>
  <r>
    <x v="5"/>
  </r>
  <r>
    <x v="7"/>
  </r>
  <r>
    <x v="19"/>
  </r>
  <r>
    <x v="35"/>
  </r>
  <r>
    <x v="36"/>
  </r>
  <r>
    <x v="6"/>
  </r>
  <r>
    <x v="15"/>
  </r>
  <r>
    <x v="19"/>
  </r>
  <r>
    <x v="30"/>
  </r>
  <r>
    <x v="4"/>
  </r>
  <r>
    <x v="32"/>
  </r>
  <r>
    <x v="7"/>
  </r>
  <r>
    <x v="2"/>
  </r>
  <r>
    <x v="35"/>
  </r>
  <r>
    <x v="12"/>
  </r>
  <r>
    <x v="19"/>
  </r>
  <r>
    <x v="7"/>
  </r>
  <r>
    <x v="30"/>
  </r>
  <r>
    <x v="2"/>
  </r>
  <r>
    <x v="32"/>
  </r>
  <r>
    <x v="19"/>
  </r>
  <r>
    <x v="32"/>
  </r>
  <r>
    <x v="0"/>
  </r>
  <r>
    <x v="23"/>
  </r>
  <r>
    <x v="10"/>
  </r>
  <r>
    <x v="7"/>
  </r>
  <r>
    <x v="14"/>
  </r>
  <r>
    <x v="34"/>
  </r>
  <r>
    <x v="76"/>
  </r>
  <r>
    <x v="10"/>
  </r>
  <r>
    <x v="37"/>
  </r>
  <r>
    <x v="23"/>
  </r>
  <r>
    <x v="0"/>
  </r>
  <r>
    <x v="14"/>
  </r>
  <r>
    <x v="12"/>
  </r>
  <r>
    <x v="76"/>
  </r>
  <r>
    <x v="27"/>
  </r>
  <r>
    <x v="10"/>
  </r>
  <r>
    <x v="23"/>
  </r>
  <r>
    <x v="37"/>
  </r>
  <r>
    <x v="4"/>
  </r>
  <r>
    <x v="9"/>
  </r>
  <r>
    <x v="12"/>
  </r>
  <r>
    <x v="69"/>
  </r>
  <r>
    <x v="35"/>
  </r>
  <r>
    <x v="15"/>
  </r>
  <r>
    <x v="9"/>
  </r>
  <r>
    <x v="27"/>
  </r>
  <r>
    <x v="32"/>
  </r>
  <r>
    <x v="27"/>
  </r>
  <r>
    <x v="9"/>
  </r>
  <r>
    <x v="35"/>
  </r>
  <r>
    <x v="7"/>
  </r>
  <r>
    <x v="15"/>
  </r>
  <r>
    <x v="19"/>
  </r>
  <r>
    <x v="32"/>
  </r>
  <r>
    <x v="27"/>
  </r>
  <r>
    <x v="15"/>
  </r>
  <r>
    <x v="35"/>
  </r>
  <r>
    <x v="28"/>
  </r>
  <r>
    <x v="32"/>
  </r>
  <r>
    <x v="21"/>
  </r>
  <r>
    <x v="47"/>
  </r>
  <r>
    <x v="81"/>
  </r>
  <r>
    <x v="74"/>
  </r>
  <r>
    <x v="38"/>
  </r>
  <r>
    <x v="0"/>
  </r>
  <r>
    <x v="39"/>
  </r>
  <r>
    <x v="9"/>
  </r>
  <r>
    <x v="82"/>
  </r>
  <r>
    <x v="22"/>
  </r>
  <r>
    <x v="27"/>
  </r>
  <r>
    <x v="10"/>
  </r>
  <r>
    <x v="34"/>
  </r>
  <r>
    <x v="47"/>
  </r>
  <r>
    <x v="81"/>
  </r>
  <r>
    <x v="74"/>
  </r>
  <r>
    <x v="5"/>
  </r>
  <r>
    <x v="16"/>
  </r>
  <r>
    <x v="2"/>
  </r>
  <r>
    <x v="9"/>
  </r>
  <r>
    <x v="82"/>
  </r>
  <r>
    <x v="22"/>
  </r>
  <r>
    <x v="27"/>
  </r>
  <r>
    <x v="10"/>
  </r>
  <r>
    <x v="34"/>
  </r>
  <r>
    <x v="47"/>
  </r>
  <r>
    <x v="81"/>
  </r>
  <r>
    <x v="74"/>
  </r>
  <r>
    <x v="5"/>
  </r>
  <r>
    <x v="16"/>
  </r>
  <r>
    <x v="2"/>
  </r>
  <r>
    <x v="9"/>
  </r>
  <r>
    <x v="82"/>
  </r>
  <r>
    <x v="14"/>
  </r>
  <r>
    <x v="0"/>
  </r>
  <r>
    <x v="28"/>
  </r>
  <r>
    <x v="4"/>
  </r>
  <r>
    <x v="18"/>
  </r>
  <r>
    <x v="22"/>
  </r>
  <r>
    <x v="21"/>
  </r>
  <r>
    <x v="7"/>
  </r>
  <r>
    <x v="14"/>
  </r>
  <r>
    <x v="22"/>
  </r>
  <r>
    <x v="21"/>
  </r>
  <r>
    <x v="7"/>
  </r>
  <r>
    <x v="18"/>
  </r>
  <r>
    <x v="15"/>
  </r>
  <r>
    <x v="0"/>
  </r>
  <r>
    <x v="0"/>
  </r>
  <r>
    <x v="19"/>
  </r>
  <r>
    <x v="15"/>
  </r>
  <r>
    <x v="0"/>
  </r>
  <r>
    <x v="7"/>
  </r>
  <r>
    <x v="10"/>
  </r>
  <r>
    <x v="42"/>
  </r>
  <r>
    <x v="32"/>
  </r>
  <r>
    <x v="22"/>
  </r>
  <r>
    <x v="23"/>
  </r>
  <r>
    <x v="18"/>
  </r>
  <r>
    <x v="43"/>
  </r>
  <r>
    <x v="44"/>
  </r>
  <r>
    <x v="19"/>
  </r>
  <r>
    <x v="4"/>
  </r>
  <r>
    <x v="21"/>
  </r>
  <r>
    <x v="29"/>
  </r>
  <r>
    <x v="40"/>
  </r>
  <r>
    <x v="38"/>
  </r>
  <r>
    <x v="41"/>
  </r>
  <r>
    <x v="14"/>
  </r>
  <r>
    <x v="8"/>
  </r>
  <r>
    <x v="25"/>
  </r>
  <r>
    <x v="28"/>
  </r>
  <r>
    <x v="6"/>
  </r>
  <r>
    <x v="34"/>
  </r>
  <r>
    <x v="0"/>
  </r>
  <r>
    <x v="40"/>
  </r>
  <r>
    <x v="15"/>
  </r>
  <r>
    <x v="29"/>
  </r>
  <r>
    <x v="28"/>
  </r>
  <r>
    <x v="23"/>
  </r>
  <r>
    <x v="41"/>
  </r>
  <r>
    <x v="32"/>
  </r>
  <r>
    <x v="7"/>
  </r>
  <r>
    <x v="14"/>
  </r>
  <r>
    <x v="6"/>
  </r>
  <r>
    <x v="19"/>
  </r>
  <r>
    <x v="28"/>
  </r>
  <r>
    <x v="29"/>
  </r>
  <r>
    <x v="6"/>
  </r>
  <r>
    <x v="32"/>
  </r>
  <r>
    <x v="0"/>
  </r>
  <r>
    <x v="19"/>
  </r>
  <r>
    <x v="8"/>
  </r>
  <r>
    <x v="14"/>
  </r>
  <r>
    <x v="0"/>
  </r>
  <r>
    <x v="23"/>
  </r>
  <r>
    <x v="28"/>
  </r>
  <r>
    <x v="18"/>
  </r>
  <r>
    <x v="19"/>
  </r>
  <r>
    <x v="28"/>
  </r>
  <r>
    <x v="28"/>
  </r>
  <r>
    <x v="19"/>
  </r>
  <r>
    <x v="47"/>
  </r>
  <r>
    <x v="3"/>
  </r>
  <r>
    <x v="49"/>
  </r>
  <r>
    <x v="9"/>
  </r>
  <r>
    <x v="16"/>
  </r>
  <r>
    <x v="12"/>
  </r>
  <r>
    <x v="2"/>
  </r>
  <r>
    <x v="34"/>
  </r>
  <r>
    <x v="48"/>
  </r>
  <r>
    <x v="42"/>
  </r>
  <r>
    <x v="78"/>
  </r>
  <r>
    <x v="14"/>
  </r>
  <r>
    <x v="21"/>
  </r>
  <r>
    <x v="3"/>
  </r>
  <r>
    <x v="49"/>
  </r>
  <r>
    <x v="1"/>
  </r>
  <r>
    <x v="16"/>
  </r>
  <r>
    <x v="45"/>
  </r>
  <r>
    <x v="46"/>
  </r>
  <r>
    <x v="34"/>
  </r>
  <r>
    <x v="35"/>
  </r>
  <r>
    <x v="78"/>
  </r>
  <r>
    <x v="14"/>
  </r>
  <r>
    <x v="6"/>
  </r>
  <r>
    <x v="3"/>
  </r>
  <r>
    <x v="21"/>
  </r>
  <r>
    <x v="49"/>
  </r>
  <r>
    <x v="45"/>
  </r>
  <r>
    <x v="16"/>
  </r>
  <r>
    <x v="1"/>
  </r>
  <r>
    <x v="34"/>
  </r>
  <r>
    <x v="46"/>
  </r>
  <r>
    <x v="6"/>
  </r>
  <r>
    <x v="14"/>
  </r>
  <r>
    <x v="35"/>
  </r>
  <r>
    <x v="78"/>
  </r>
  <r>
    <x v="49"/>
  </r>
  <r>
    <x v="46"/>
  </r>
  <r>
    <x v="4"/>
  </r>
  <r>
    <x v="35"/>
  </r>
  <r>
    <x v="3"/>
  </r>
  <r>
    <x v="6"/>
  </r>
  <r>
    <x v="2"/>
  </r>
  <r>
    <x v="28"/>
  </r>
  <r>
    <x v="4"/>
  </r>
  <r>
    <x v="48"/>
  </r>
  <r>
    <x v="16"/>
  </r>
  <r>
    <x v="47"/>
  </r>
  <r>
    <x v="4"/>
  </r>
  <r>
    <x v="18"/>
  </r>
  <r>
    <x v="18"/>
  </r>
  <r>
    <x v="4"/>
  </r>
  <r>
    <x v="42"/>
  </r>
  <r>
    <x v="53"/>
  </r>
  <r>
    <x v="11"/>
  </r>
  <r>
    <x v="48"/>
  </r>
  <r>
    <x v="3"/>
  </r>
  <r>
    <x v="41"/>
  </r>
  <r>
    <x v="23"/>
  </r>
  <r>
    <x v="12"/>
  </r>
  <r>
    <x v="52"/>
  </r>
  <r>
    <x v="54"/>
  </r>
  <r>
    <x v="55"/>
  </r>
  <r>
    <x v="29"/>
  </r>
  <r>
    <x v="14"/>
  </r>
  <r>
    <x v="11"/>
  </r>
  <r>
    <x v="49"/>
  </r>
  <r>
    <x v="50"/>
  </r>
  <r>
    <x v="53"/>
  </r>
  <r>
    <x v="48"/>
  </r>
  <r>
    <x v="54"/>
  </r>
  <r>
    <x v="47"/>
  </r>
  <r>
    <x v="35"/>
  </r>
  <r>
    <x v="41"/>
  </r>
  <r>
    <x v="51"/>
  </r>
  <r>
    <x v="55"/>
  </r>
  <r>
    <x v="3"/>
  </r>
  <r>
    <x v="49"/>
  </r>
  <r>
    <x v="42"/>
  </r>
  <r>
    <x v="14"/>
  </r>
  <r>
    <x v="50"/>
  </r>
  <r>
    <x v="12"/>
  </r>
  <r>
    <x v="23"/>
  </r>
  <r>
    <x v="47"/>
  </r>
  <r>
    <x v="35"/>
  </r>
  <r>
    <x v="52"/>
  </r>
  <r>
    <x v="51"/>
  </r>
  <r>
    <x v="29"/>
  </r>
  <r>
    <x v="28"/>
  </r>
  <r>
    <x v="11"/>
  </r>
  <r>
    <x v="12"/>
  </r>
  <r>
    <x v="4"/>
  </r>
  <r>
    <x v="48"/>
  </r>
  <r>
    <x v="1"/>
  </r>
  <r>
    <x v="15"/>
  </r>
  <r>
    <x v="29"/>
  </r>
  <r>
    <x v="14"/>
  </r>
  <r>
    <x v="7"/>
  </r>
  <r>
    <x v="13"/>
  </r>
  <r>
    <x v="12"/>
  </r>
  <r>
    <x v="15"/>
  </r>
  <r>
    <x v="7"/>
  </r>
  <r>
    <x v="29"/>
  </r>
  <r>
    <x v="15"/>
  </r>
  <r>
    <x v="34"/>
  </r>
  <r>
    <x v="50"/>
  </r>
  <r>
    <x v="5"/>
  </r>
  <r>
    <x v="9"/>
  </r>
  <r>
    <x v="29"/>
  </r>
  <r>
    <x v="44"/>
  </r>
  <r>
    <x v="57"/>
  </r>
  <r>
    <x v="51"/>
  </r>
  <r>
    <x v="23"/>
  </r>
  <r>
    <x v="28"/>
  </r>
  <r>
    <x v="58"/>
  </r>
  <r>
    <x v="69"/>
  </r>
  <r>
    <x v="59"/>
  </r>
  <r>
    <x v="37"/>
  </r>
  <r>
    <x v="49"/>
  </r>
  <r>
    <x v="1"/>
  </r>
  <r>
    <x v="50"/>
  </r>
  <r>
    <x v="41"/>
  </r>
  <r>
    <x v="9"/>
  </r>
  <r>
    <x v="47"/>
  </r>
  <r>
    <x v="44"/>
  </r>
  <r>
    <x v="52"/>
  </r>
  <r>
    <x v="29"/>
  </r>
  <r>
    <x v="8"/>
  </r>
  <r>
    <x v="59"/>
  </r>
  <r>
    <x v="23"/>
  </r>
  <r>
    <x v="42"/>
  </r>
  <r>
    <x v="2"/>
  </r>
  <r>
    <x v="56"/>
  </r>
  <r>
    <x v="69"/>
  </r>
  <r>
    <x v="37"/>
  </r>
  <r>
    <x v="18"/>
  </r>
  <r>
    <x v="9"/>
  </r>
  <r>
    <x v="47"/>
  </r>
  <r>
    <x v="41"/>
  </r>
  <r>
    <x v="50"/>
  </r>
  <r>
    <x v="44"/>
  </r>
  <r>
    <x v="52"/>
  </r>
  <r>
    <x v="29"/>
  </r>
  <r>
    <x v="8"/>
  </r>
  <r>
    <x v="42"/>
  </r>
  <r>
    <x v="23"/>
  </r>
  <r>
    <x v="69"/>
  </r>
  <r>
    <x v="2"/>
  </r>
  <r>
    <x v="56"/>
  </r>
  <r>
    <x v="59"/>
  </r>
  <r>
    <x v="37"/>
  </r>
  <r>
    <x v="18"/>
  </r>
  <r>
    <x v="50"/>
  </r>
  <r>
    <x v="5"/>
  </r>
  <r>
    <x v="8"/>
  </r>
  <r>
    <x v="44"/>
  </r>
  <r>
    <x v="23"/>
  </r>
  <r>
    <x v="2"/>
  </r>
  <r>
    <x v="59"/>
  </r>
  <r>
    <x v="18"/>
  </r>
  <r>
    <x v="0"/>
  </r>
  <r>
    <x v="44"/>
  </r>
  <r>
    <x v="4"/>
  </r>
  <r>
    <x v="59"/>
  </r>
  <r>
    <x v="35"/>
  </r>
  <r>
    <x v="59"/>
  </r>
  <r>
    <x v="59"/>
  </r>
  <r>
    <x v="0"/>
  </r>
  <r>
    <x v="61"/>
  </r>
  <r>
    <x v="44"/>
  </r>
  <r>
    <x v="47"/>
  </r>
  <r>
    <x v="52"/>
  </r>
  <r>
    <x v="51"/>
  </r>
  <r>
    <x v="57"/>
  </r>
  <r>
    <x v="12"/>
  </r>
  <r>
    <x v="62"/>
  </r>
  <r>
    <x v="20"/>
  </r>
  <r>
    <x v="63"/>
  </r>
  <r>
    <x v="23"/>
  </r>
  <r>
    <x v="46"/>
  </r>
  <r>
    <x v="28"/>
  </r>
  <r>
    <x v="32"/>
  </r>
  <r>
    <x v="37"/>
  </r>
  <r>
    <x v="25"/>
  </r>
  <r>
    <x v="48"/>
  </r>
  <r>
    <x v="61"/>
  </r>
  <r>
    <x v="52"/>
  </r>
  <r>
    <x v="6"/>
  </r>
  <r>
    <x v="51"/>
  </r>
  <r>
    <x v="18"/>
  </r>
  <r>
    <x v="8"/>
  </r>
  <r>
    <x v="62"/>
  </r>
  <r>
    <x v="60"/>
  </r>
  <r>
    <x v="59"/>
  </r>
  <r>
    <x v="20"/>
  </r>
  <r>
    <x v="54"/>
  </r>
  <r>
    <x v="63"/>
  </r>
  <r>
    <x v="1"/>
  </r>
  <r>
    <x v="32"/>
  </r>
  <r>
    <x v="28"/>
  </r>
  <r>
    <x v="0"/>
  </r>
  <r>
    <x v="6"/>
  </r>
  <r>
    <x v="48"/>
  </r>
  <r>
    <x v="13"/>
  </r>
  <r>
    <x v="4"/>
  </r>
  <r>
    <x v="18"/>
  </r>
  <r>
    <x v="8"/>
  </r>
  <r>
    <x v="14"/>
  </r>
  <r>
    <x v="7"/>
  </r>
  <r>
    <x v="60"/>
  </r>
  <r>
    <x v="59"/>
  </r>
  <r>
    <x v="15"/>
  </r>
  <r>
    <x v="58"/>
  </r>
  <r>
    <x v="42"/>
  </r>
  <r>
    <x v="1"/>
  </r>
  <r>
    <x v="54"/>
  </r>
  <r>
    <x v="18"/>
  </r>
  <r>
    <x v="8"/>
  </r>
  <r>
    <x v="48"/>
  </r>
  <r>
    <x v="61"/>
  </r>
  <r>
    <x v="28"/>
  </r>
  <r>
    <x v="1"/>
  </r>
  <r>
    <x v="20"/>
  </r>
  <r>
    <x v="15"/>
  </r>
  <r>
    <x v="7"/>
  </r>
  <r>
    <x v="1"/>
  </r>
  <r>
    <x v="20"/>
  </r>
  <r>
    <x v="42"/>
  </r>
  <r>
    <x v="42"/>
  </r>
  <r>
    <x v="20"/>
  </r>
  <r>
    <x v="20"/>
  </r>
  <r>
    <x v="7"/>
  </r>
  <r>
    <x v="46"/>
  </r>
  <r>
    <x v="63"/>
  </r>
  <r>
    <x v="8"/>
  </r>
  <r>
    <x v="12"/>
  </r>
  <r>
    <x v="70"/>
  </r>
  <r>
    <x v="35"/>
  </r>
  <r>
    <x v="69"/>
  </r>
  <r>
    <x v="25"/>
  </r>
  <r>
    <x v="58"/>
  </r>
  <r>
    <x v="67"/>
  </r>
  <r>
    <x v="71"/>
  </r>
  <r>
    <x v="68"/>
  </r>
  <r>
    <x v="11"/>
  </r>
  <r>
    <x v="59"/>
  </r>
  <r>
    <x v="72"/>
  </r>
  <r>
    <x v="52"/>
  </r>
  <r>
    <x v="32"/>
  </r>
  <r>
    <x v="46"/>
  </r>
  <r>
    <x v="64"/>
  </r>
  <r>
    <x v="8"/>
  </r>
  <r>
    <x v="65"/>
  </r>
  <r>
    <x v="70"/>
  </r>
  <r>
    <x v="66"/>
  </r>
  <r>
    <x v="76"/>
  </r>
  <r>
    <x v="71"/>
  </r>
  <r>
    <x v="1"/>
  </r>
  <r>
    <x v="59"/>
  </r>
  <r>
    <x v="33"/>
  </r>
  <r>
    <x v="42"/>
  </r>
  <r>
    <x v="11"/>
  </r>
  <r>
    <x v="72"/>
  </r>
  <r>
    <x v="37"/>
  </r>
  <r>
    <x v="13"/>
  </r>
  <r>
    <x v="32"/>
  </r>
  <r>
    <x v="18"/>
  </r>
  <r>
    <x v="64"/>
  </r>
  <r>
    <x v="66"/>
  </r>
  <r>
    <x v="23"/>
  </r>
  <r>
    <x v="4"/>
  </r>
  <r>
    <x v="65"/>
  </r>
  <r>
    <x v="15"/>
  </r>
  <r>
    <x v="1"/>
  </r>
  <r>
    <x v="7"/>
  </r>
  <r>
    <x v="33"/>
  </r>
  <r>
    <x v="37"/>
  </r>
  <r>
    <x v="14"/>
  </r>
  <r>
    <x v="0"/>
  </r>
  <r>
    <x v="42"/>
  </r>
  <r>
    <x v="12"/>
  </r>
  <r>
    <x v="23"/>
  </r>
  <r>
    <x v="63"/>
  </r>
  <r>
    <x v="35"/>
  </r>
  <r>
    <x v="33"/>
  </r>
  <r>
    <x v="72"/>
  </r>
  <r>
    <x v="71"/>
  </r>
  <r>
    <x v="0"/>
  </r>
  <r>
    <x v="4"/>
  </r>
  <r>
    <x v="72"/>
  </r>
  <r>
    <x v="25"/>
  </r>
  <r>
    <x v="0"/>
  </r>
  <r>
    <x v="15"/>
  </r>
  <r>
    <x v="0"/>
  </r>
  <r>
    <x v="25"/>
  </r>
  <r>
    <x v="0"/>
  </r>
  <r>
    <x v="23"/>
  </r>
  <r>
    <x v="0"/>
  </r>
  <r>
    <x v="55"/>
  </r>
  <r>
    <x v="51"/>
  </r>
  <r>
    <x v="1"/>
  </r>
  <r>
    <x v="62"/>
  </r>
  <r>
    <x v="71"/>
  </r>
  <r>
    <x v="33"/>
  </r>
  <r>
    <x v="44"/>
  </r>
  <r>
    <x v="47"/>
  </r>
  <r>
    <x v="8"/>
  </r>
  <r>
    <x v="75"/>
  </r>
  <r>
    <x v="25"/>
  </r>
  <r>
    <x v="26"/>
  </r>
  <r>
    <x v="5"/>
  </r>
  <r>
    <x v="11"/>
  </r>
  <r>
    <x v="6"/>
  </r>
  <r>
    <x v="42"/>
  </r>
  <r>
    <x v="51"/>
  </r>
  <r>
    <x v="23"/>
  </r>
  <r>
    <x v="73"/>
  </r>
  <r>
    <x v="1"/>
  </r>
  <r>
    <x v="38"/>
  </r>
  <r>
    <x v="58"/>
  </r>
  <r>
    <x v="33"/>
  </r>
  <r>
    <x v="44"/>
  </r>
  <r>
    <x v="8"/>
  </r>
  <r>
    <x v="74"/>
  </r>
  <r>
    <x v="70"/>
  </r>
  <r>
    <x v="26"/>
  </r>
  <r>
    <x v="11"/>
  </r>
  <r>
    <x v="39"/>
  </r>
  <r>
    <x v="6"/>
  </r>
  <r>
    <x v="57"/>
  </r>
  <r>
    <x v="42"/>
  </r>
  <r>
    <x v="4"/>
  </r>
  <r>
    <x v="18"/>
  </r>
  <r>
    <x v="38"/>
  </r>
  <r>
    <x v="13"/>
  </r>
  <r>
    <x v="73"/>
  </r>
  <r>
    <x v="15"/>
  </r>
  <r>
    <x v="74"/>
  </r>
  <r>
    <x v="58"/>
  </r>
  <r>
    <x v="35"/>
  </r>
  <r>
    <x v="7"/>
  </r>
  <r>
    <x v="70"/>
  </r>
  <r>
    <x v="14"/>
  </r>
  <r>
    <x v="39"/>
  </r>
  <r>
    <x v="42"/>
  </r>
  <r>
    <x v="71"/>
  </r>
  <r>
    <x v="18"/>
  </r>
  <r>
    <x v="23"/>
  </r>
  <r>
    <x v="75"/>
  </r>
  <r>
    <x v="5"/>
  </r>
  <r>
    <x v="58"/>
  </r>
  <r>
    <x v="25"/>
  </r>
  <r>
    <x v="7"/>
  </r>
  <r>
    <x v="71"/>
  </r>
  <r>
    <x v="13"/>
  </r>
  <r>
    <x v="14"/>
  </r>
  <r>
    <x v="35"/>
  </r>
  <r>
    <x v="14"/>
  </r>
  <r>
    <x v="13"/>
  </r>
  <r>
    <x v="14"/>
  </r>
  <r>
    <x v="59"/>
  </r>
  <r>
    <x v="47"/>
  </r>
  <r>
    <x v="35"/>
  </r>
  <r>
    <x v="33"/>
  </r>
  <r>
    <x v="55"/>
  </r>
  <r>
    <x v="46"/>
  </r>
  <r>
    <x v="15"/>
  </r>
  <r>
    <x v="58"/>
  </r>
  <r>
    <x v="63"/>
  </r>
  <r>
    <x v="39"/>
  </r>
  <r>
    <x v="77"/>
  </r>
  <r>
    <x v="25"/>
  </r>
  <r>
    <x v="51"/>
  </r>
  <r>
    <x v="1"/>
  </r>
  <r>
    <x v="38"/>
  </r>
  <r>
    <x v="23"/>
  </r>
  <r>
    <x v="42"/>
  </r>
  <r>
    <x v="35"/>
  </r>
  <r>
    <x v="5"/>
  </r>
  <r>
    <x v="59"/>
  </r>
  <r>
    <x v="70"/>
  </r>
  <r>
    <x v="18"/>
  </r>
  <r>
    <x v="55"/>
  </r>
  <r>
    <x v="46"/>
  </r>
  <r>
    <x v="0"/>
  </r>
  <r>
    <x v="63"/>
  </r>
  <r>
    <x v="76"/>
  </r>
  <r>
    <x v="71"/>
  </r>
  <r>
    <x v="77"/>
  </r>
  <r>
    <x v="54"/>
  </r>
  <r>
    <x v="38"/>
  </r>
  <r>
    <x v="25"/>
  </r>
  <r>
    <x v="14"/>
  </r>
  <r>
    <x v="5"/>
  </r>
  <r>
    <x v="7"/>
  </r>
  <r>
    <x v="23"/>
  </r>
  <r>
    <x v="6"/>
  </r>
  <r>
    <x v="18"/>
  </r>
  <r>
    <x v="49"/>
  </r>
  <r>
    <x v="70"/>
  </r>
  <r>
    <x v="4"/>
  </r>
  <r>
    <x v="76"/>
  </r>
  <r>
    <x v="11"/>
  </r>
  <r>
    <x v="0"/>
  </r>
  <r>
    <x v="13"/>
  </r>
  <r>
    <x v="71"/>
  </r>
  <r>
    <x v="28"/>
  </r>
  <r>
    <x v="54"/>
  </r>
  <r>
    <x v="5"/>
  </r>
  <r>
    <x v="6"/>
  </r>
  <r>
    <x v="51"/>
  </r>
  <r>
    <x v="38"/>
  </r>
  <r>
    <x v="49"/>
  </r>
  <r>
    <x v="13"/>
  </r>
  <r>
    <x v="13"/>
  </r>
  <r>
    <x v="35"/>
  </r>
  <r>
    <x v="4"/>
  </r>
  <r>
    <x v="4"/>
  </r>
  <r>
    <x v="46"/>
  </r>
  <r>
    <x v="28"/>
  </r>
  <r>
    <x v="23"/>
  </r>
  <r>
    <x v="55"/>
  </r>
  <r>
    <x v="11"/>
  </r>
  <r>
    <x v="1"/>
  </r>
  <r>
    <x v="5"/>
  </r>
  <r>
    <x v="6"/>
  </r>
  <r>
    <x v="23"/>
  </r>
  <r>
    <x v="55"/>
  </r>
  <r>
    <x v="51"/>
  </r>
  <r>
    <x v="38"/>
  </r>
  <r>
    <x v="11"/>
  </r>
  <r>
    <x v="1"/>
  </r>
  <r>
    <x v="13"/>
  </r>
  <r>
    <x v="49"/>
  </r>
  <r>
    <x v="28"/>
  </r>
  <r>
    <x v="46"/>
  </r>
  <r>
    <x v="13"/>
  </r>
  <r>
    <x v="4"/>
  </r>
  <r>
    <x v="35"/>
  </r>
  <r>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9DC891E-5DFD-49A4-A87F-8B11083CDA10}" name="Number of Matches" cacheId="175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rowHeaderCaption="Years">
  <location ref="A3:B24" firstHeaderRow="1" firstDataRow="1" firstDataCol="1"/>
  <pivotFields count="2">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dataField="1" subtotalTop="0" showAll="0" defaultSubtotal="0"/>
  </pivotFields>
  <rowFields count="1">
    <field x="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Number of Matches" fld="1" subtotal="count" baseField="0" baseItem="0"/>
  </dataFields>
  <formats count="12">
    <format dxfId="21">
      <pivotArea type="all" dataOnly="0" outline="0" fieldPosition="0"/>
    </format>
    <format dxfId="22">
      <pivotArea outline="0" collapsedLevelsAreSubtotals="1" fieldPosition="0"/>
    </format>
    <format dxfId="23">
      <pivotArea field="0" type="button" dataOnly="0" labelOnly="1" outline="0" axis="axisRow" fieldPosition="0"/>
    </format>
    <format dxfId="24">
      <pivotArea dataOnly="0" labelOnly="1" fieldPosition="0">
        <references count="1">
          <reference field="0" count="0"/>
        </references>
      </pivotArea>
    </format>
    <format dxfId="25">
      <pivotArea dataOnly="0" labelOnly="1" grandRow="1" outline="0" fieldPosition="0"/>
    </format>
    <format dxfId="26">
      <pivotArea dataOnly="0" labelOnly="1" outline="0" axis="axisValues" fieldPosition="0"/>
    </format>
    <format dxfId="27">
      <pivotArea type="all" dataOnly="0" outline="0" fieldPosition="0"/>
    </format>
    <format dxfId="28">
      <pivotArea outline="0" collapsedLevelsAreSubtotals="1" fieldPosition="0"/>
    </format>
    <format dxfId="29">
      <pivotArea field="0" type="button" dataOnly="0" labelOnly="1" outline="0" axis="axisRow" fieldPosition="0"/>
    </format>
    <format dxfId="30">
      <pivotArea dataOnly="0" labelOnly="1" fieldPosition="0">
        <references count="1">
          <reference field="0" count="0"/>
        </references>
      </pivotArea>
    </format>
    <format dxfId="31">
      <pivotArea dataOnly="0" labelOnly="1" grandRow="1" outline="0" fieldPosition="0"/>
    </format>
    <format dxfId="32">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0" count="1" selected="0">
            <x v="19"/>
          </reference>
        </references>
      </pivotArea>
    </chartFormat>
  </chartFormats>
  <pivotHierarchies count="4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Number of Match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orldCupMatches.xlsx!World_Cup_Matches">
        <x15:activeTabTopLevelEntity name="[World_Cup_Match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FB6BC27-FCE7-4AA2-A915-158BE7997914}" name="Number of Goals" cacheId="174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rowHeaderCaption="Years">
  <location ref="A3:B24" firstHeaderRow="1" firstDataRow="1" firstDataCol="1"/>
  <pivotFields count="3">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dataField="1" subtotalTop="0" showAll="0" defaultSubtotal="0"/>
    <pivotField allDrilled="1" subtotalTop="0" showAll="0" dataSourceSort="1" defaultSubtotal="0" defaultAttributeDrillState="1"/>
  </pivotFields>
  <rowFields count="1">
    <field x="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Number of Goals" fld="1" baseField="0" baseItem="0"/>
  </dataFields>
  <formats count="12">
    <format dxfId="48">
      <pivotArea type="all" dataOnly="0" outline="0" fieldPosition="0"/>
    </format>
    <format dxfId="49">
      <pivotArea outline="0" collapsedLevelsAreSubtotals="1" fieldPosition="0"/>
    </format>
    <format dxfId="50">
      <pivotArea field="0" type="button" dataOnly="0" labelOnly="1" outline="0" axis="axisRow" fieldPosition="0"/>
    </format>
    <format dxfId="51">
      <pivotArea dataOnly="0" labelOnly="1" fieldPosition="0">
        <references count="1">
          <reference field="0" count="0"/>
        </references>
      </pivotArea>
    </format>
    <format dxfId="52">
      <pivotArea dataOnly="0" labelOnly="1" grandRow="1" outline="0" fieldPosition="0"/>
    </format>
    <format dxfId="53">
      <pivotArea dataOnly="0" labelOnly="1" outline="0" axis="axisValues" fieldPosition="0"/>
    </format>
    <format dxfId="54">
      <pivotArea type="all" dataOnly="0" outline="0" fieldPosition="0"/>
    </format>
    <format dxfId="55">
      <pivotArea outline="0" collapsedLevelsAreSubtotals="1" fieldPosition="0"/>
    </format>
    <format dxfId="56">
      <pivotArea field="0" type="button" dataOnly="0" labelOnly="1" outline="0" axis="axisRow" fieldPosition="0"/>
    </format>
    <format dxfId="57">
      <pivotArea dataOnly="0" labelOnly="1" fieldPosition="0">
        <references count="1">
          <reference field="0" count="0"/>
        </references>
      </pivotArea>
    </format>
    <format dxfId="58">
      <pivotArea dataOnly="0" labelOnly="1" grandRow="1" outline="0" fieldPosition="0"/>
    </format>
    <format dxfId="59">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41">
    <pivotHierarchy dragToData="1"/>
    <pivotHierarchy dragToData="1"/>
    <pivotHierarchy multipleItemSelectionAllowed="1" dragToData="1"/>
    <pivotHierarchy dragToData="1"/>
    <pivotHierarchy multipleItemSelectionAllowed="1" dragToData="1">
      <members count="1" level="1">
        <member name="[World_Cup_Matches].[Stage].&amp;[Group 1]"/>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Number of Goals"/>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orldCupMatches.xlsx!World_Cup_Matches">
        <x15:activeTabTopLevelEntity name="[World_Cup_Match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0B8D536-49AE-49E9-A452-500B6044CBE4}" name="Avarage of goals" cacheId="174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 rowHeaderCaption="years">
  <location ref="A3:B24" firstHeaderRow="1" firstDataRow="1" firstDataCol="1"/>
  <pivotFields count="2">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dataField="1" subtotalTop="0" showAll="0" defaultSubtotal="0"/>
  </pivotFields>
  <rowFields count="1">
    <field x="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Average of total goals" fld="1" subtotal="average" baseField="0" baseItem="0" numFmtId="164"/>
  </dataFields>
  <formats count="15">
    <format dxfId="33">
      <pivotArea type="all" dataOnly="0" outline="0" fieldPosition="0"/>
    </format>
    <format dxfId="34">
      <pivotArea outline="0" collapsedLevelsAreSubtotals="1" fieldPosition="0"/>
    </format>
    <format dxfId="35">
      <pivotArea field="0" type="button" dataOnly="0" labelOnly="1" outline="0" axis="axisRow" fieldPosition="0"/>
    </format>
    <format dxfId="36">
      <pivotArea dataOnly="0" labelOnly="1" fieldPosition="0">
        <references count="1">
          <reference field="0" count="0"/>
        </references>
      </pivotArea>
    </format>
    <format dxfId="37">
      <pivotArea dataOnly="0" labelOnly="1" grandRow="1" outline="0" fieldPosition="0"/>
    </format>
    <format dxfId="38">
      <pivotArea dataOnly="0" labelOnly="1" outline="0" axis="axisValues" fieldPosition="0"/>
    </format>
    <format dxfId="39">
      <pivotArea type="all" dataOnly="0" outline="0" fieldPosition="0"/>
    </format>
    <format dxfId="40">
      <pivotArea outline="0" collapsedLevelsAreSubtotals="1" fieldPosition="0"/>
    </format>
    <format dxfId="41">
      <pivotArea field="0" type="button" dataOnly="0" labelOnly="1" outline="0" axis="axisRow" fieldPosition="0"/>
    </format>
    <format dxfId="42">
      <pivotArea dataOnly="0" labelOnly="1" fieldPosition="0">
        <references count="1">
          <reference field="0" count="0"/>
        </references>
      </pivotArea>
    </format>
    <format dxfId="43">
      <pivotArea dataOnly="0" labelOnly="1" grandRow="1" outline="0" fieldPosition="0"/>
    </format>
    <format dxfId="44">
      <pivotArea dataOnly="0" labelOnly="1" outline="0" axis="axisValues" fieldPosition="0"/>
    </format>
    <format dxfId="45">
      <pivotArea outline="0" collapsedLevelsAreSubtotals="1" fieldPosition="0"/>
    </format>
    <format dxfId="46">
      <pivotArea dataOnly="0" labelOnly="1" outline="0" axis="axisValues" fieldPosition="0"/>
    </format>
    <format dxfId="47">
      <pivotArea grandRow="1"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Hierarchies count="4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total goals"/>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orldCupMatches.xlsx!World_Cup_Matches">
        <x15:activeTabTopLevelEntity name="[World_Cup_Match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DD44822-B669-4E1E-9184-5F206C23C40C}" name="Avarage of goals per stage" cacheId="141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A3:B14" firstHeaderRow="1" firstDataRow="1" firstDataCol="1"/>
  <pivotFields count="2">
    <pivotField axis="axisRow" allDrilled="1" subtotalTop="0" showAll="0" measureFilter="1" sortType="descending" defaultSubtotal="0" defaultAttributeDrillState="1">
      <items count="23">
        <item x="0"/>
        <item x="1"/>
        <item x="2"/>
        <item x="3"/>
        <item x="4"/>
        <item x="5"/>
        <item x="6"/>
        <item x="7"/>
        <item x="8"/>
        <item x="9"/>
        <item x="10"/>
        <item x="11"/>
        <item x="12"/>
        <item x="13"/>
        <item x="14"/>
        <item x="15"/>
        <item x="16"/>
        <item x="17"/>
        <item x="18"/>
        <item x="19"/>
        <item x="20"/>
        <item x="21"/>
        <item x="22"/>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7"/>
    </i>
    <i>
      <x v="1"/>
    </i>
    <i>
      <x v="4"/>
    </i>
    <i>
      <x v="9"/>
    </i>
    <i>
      <x v="5"/>
    </i>
    <i>
      <x v="8"/>
    </i>
    <i>
      <x/>
    </i>
    <i>
      <x v="3"/>
    </i>
    <i>
      <x v="2"/>
    </i>
    <i>
      <x v="6"/>
    </i>
    <i t="grand">
      <x/>
    </i>
  </rowItems>
  <colItems count="1">
    <i/>
  </colItems>
  <dataFields count="1">
    <dataField name="Average of total goals" fld="1" subtotal="average" baseField="0" baseItem="0" numFmtId="2"/>
  </dataFields>
  <formats count="20">
    <format dxfId="63">
      <pivotArea outline="0" collapsedLevelsAreSubtotals="1" fieldPosition="0"/>
    </format>
    <format dxfId="64">
      <pivotArea dataOnly="0" labelOnly="1" outline="0" axis="axisValues" fieldPosition="0"/>
    </format>
    <format dxfId="65">
      <pivotArea type="all" dataOnly="0" outline="0" fieldPosition="0"/>
    </format>
    <format dxfId="66">
      <pivotArea outline="0" collapsedLevelsAreSubtotals="1" fieldPosition="0"/>
    </format>
    <format dxfId="67">
      <pivotArea field="0" type="button" dataOnly="0" labelOnly="1" outline="0" axis="axisRow" fieldPosition="0"/>
    </format>
    <format dxfId="68">
      <pivotArea dataOnly="0" labelOnly="1" fieldPosition="0">
        <references count="1">
          <reference field="0" count="0"/>
        </references>
      </pivotArea>
    </format>
    <format dxfId="69">
      <pivotArea dataOnly="0" labelOnly="1" grandRow="1" outline="0" fieldPosition="0"/>
    </format>
    <format dxfId="70">
      <pivotArea dataOnly="0" labelOnly="1" outline="0" axis="axisValues" fieldPosition="0"/>
    </format>
    <format dxfId="71">
      <pivotArea type="all" dataOnly="0" outline="0" fieldPosition="0"/>
    </format>
    <format dxfId="72">
      <pivotArea outline="0" collapsedLevelsAreSubtotals="1" fieldPosition="0"/>
    </format>
    <format dxfId="73">
      <pivotArea field="0" type="button" dataOnly="0" labelOnly="1" outline="0" axis="axisRow" fieldPosition="0"/>
    </format>
    <format dxfId="74">
      <pivotArea dataOnly="0" labelOnly="1" fieldPosition="0">
        <references count="1">
          <reference field="0" count="0"/>
        </references>
      </pivotArea>
    </format>
    <format dxfId="75">
      <pivotArea dataOnly="0" labelOnly="1" grandRow="1" outline="0" fieldPosition="0"/>
    </format>
    <format dxfId="76">
      <pivotArea dataOnly="0" labelOnly="1" outline="0" axis="axisValues" fieldPosition="0"/>
    </format>
    <format dxfId="77">
      <pivotArea type="all" dataOnly="0" outline="0" fieldPosition="0"/>
    </format>
    <format dxfId="78">
      <pivotArea outline="0" collapsedLevelsAreSubtotals="1" fieldPosition="0"/>
    </format>
    <format dxfId="79">
      <pivotArea field="0" type="button" dataOnly="0" labelOnly="1" outline="0" axis="axisRow" fieldPosition="0"/>
    </format>
    <format dxfId="80">
      <pivotArea dataOnly="0" labelOnly="1" fieldPosition="0">
        <references count="1">
          <reference field="0" count="0"/>
        </references>
      </pivotArea>
    </format>
    <format dxfId="81">
      <pivotArea dataOnly="0" labelOnly="1" grandRow="1" outline="0" fieldPosition="0"/>
    </format>
    <format dxfId="82">
      <pivotArea dataOnly="0" labelOnly="1" outline="0" axis="axisValues" fieldPosition="0"/>
    </format>
  </formats>
  <conditionalFormats count="2">
    <conditionalFormat type="all" priority="2">
      <pivotAreas count="1">
        <pivotArea type="data" collapsedLevelsAreSubtotals="1" fieldPosition="0">
          <references count="2">
            <reference field="4294967294" count="1" selected="0">
              <x v="0"/>
            </reference>
            <reference field="0" count="23">
              <x v="0"/>
              <x v="1"/>
              <x v="2"/>
              <x v="3"/>
              <x v="4"/>
              <x v="5"/>
              <x v="6"/>
              <x v="7"/>
              <x v="8"/>
              <x v="9"/>
              <x v="10"/>
              <x v="11"/>
              <x v="12"/>
              <x v="13"/>
              <x v="14"/>
              <x v="15"/>
              <x v="16"/>
              <x v="17"/>
              <x v="18"/>
              <x v="19"/>
              <x v="20"/>
              <x v="21"/>
              <x v="22"/>
            </reference>
          </references>
        </pivotArea>
      </pivotAreas>
    </conditionalFormat>
    <conditionalFormat type="all" priority="1">
      <pivotAreas count="1">
        <pivotArea type="data" collapsedLevelsAreSubtotals="1" fieldPosition="0">
          <references count="2">
            <reference field="4294967294" count="1" selected="0">
              <x v="0"/>
            </reference>
            <reference field="0" count="23">
              <x v="0"/>
              <x v="1"/>
              <x v="2"/>
              <x v="3"/>
              <x v="4"/>
              <x v="5"/>
              <x v="6"/>
              <x v="7"/>
              <x v="8"/>
              <x v="9"/>
              <x v="10"/>
              <x v="11"/>
              <x v="12"/>
              <x v="13"/>
              <x v="14"/>
              <x v="15"/>
              <x v="16"/>
              <x v="17"/>
              <x v="18"/>
              <x v="19"/>
              <x v="20"/>
              <x v="21"/>
              <x v="22"/>
            </reference>
          </references>
        </pivotArea>
      </pivotAreas>
    </conditionalFormat>
  </conditionalFormat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4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total goals"/>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3" iMeasureHier="33">
      <autoFilter ref="A1">
        <filterColumn colId="0">
          <top10 val="10" filterVal="10"/>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orldCupMatches.xlsx!World_Cup_Matches">
        <x15:activeTabTopLevelEntity name="[World_Cup_Match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8EE42DD-259D-48A5-A397-4F3C675F992E}" name="PivotTable2" cacheId="141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4" rowHeaderCaption="City">
  <location ref="A3:B14" firstHeaderRow="1" firstDataRow="1" firstDataCol="1"/>
  <pivotFields count="2">
    <pivotField dataField="1" subtotalTop="0" showAll="0" defaultSubtotal="0"/>
    <pivotField axis="axisRow" allDrilled="1" subtotalTop="0" showAll="0" measureFilter="1" sortType="descending" defaultSubtotal="0" defaultAttributeDrillState="1">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s>
      <autoSortScope>
        <pivotArea dataOnly="0" outline="0" fieldPosition="0">
          <references count="1">
            <reference field="4294967294" count="1" selected="0">
              <x v="0"/>
            </reference>
          </references>
        </pivotArea>
      </autoSortScope>
    </pivotField>
  </pivotFields>
  <rowFields count="1">
    <field x="1"/>
  </rowFields>
  <rowItems count="11">
    <i>
      <x v="5"/>
    </i>
    <i>
      <x v="8"/>
    </i>
    <i>
      <x v="6"/>
    </i>
    <i>
      <x v="2"/>
    </i>
    <i>
      <x v="3"/>
    </i>
    <i>
      <x v="9"/>
    </i>
    <i>
      <x v="1"/>
    </i>
    <i>
      <x v="7"/>
    </i>
    <i>
      <x/>
    </i>
    <i>
      <x v="4"/>
    </i>
    <i t="grand">
      <x/>
    </i>
  </rowItems>
  <colItems count="1">
    <i/>
  </colItems>
  <dataFields count="1">
    <dataField name="Number of matches" fld="0" subtotal="count" baseField="1" baseItem="79"/>
  </dataFields>
  <formats count="18">
    <format dxfId="97">
      <pivotArea type="all" dataOnly="0" outline="0" fieldPosition="0"/>
    </format>
    <format dxfId="98">
      <pivotArea outline="0" collapsedLevelsAreSubtotals="1" fieldPosition="0"/>
    </format>
    <format dxfId="99">
      <pivotArea field="1" type="button" dataOnly="0" labelOnly="1" outline="0" axis="axisRow" fieldPosition="0"/>
    </format>
    <format dxfId="100">
      <pivotArea dataOnly="0" labelOnly="1" fieldPosition="0">
        <references count="1">
          <reference field="1" count="50">
            <x v="0"/>
            <x v="1"/>
            <x v="2"/>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reference>
        </references>
      </pivotArea>
    </format>
    <format dxfId="101">
      <pivotArea dataOnly="0" labelOnly="1" fieldPosition="0">
        <references count="1">
          <reference field="1" count="50">
            <x v="3"/>
            <x v="4"/>
            <x v="5"/>
            <x v="6"/>
            <x v="7"/>
            <x v="57"/>
            <x v="58"/>
            <x v="59"/>
            <x v="60"/>
            <x v="61"/>
            <x v="62"/>
            <x v="63"/>
            <x v="64"/>
            <x v="65"/>
            <x v="66"/>
            <x v="67"/>
            <x v="68"/>
            <x v="69"/>
            <x v="70"/>
            <x v="71"/>
            <x v="72"/>
            <x v="73"/>
            <x v="74"/>
            <x v="75"/>
            <x v="76"/>
            <x v="77"/>
            <x v="78"/>
            <x v="79"/>
            <x v="80"/>
            <x v="81"/>
            <x v="82"/>
            <x v="83"/>
            <x v="84"/>
            <x v="85"/>
            <x v="86"/>
            <x v="87"/>
            <x v="88"/>
            <x v="89"/>
            <x v="90"/>
            <x v="91"/>
            <x v="92"/>
            <x v="93"/>
            <x v="94"/>
            <x v="95"/>
            <x v="96"/>
            <x v="97"/>
            <x v="98"/>
            <x v="99"/>
            <x v="100"/>
            <x v="101"/>
          </reference>
        </references>
      </pivotArea>
    </format>
    <format dxfId="102">
      <pivotArea dataOnly="0" labelOnly="1" fieldPosition="0">
        <references count="1">
          <reference field="1" count="50">
            <x v="8"/>
            <x v="9"/>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103">
      <pivotArea dataOnly="0" labelOnly="1" fieldPosition="0">
        <references count="1">
          <reference field="1" count="1">
            <x v="150"/>
          </reference>
        </references>
      </pivotArea>
    </format>
    <format dxfId="104">
      <pivotArea dataOnly="0" labelOnly="1" grandRow="1" outline="0" fieldPosition="0"/>
    </format>
    <format dxfId="105">
      <pivotArea dataOnly="0" labelOnly="1" outline="0" axis="axisValues" fieldPosition="0"/>
    </format>
    <format dxfId="106">
      <pivotArea type="all" dataOnly="0" outline="0" fieldPosition="0"/>
    </format>
    <format dxfId="107">
      <pivotArea outline="0" collapsedLevelsAreSubtotals="1" fieldPosition="0"/>
    </format>
    <format dxfId="108">
      <pivotArea field="1" type="button" dataOnly="0" labelOnly="1" outline="0" axis="axisRow" fieldPosition="0"/>
    </format>
    <format dxfId="109">
      <pivotArea dataOnly="0" labelOnly="1" fieldPosition="0">
        <references count="1">
          <reference field="1" count="50">
            <x v="0"/>
            <x v="1"/>
            <x v="2"/>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reference>
        </references>
      </pivotArea>
    </format>
    <format dxfId="110">
      <pivotArea dataOnly="0" labelOnly="1" fieldPosition="0">
        <references count="1">
          <reference field="1" count="50">
            <x v="3"/>
            <x v="4"/>
            <x v="5"/>
            <x v="6"/>
            <x v="7"/>
            <x v="57"/>
            <x v="58"/>
            <x v="59"/>
            <x v="60"/>
            <x v="61"/>
            <x v="62"/>
            <x v="63"/>
            <x v="64"/>
            <x v="65"/>
            <x v="66"/>
            <x v="67"/>
            <x v="68"/>
            <x v="69"/>
            <x v="70"/>
            <x v="71"/>
            <x v="72"/>
            <x v="73"/>
            <x v="74"/>
            <x v="75"/>
            <x v="76"/>
            <x v="77"/>
            <x v="78"/>
            <x v="79"/>
            <x v="80"/>
            <x v="81"/>
            <x v="82"/>
            <x v="83"/>
            <x v="84"/>
            <x v="85"/>
            <x v="86"/>
            <x v="87"/>
            <x v="88"/>
            <x v="89"/>
            <x v="90"/>
            <x v="91"/>
            <x v="92"/>
            <x v="93"/>
            <x v="94"/>
            <x v="95"/>
            <x v="96"/>
            <x v="97"/>
            <x v="98"/>
            <x v="99"/>
            <x v="100"/>
            <x v="101"/>
          </reference>
        </references>
      </pivotArea>
    </format>
    <format dxfId="111">
      <pivotArea dataOnly="0" labelOnly="1" fieldPosition="0">
        <references count="1">
          <reference field="1" count="50">
            <x v="8"/>
            <x v="9"/>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112">
      <pivotArea dataOnly="0" labelOnly="1" fieldPosition="0">
        <references count="1">
          <reference field="1" count="1">
            <x v="150"/>
          </reference>
        </references>
      </pivotArea>
    </format>
    <format dxfId="113">
      <pivotArea dataOnly="0" labelOnly="1" grandRow="1" outline="0" fieldPosition="0"/>
    </format>
    <format dxfId="114">
      <pivotArea dataOnly="0" labelOnly="1" outline="0" axis="axisValues" fieldPosition="0"/>
    </format>
  </formats>
  <chartFormats count="3">
    <chartFormat chart="10"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1" format="3">
      <pivotArea type="data" outline="0" fieldPosition="0">
        <references count="2">
          <reference field="4294967294" count="1" selected="0">
            <x v="0"/>
          </reference>
          <reference field="1" count="1" selected="0">
            <x v="5"/>
          </reference>
        </references>
      </pivotArea>
    </chartFormat>
  </chartFormats>
  <pivotHierarchies count="4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Number of matches"/>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3" iMeasureHier="34">
      <autoFilter ref="A1">
        <filterColumn colId="0">
          <top10 val="10" filterVal="10"/>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orldCupMatches.xlsx!World_Cup_Matches">
        <x15:activeTabTopLevelEntity name="[World_Cup_Match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AF4E250-2062-43AC-A055-8FE7CA4599D9}" name="Average Attendance by World Cup Year" cacheId="175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rowHeaderCaption="Year">
  <location ref="A3:B24" firstHeaderRow="1" firstDataRow="1" firstDataCol="1"/>
  <pivotFields count="2">
    <pivotField axis="axisRow" allDrilled="1" subtotalTop="0" showAll="0" sortType="ascending" defaultSubtotal="0" defaultAttributeDrillState="1">
      <items count="20">
        <item x="0"/>
        <item x="1"/>
        <item x="2"/>
        <item x="3"/>
        <item x="4"/>
        <item x="5"/>
        <item x="6"/>
        <item x="7"/>
        <item x="8"/>
        <item x="9"/>
        <item x="10"/>
        <item x="11"/>
        <item x="12"/>
        <item x="13"/>
        <item x="14"/>
        <item x="15"/>
        <item x="16"/>
        <item x="17"/>
        <item x="18"/>
        <item x="19"/>
      </items>
    </pivotField>
    <pivotField dataField="1" subtotalTop="0" showAll="0" defaultSubtotal="0"/>
  </pivotFields>
  <rowFields count="1">
    <field x="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Attendance" fld="1" subtotal="average" baseField="0" baseItem="14" numFmtId="174"/>
  </dataFields>
  <formats count="16">
    <format dxfId="5">
      <pivotArea outline="0" collapsedLevelsAreSubtotals="1" fieldPosition="0"/>
    </format>
    <format dxfId="6">
      <pivotArea dataOnly="0" labelOnly="1" outline="0" axis="axisValues" fieldPosition="0"/>
    </format>
    <format dxfId="7">
      <pivotArea type="all" dataOnly="0" outline="0" fieldPosition="0"/>
    </format>
    <format dxfId="8">
      <pivotArea outline="0" collapsedLevelsAreSubtotals="1" fieldPosition="0"/>
    </format>
    <format dxfId="9">
      <pivotArea field="0" type="button" dataOnly="0" labelOnly="1" outline="0" axis="axisRow" fieldPosition="0"/>
    </format>
    <format dxfId="10">
      <pivotArea dataOnly="0" labelOnly="1" fieldPosition="0">
        <references count="1">
          <reference field="0" count="0"/>
        </references>
      </pivotArea>
    </format>
    <format dxfId="11">
      <pivotArea dataOnly="0" labelOnly="1" grandRow="1" outline="0" fieldPosition="0"/>
    </format>
    <format dxfId="12">
      <pivotArea dataOnly="0" labelOnly="1" outline="0" axis="axisValues" fieldPosition="0"/>
    </format>
    <format dxfId="13">
      <pivotArea type="all" dataOnly="0" outline="0" fieldPosition="0"/>
    </format>
    <format dxfId="14">
      <pivotArea outline="0" collapsedLevelsAreSubtotals="1" fieldPosition="0"/>
    </format>
    <format dxfId="15">
      <pivotArea field="0" type="button" dataOnly="0" labelOnly="1" outline="0" axis="axisRow" fieldPosition="0"/>
    </format>
    <format dxfId="16">
      <pivotArea dataOnly="0" labelOnly="1" fieldPosition="0">
        <references count="1">
          <reference field="0" count="0"/>
        </references>
      </pivotArea>
    </format>
    <format dxfId="17">
      <pivotArea dataOnly="0" labelOnly="1" grandRow="1" outline="0" fieldPosition="0"/>
    </format>
    <format dxfId="18">
      <pivotArea dataOnly="0" labelOnly="1" outline="0" axis="axisValues" fieldPosition="0"/>
    </format>
    <format dxfId="19">
      <pivotArea outline="0" collapsedLevelsAreSubtotals="1" fieldPosition="0"/>
    </format>
    <format dxfId="20">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0" count="1" selected="0">
            <x v="14"/>
          </reference>
        </references>
      </pivotArea>
    </chartFormat>
  </chartFormats>
  <pivotHierarchies count="4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ttendance"/>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orldCupMatches.xlsx!World_Cup_Matches">
        <x15:activeTabTopLevelEntity name="[World_Cup_Match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0443867-1F91-4868-B44C-BB22153FDCCB}" name="PivotTable5" cacheId="1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Teams">
  <location ref="A3:B87" firstHeaderRow="1" firstDataRow="1" firstDataCol="1"/>
  <pivotFields count="1">
    <pivotField axis="axisRow" dataField="1" showAll="0" sortType="descending">
      <items count="84">
        <item x="38"/>
        <item x="66"/>
        <item x="4"/>
        <item x="33"/>
        <item x="9"/>
        <item x="28"/>
        <item x="53"/>
        <item x="7"/>
        <item x="29"/>
        <item x="47"/>
        <item x="40"/>
        <item x="5"/>
        <item x="60"/>
        <item x="70"/>
        <item x="49"/>
        <item x="46"/>
        <item x="59"/>
        <item x="17"/>
        <item x="67"/>
        <item x="16"/>
        <item x="44"/>
        <item x="79"/>
        <item x="63"/>
        <item x="78"/>
        <item x="81"/>
        <item x="18"/>
        <item x="0"/>
        <item x="30"/>
        <item x="13"/>
        <item x="19"/>
        <item x="71"/>
        <item x="55"/>
        <item x="36"/>
        <item x="39"/>
        <item x="10"/>
        <item x="76"/>
        <item x="69"/>
        <item x="43"/>
        <item x="80"/>
        <item x="15"/>
        <item x="56"/>
        <item x="58"/>
        <item x="26"/>
        <item x="42"/>
        <item x="82"/>
        <item x="23"/>
        <item x="41"/>
        <item x="35"/>
        <item x="74"/>
        <item x="51"/>
        <item x="22"/>
        <item x="50"/>
        <item x="8"/>
        <item x="27"/>
        <item x="32"/>
        <item x="25"/>
        <item x="77"/>
        <item x="48"/>
        <item x="65"/>
        <item x="64"/>
        <item x="45"/>
        <item x="3"/>
        <item x="54"/>
        <item x="52"/>
        <item x="34"/>
        <item x="61"/>
        <item x="73"/>
        <item x="75"/>
        <item x="62"/>
        <item x="57"/>
        <item x="21"/>
        <item x="14"/>
        <item x="12"/>
        <item x="11"/>
        <item x="68"/>
        <item x="37"/>
        <item x="20"/>
        <item x="72"/>
        <item x="6"/>
        <item x="1"/>
        <item x="24"/>
        <item x="2"/>
        <item x="31"/>
        <item t="default"/>
      </items>
      <autoSortScope>
        <pivotArea dataOnly="0" outline="0" fieldPosition="0">
          <references count="1">
            <reference field="4294967294" count="1" selected="0">
              <x v="0"/>
            </reference>
          </references>
        </pivotArea>
      </autoSortScope>
    </pivotField>
  </pivotFields>
  <rowFields count="1">
    <field x="0"/>
  </rowFields>
  <rowItems count="84">
    <i>
      <x v="7"/>
    </i>
    <i>
      <x v="39"/>
    </i>
    <i>
      <x v="2"/>
    </i>
    <i>
      <x v="25"/>
    </i>
    <i>
      <x v="29"/>
    </i>
    <i>
      <x v="26"/>
    </i>
    <i>
      <x v="71"/>
    </i>
    <i>
      <x v="47"/>
    </i>
    <i>
      <x v="45"/>
    </i>
    <i>
      <x v="78"/>
    </i>
    <i>
      <x v="28"/>
    </i>
    <i>
      <x v="72"/>
    </i>
    <i>
      <x v="5"/>
    </i>
    <i>
      <x v="81"/>
    </i>
    <i>
      <x v="73"/>
    </i>
    <i>
      <x v="79"/>
    </i>
    <i>
      <x v="11"/>
    </i>
    <i>
      <x v="34"/>
    </i>
    <i>
      <x v="54"/>
    </i>
    <i>
      <x v="70"/>
    </i>
    <i>
      <x v="43"/>
    </i>
    <i>
      <x v="19"/>
    </i>
    <i>
      <x v="4"/>
    </i>
    <i>
      <x v="52"/>
    </i>
    <i>
      <x v="8"/>
    </i>
    <i>
      <x v="55"/>
    </i>
    <i>
      <x v="9"/>
    </i>
    <i>
      <x v="64"/>
    </i>
    <i>
      <x v="61"/>
    </i>
    <i>
      <x v="14"/>
    </i>
    <i>
      <x v="49"/>
    </i>
    <i>
      <x v="15"/>
    </i>
    <i>
      <x v="41"/>
    </i>
    <i>
      <x v="20"/>
    </i>
    <i>
      <x v="16"/>
    </i>
    <i>
      <x v="53"/>
    </i>
    <i>
      <x/>
    </i>
    <i>
      <x v="50"/>
    </i>
    <i>
      <x v="63"/>
    </i>
    <i>
      <x v="3"/>
    </i>
    <i>
      <x v="46"/>
    </i>
    <i>
      <x v="57"/>
    </i>
    <i>
      <x v="30"/>
    </i>
    <i>
      <x v="75"/>
    </i>
    <i>
      <x v="31"/>
    </i>
    <i>
      <x v="76"/>
    </i>
    <i>
      <x v="22"/>
    </i>
    <i>
      <x v="33"/>
    </i>
    <i>
      <x v="13"/>
    </i>
    <i>
      <x v="69"/>
    </i>
    <i>
      <x v="62"/>
    </i>
    <i>
      <x v="51"/>
    </i>
    <i>
      <x v="42"/>
    </i>
    <i>
      <x v="27"/>
    </i>
    <i>
      <x v="24"/>
    </i>
    <i>
      <x v="36"/>
    </i>
    <i>
      <x v="35"/>
    </i>
    <i>
      <x v="48"/>
    </i>
    <i>
      <x v="68"/>
    </i>
    <i>
      <x v="6"/>
    </i>
    <i>
      <x v="77"/>
    </i>
    <i>
      <x v="65"/>
    </i>
    <i>
      <x v="80"/>
    </i>
    <i>
      <x v="23"/>
    </i>
    <i>
      <x v="67"/>
    </i>
    <i>
      <x v="32"/>
    </i>
    <i>
      <x v="1"/>
    </i>
    <i>
      <x v="10"/>
    </i>
    <i>
      <x v="58"/>
    </i>
    <i>
      <x v="38"/>
    </i>
    <i>
      <x v="59"/>
    </i>
    <i>
      <x v="74"/>
    </i>
    <i>
      <x v="18"/>
    </i>
    <i>
      <x v="40"/>
    </i>
    <i>
      <x v="12"/>
    </i>
    <i>
      <x v="37"/>
    </i>
    <i>
      <x v="60"/>
    </i>
    <i>
      <x v="44"/>
    </i>
    <i>
      <x v="17"/>
    </i>
    <i>
      <x v="82"/>
    </i>
    <i>
      <x v="56"/>
    </i>
    <i>
      <x v="66"/>
    </i>
    <i>
      <x v="21"/>
    </i>
    <i t="grand">
      <x/>
    </i>
  </rowItems>
  <colItems count="1">
    <i/>
  </colItems>
  <dataFields count="1">
    <dataField name="Times" fld="0" subtotal="count" baseField="0" baseItem="0"/>
  </dataFields>
  <formats count="14">
    <format dxfId="157">
      <pivotArea type="all" dataOnly="0" outline="0" fieldPosition="0"/>
    </format>
    <format dxfId="156">
      <pivotArea outline="0" collapsedLevelsAreSubtotals="1" fieldPosition="0"/>
    </format>
    <format dxfId="155">
      <pivotArea field="0" type="button" dataOnly="0" labelOnly="1" outline="0" axis="axisRow" fieldPosition="0"/>
    </format>
    <format dxfId="154">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53">
      <pivotArea dataOnly="0" labelOnly="1" fieldPosition="0">
        <references count="1">
          <reference field="0" count="33">
            <x v="50"/>
            <x v="51"/>
            <x v="52"/>
            <x v="53"/>
            <x v="54"/>
            <x v="55"/>
            <x v="56"/>
            <x v="57"/>
            <x v="58"/>
            <x v="59"/>
            <x v="60"/>
            <x v="61"/>
            <x v="62"/>
            <x v="63"/>
            <x v="64"/>
            <x v="65"/>
            <x v="66"/>
            <x v="67"/>
            <x v="68"/>
            <x v="69"/>
            <x v="70"/>
            <x v="71"/>
            <x v="72"/>
            <x v="73"/>
            <x v="74"/>
            <x v="75"/>
            <x v="76"/>
            <x v="77"/>
            <x v="78"/>
            <x v="79"/>
            <x v="80"/>
            <x v="81"/>
            <x v="82"/>
          </reference>
        </references>
      </pivotArea>
    </format>
    <format dxfId="152">
      <pivotArea dataOnly="0" labelOnly="1" grandRow="1" outline="0" fieldPosition="0"/>
    </format>
    <format dxfId="151">
      <pivotArea dataOnly="0" labelOnly="1" outline="0" axis="axisValues" fieldPosition="0"/>
    </format>
    <format dxfId="150">
      <pivotArea type="all" dataOnly="0" outline="0" fieldPosition="0"/>
    </format>
    <format dxfId="149">
      <pivotArea outline="0" collapsedLevelsAreSubtotals="1" fieldPosition="0"/>
    </format>
    <format dxfId="148">
      <pivotArea field="0" type="button" dataOnly="0" labelOnly="1" outline="0" axis="axisRow" fieldPosition="0"/>
    </format>
    <format dxfId="147">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46">
      <pivotArea dataOnly="0" labelOnly="1" fieldPosition="0">
        <references count="1">
          <reference field="0" count="33">
            <x v="50"/>
            <x v="51"/>
            <x v="52"/>
            <x v="53"/>
            <x v="54"/>
            <x v="55"/>
            <x v="56"/>
            <x v="57"/>
            <x v="58"/>
            <x v="59"/>
            <x v="60"/>
            <x v="61"/>
            <x v="62"/>
            <x v="63"/>
            <x v="64"/>
            <x v="65"/>
            <x v="66"/>
            <x v="67"/>
            <x v="68"/>
            <x v="69"/>
            <x v="70"/>
            <x v="71"/>
            <x v="72"/>
            <x v="73"/>
            <x v="74"/>
            <x v="75"/>
            <x v="76"/>
            <x v="77"/>
            <x v="78"/>
            <x v="79"/>
            <x v="80"/>
            <x v="81"/>
            <x v="82"/>
          </reference>
        </references>
      </pivotArea>
    </format>
    <format dxfId="145">
      <pivotArea dataOnly="0" labelOnly="1" grandRow="1" outline="0" fieldPosition="0"/>
    </format>
    <format dxfId="144">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091E6DD-3606-46BF-99E7-B383DAEB5FED}" name="PivotTable8" cacheId="141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rowHeaderCaption="Team">
  <location ref="A3:B14" firstHeaderRow="1" firstDataRow="1" firstDataCol="1"/>
  <pivotFields count="3">
    <pivotField axis="axisRow" allDrilled="1" subtotalTop="0" showAll="0" measureFilter="1" sortType="descending" defaultSubtotal="0" defaultAttributeDrillState="1">
      <items count="8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1"/>
    </i>
    <i>
      <x/>
    </i>
    <i>
      <x v="6"/>
    </i>
    <i>
      <x v="4"/>
    </i>
    <i>
      <x v="3"/>
    </i>
    <i>
      <x v="8"/>
    </i>
    <i>
      <x v="9"/>
    </i>
    <i>
      <x v="5"/>
    </i>
    <i>
      <x v="7"/>
    </i>
    <i>
      <x v="2"/>
    </i>
    <i t="grand">
      <x/>
    </i>
  </rowItems>
  <colItems count="1">
    <i/>
  </colItems>
  <dataFields count="1">
    <dataField name="Total Goals" fld="1" baseField="0" baseItem="0"/>
  </dataFields>
  <formats count="14">
    <format dxfId="83">
      <pivotArea type="all" dataOnly="0" outline="0" fieldPosition="0"/>
    </format>
    <format dxfId="84">
      <pivotArea outline="0" collapsedLevelsAreSubtotals="1" fieldPosition="0"/>
    </format>
    <format dxfId="85">
      <pivotArea field="0" type="button" dataOnly="0" labelOnly="1" outline="0" axis="axisRow" fieldPosition="0"/>
    </format>
    <format dxfId="86">
      <pivotArea dataOnly="0" labelOnly="1" fieldPosition="0">
        <references count="1">
          <reference field="0" count="50">
            <x v="0"/>
            <x v="1"/>
            <x v="2"/>
            <x v="3"/>
            <x v="4"/>
            <x v="5"/>
            <x v="6"/>
            <x v="7"/>
            <x v="10"/>
            <x v="11"/>
            <x v="12"/>
            <x v="13"/>
            <x v="14"/>
            <x v="15"/>
            <x v="16"/>
            <x v="17"/>
            <x v="18"/>
            <x v="19"/>
            <x v="20"/>
            <x v="21"/>
            <x v="22"/>
            <x v="23"/>
            <x v="24"/>
            <x v="25"/>
            <x v="26"/>
            <x v="27"/>
            <x v="28"/>
            <x v="29"/>
            <x v="30"/>
            <x v="31"/>
            <x v="32"/>
            <x v="33"/>
            <x v="34"/>
            <x v="35"/>
            <x v="36"/>
            <x v="37"/>
            <x v="38"/>
            <x v="39"/>
            <x v="40"/>
            <x v="41"/>
            <x v="42"/>
            <x v="43"/>
            <x v="44"/>
            <x v="45"/>
            <x v="46"/>
            <x v="47"/>
            <x v="48"/>
            <x v="49"/>
            <x v="50"/>
            <x v="51"/>
          </reference>
        </references>
      </pivotArea>
    </format>
    <format dxfId="87">
      <pivotArea dataOnly="0" labelOnly="1" fieldPosition="0">
        <references count="1">
          <reference field="0" count="33">
            <x v="8"/>
            <x v="9"/>
            <x v="52"/>
            <x v="53"/>
            <x v="54"/>
            <x v="55"/>
            <x v="56"/>
            <x v="57"/>
            <x v="58"/>
            <x v="59"/>
            <x v="60"/>
            <x v="61"/>
            <x v="62"/>
            <x v="63"/>
            <x v="64"/>
            <x v="65"/>
            <x v="66"/>
            <x v="67"/>
            <x v="68"/>
            <x v="69"/>
            <x v="70"/>
            <x v="71"/>
            <x v="72"/>
            <x v="73"/>
            <x v="74"/>
            <x v="75"/>
            <x v="76"/>
            <x v="77"/>
            <x v="78"/>
            <x v="79"/>
            <x v="80"/>
            <x v="81"/>
            <x v="82"/>
          </reference>
        </references>
      </pivotArea>
    </format>
    <format dxfId="88">
      <pivotArea dataOnly="0" labelOnly="1" grandRow="1" outline="0" fieldPosition="0"/>
    </format>
    <format dxfId="89">
      <pivotArea dataOnly="0" labelOnly="1" outline="0" axis="axisValues" fieldPosition="0"/>
    </format>
    <format dxfId="90">
      <pivotArea type="all" dataOnly="0" outline="0" fieldPosition="0"/>
    </format>
    <format dxfId="91">
      <pivotArea outline="0" collapsedLevelsAreSubtotals="1" fieldPosition="0"/>
    </format>
    <format dxfId="92">
      <pivotArea field="0" type="button" dataOnly="0" labelOnly="1" outline="0" axis="axisRow" fieldPosition="0"/>
    </format>
    <format dxfId="93">
      <pivotArea dataOnly="0" labelOnly="1" fieldPosition="0">
        <references count="1">
          <reference field="0" count="50">
            <x v="0"/>
            <x v="1"/>
            <x v="2"/>
            <x v="3"/>
            <x v="4"/>
            <x v="5"/>
            <x v="6"/>
            <x v="7"/>
            <x v="10"/>
            <x v="11"/>
            <x v="12"/>
            <x v="13"/>
            <x v="14"/>
            <x v="15"/>
            <x v="16"/>
            <x v="17"/>
            <x v="18"/>
            <x v="19"/>
            <x v="20"/>
            <x v="21"/>
            <x v="22"/>
            <x v="23"/>
            <x v="24"/>
            <x v="25"/>
            <x v="26"/>
            <x v="27"/>
            <x v="28"/>
            <x v="29"/>
            <x v="30"/>
            <x v="31"/>
            <x v="32"/>
            <x v="33"/>
            <x v="34"/>
            <x v="35"/>
            <x v="36"/>
            <x v="37"/>
            <x v="38"/>
            <x v="39"/>
            <x v="40"/>
            <x v="41"/>
            <x v="42"/>
            <x v="43"/>
            <x v="44"/>
            <x v="45"/>
            <x v="46"/>
            <x v="47"/>
            <x v="48"/>
            <x v="49"/>
            <x v="50"/>
            <x v="51"/>
          </reference>
        </references>
      </pivotArea>
    </format>
    <format dxfId="94">
      <pivotArea dataOnly="0" labelOnly="1" fieldPosition="0">
        <references count="1">
          <reference field="0" count="33">
            <x v="8"/>
            <x v="9"/>
            <x v="52"/>
            <x v="53"/>
            <x v="54"/>
            <x v="55"/>
            <x v="56"/>
            <x v="57"/>
            <x v="58"/>
            <x v="59"/>
            <x v="60"/>
            <x v="61"/>
            <x v="62"/>
            <x v="63"/>
            <x v="64"/>
            <x v="65"/>
            <x v="66"/>
            <x v="67"/>
            <x v="68"/>
            <x v="69"/>
            <x v="70"/>
            <x v="71"/>
            <x v="72"/>
            <x v="73"/>
            <x v="74"/>
            <x v="75"/>
            <x v="76"/>
            <x v="77"/>
            <x v="78"/>
            <x v="79"/>
            <x v="80"/>
            <x v="81"/>
            <x v="82"/>
          </reference>
        </references>
      </pivotArea>
    </format>
    <format dxfId="95">
      <pivotArea dataOnly="0" labelOnly="1" grandRow="1" outline="0" fieldPosition="0"/>
    </format>
    <format dxfId="96">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0" count="1" selected="0">
            <x v="1"/>
          </reference>
        </references>
      </pivotArea>
    </chartFormat>
  </chartFormats>
  <pivotHierarchies count="41">
    <pivotHierarchy dragToData="1"/>
    <pivotHierarchy dragToData="1"/>
    <pivotHierarchy dragToData="1"/>
    <pivotHierarchy dragToData="1"/>
    <pivotHierarchy multipleItemSelectionAllowed="1" dragToData="1">
      <members count="1" level="1">
        <member name="[World_Cup_Matches].[Stage].&amp;[Group 4]"/>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Goals"/>
    <pivotHierarchy dragToData="1"/>
    <pivotHierarchy dragToData="1"/>
  </pivotHierarchies>
  <pivotTableStyleInfo name="PivotStyleLight16" showRowHeaders="1" showColHeaders="1" showRowStripes="0" showColStripes="0" showLastColumn="1"/>
  <filters count="1">
    <filter fld="0" type="count" id="1" iMeasureHier="38">
      <autoFilter ref="A1">
        <filterColumn colId="0">
          <top10 val="10" filterVal="10"/>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orldCupMatches(AutoRecovered).xlsx!Table3">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E5FC1204-7719-4708-A2EF-03D7DB731486}" autoFormatId="16" applyNumberFormats="0" applyBorderFormats="0" applyFontFormats="0" applyPatternFormats="0" applyAlignmentFormats="0" applyWidthHeightFormats="0">
  <queryTableRefresh nextId="25">
    <queryTableFields count="24">
      <queryTableField id="1" name="World_Cup_Matches[Year]" tableColumnId="1"/>
      <queryTableField id="2" name="World_Cup_Matches[Datetime]" tableColumnId="2"/>
      <queryTableField id="3" name="World_Cup_Matches[Stage]" tableColumnId="3"/>
      <queryTableField id="4" name="World_Cup_Matches[Stadium]" tableColumnId="4"/>
      <queryTableField id="5" name="World_Cup_Matches[City]" tableColumnId="5"/>
      <queryTableField id="6" name="World_Cup_Matches[Home Team Name]" tableColumnId="6"/>
      <queryTableField id="7" name="World_Cup_Matches[Home Team Goals]" tableColumnId="7"/>
      <queryTableField id="8" name="World_Cup_Matches[Away Team Goals]" tableColumnId="8"/>
      <queryTableField id="9" name="World_Cup_Matches[Away Team Name]" tableColumnId="9"/>
      <queryTableField id="10" name="World_Cup_Matches[Win conditions]" tableColumnId="10"/>
      <queryTableField id="11" name="World_Cup_Matches[Attendance]" tableColumnId="11"/>
      <queryTableField id="12" name="World_Cup_Matches[Half-time Home Goals]" tableColumnId="12"/>
      <queryTableField id="13" name="World_Cup_Matches[Half-time Away Goals]" tableColumnId="13"/>
      <queryTableField id="14" name="World_Cup_Matches[Referee]" tableColumnId="14"/>
      <queryTableField id="15" name="World_Cup_Matches[Assistant 1]" tableColumnId="15"/>
      <queryTableField id="16" name="World_Cup_Matches[Assistant 2]" tableColumnId="16"/>
      <queryTableField id="17" name="World_Cup_Matches[RoundID]" tableColumnId="17"/>
      <queryTableField id="18" name="World_Cup_Matches[MatchID]" tableColumnId="18"/>
      <queryTableField id="19" name="World_Cup_Matches[Home Team Initials]" tableColumnId="19"/>
      <queryTableField id="20" name="World_Cup_Matches[Away Team Initials]" tableColumnId="20"/>
      <queryTableField id="21" name="World_Cup_Matches[total goals]" tableColumnId="21"/>
      <queryTableField id="22" name="World_Cup_Matches[Goal Difference]" tableColumnId="22"/>
      <queryTableField id="23" name="World_Cup_Matches[Winner]" tableColumnId="23"/>
      <queryTableField id="24" name="World_Cup_Matches[Result]" tableColumnId="24"/>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28D88642-2D57-4140-90F3-3ED9403A9734}" sourceName="[World_Cup_Matches].[Year]">
  <pivotTables>
    <pivotTable tabId="4" name="Number of Goals"/>
    <pivotTable tabId="5" name="Avarage of goals"/>
    <pivotTable tabId="3" name="Number of Matches"/>
    <pivotTable tabId="13" name="Average Attendance by World Cup Year"/>
  </pivotTables>
  <data>
    <olap pivotCacheId="1811989068">
      <levels count="2">
        <level uniqueName="[World_Cup_Matches].[Year].[(All)]" sourceCaption="(All)" count="0"/>
        <level uniqueName="[World_Cup_Matches].[Year].[Year]" sourceCaption="Year" count="20">
          <ranges>
            <range startItem="0">
              <i n="[World_Cup_Matches].[Year].&amp;[1930]" c="1930"/>
              <i n="[World_Cup_Matches].[Year].&amp;[1934]" c="1934"/>
              <i n="[World_Cup_Matches].[Year].&amp;[1938]" c="1938"/>
              <i n="[World_Cup_Matches].[Year].&amp;[1950]" c="1950"/>
              <i n="[World_Cup_Matches].[Year].&amp;[1954]" c="1954"/>
              <i n="[World_Cup_Matches].[Year].&amp;[1958]" c="1958"/>
              <i n="[World_Cup_Matches].[Year].&amp;[1962]" c="1962"/>
              <i n="[World_Cup_Matches].[Year].&amp;[1966]" c="1966"/>
              <i n="[World_Cup_Matches].[Year].&amp;[1970]" c="1970"/>
              <i n="[World_Cup_Matches].[Year].&amp;[1974]" c="1974"/>
              <i n="[World_Cup_Matches].[Year].&amp;[1978]" c="1978"/>
              <i n="[World_Cup_Matches].[Year].&amp;[1982]" c="1982"/>
              <i n="[World_Cup_Matches].[Year].&amp;[1986]" c="1986"/>
              <i n="[World_Cup_Matches].[Year].&amp;[1990]" c="1990"/>
              <i n="[World_Cup_Matches].[Year].&amp;[1994]" c="1994"/>
              <i n="[World_Cup_Matches].[Year].&amp;[1998]" c="1998"/>
              <i n="[World_Cup_Matches].[Year].&amp;[2002]" c="2002"/>
              <i n="[World_Cup_Matches].[Year].&amp;[2006]" c="2006"/>
              <i n="[World_Cup_Matches].[Year].&amp;[2010]" c="2010"/>
              <i n="[World_Cup_Matches].[Year].&amp;[2014]" c="2014"/>
            </range>
          </ranges>
        </level>
      </levels>
      <selections count="1">
        <selection n="[World_Cup_Matches].[Year].[All]"/>
      </selections>
    </olap>
  </data>
  <extLst>
    <x:ext xmlns:x15="http://schemas.microsoft.com/office/spreadsheetml/2010/11/main" uri="{470722E0-AACD-4C17-9CDC-17EF765DBC7E}">
      <x15:slicerCacheHideItemsWithNoData count="1">
        <x15:slicerCacheOlapLevelName uniqueName="[World_Cup_Matches].[Year].[Year]" count="0"/>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26610E5F-7176-4E49-8DA1-ECEDCA9468FA}" cache="Slicer_Year" caption="Year" columnCount="2" level="1" style="SlicerStyleDark1" rowHeight="27432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6799DA6-15F3-4DC5-A771-1C0654D829F6}" name="Table_ExternalData_1" displayName="Table_ExternalData_1" ref="A3:X55" tableType="queryTable" totalsRowShown="0">
  <autoFilter ref="A3:X55" xr:uid="{66799DA6-15F3-4DC5-A771-1C0654D829F6}"/>
  <tableColumns count="24">
    <tableColumn id="1" xr3:uid="{3F68296B-E3D5-4679-A2F1-056DC57F5D27}" uniqueName="1" name="World_Cup_Matches[Year]" queryTableFieldId="1"/>
    <tableColumn id="2" xr3:uid="{AE9478E8-4173-4F6D-96ED-7C02A91A71D7}" uniqueName="2" name="World_Cup_Matches[Datetime]" queryTableFieldId="2"/>
    <tableColumn id="3" xr3:uid="{1940350F-0B2A-4140-B739-A1A958F3E3AF}" uniqueName="3" name="World_Cup_Matches[Stage]" queryTableFieldId="3"/>
    <tableColumn id="4" xr3:uid="{75AC8F79-4BE0-4196-96A3-DB757B85CB12}" uniqueName="4" name="World_Cup_Matches[Stadium]" queryTableFieldId="4"/>
    <tableColumn id="5" xr3:uid="{E26FB34D-EF15-4E58-A0CB-F43B6E61958B}" uniqueName="5" name="World_Cup_Matches[City]" queryTableFieldId="5"/>
    <tableColumn id="6" xr3:uid="{A73977E6-2E82-4284-816E-8B6983352610}" uniqueName="6" name="World_Cup_Matches[Home Team Name]" queryTableFieldId="6"/>
    <tableColumn id="7" xr3:uid="{451E5B2E-4DB5-4EE7-9695-21FE8C7462B6}" uniqueName="7" name="World_Cup_Matches[Home Team Goals]" queryTableFieldId="7"/>
    <tableColumn id="8" xr3:uid="{CF655C6A-6C09-42FA-B049-2B821C87FE20}" uniqueName="8" name="World_Cup_Matches[Away Team Goals]" queryTableFieldId="8"/>
    <tableColumn id="9" xr3:uid="{884E14DA-1009-4CC4-87B7-07CC9FB30403}" uniqueName="9" name="World_Cup_Matches[Away Team Name]" queryTableFieldId="9"/>
    <tableColumn id="10" xr3:uid="{4926E737-D223-4AE5-A027-4F55EAE59851}" uniqueName="10" name="World_Cup_Matches[Win conditions]" queryTableFieldId="10"/>
    <tableColumn id="11" xr3:uid="{396EF3B0-F792-46C3-AEC0-EC1B20A5FC57}" uniqueName="11" name="World_Cup_Matches[Attendance]" queryTableFieldId="11"/>
    <tableColumn id="12" xr3:uid="{A5D7D30F-D917-4A79-BDC6-2F5A8093F6CF}" uniqueName="12" name="World_Cup_Matches[Half-time Home Goals]" queryTableFieldId="12"/>
    <tableColumn id="13" xr3:uid="{45041D5B-63DA-4669-ADD9-36CD69CBA8CE}" uniqueName="13" name="World_Cup_Matches[Half-time Away Goals]" queryTableFieldId="13"/>
    <tableColumn id="14" xr3:uid="{D5FDA4D1-6105-465F-BA34-37E27EE90609}" uniqueName="14" name="World_Cup_Matches[Referee]" queryTableFieldId="14"/>
    <tableColumn id="15" xr3:uid="{BA91647B-D958-49E5-ADBA-0D9491E5EB26}" uniqueName="15" name="World_Cup_Matches[Assistant 1]" queryTableFieldId="15"/>
    <tableColumn id="16" xr3:uid="{23599C8B-8285-46F0-A9B8-E2EFDD2D6EEC}" uniqueName="16" name="World_Cup_Matches[Assistant 2]" queryTableFieldId="16"/>
    <tableColumn id="17" xr3:uid="{073CFB30-46A2-401D-B08B-822A8ECD772A}" uniqueName="17" name="World_Cup_Matches[RoundID]" queryTableFieldId="17"/>
    <tableColumn id="18" xr3:uid="{0D08C78E-FBFB-49E0-87DE-2D29CB6A3BF9}" uniqueName="18" name="World_Cup_Matches[MatchID]" queryTableFieldId="18"/>
    <tableColumn id="19" xr3:uid="{4E15D42A-6108-4FFF-8E83-A116D40175C9}" uniqueName="19" name="World_Cup_Matches[Home Team Initials]" queryTableFieldId="19"/>
    <tableColumn id="20" xr3:uid="{75829466-2D76-439F-A507-A32DA8D7E965}" uniqueName="20" name="World_Cup_Matches[Away Team Initials]" queryTableFieldId="20"/>
    <tableColumn id="21" xr3:uid="{536FCE10-5C64-4455-8D6A-2BBEF3D48773}" uniqueName="21" name="World_Cup_Matches[total goals]" queryTableFieldId="21"/>
    <tableColumn id="22" xr3:uid="{D968C0B6-5C14-4F52-8990-9E6C5270C53F}" uniqueName="22" name="World_Cup_Matches[Goal Difference]" queryTableFieldId="22"/>
    <tableColumn id="23" xr3:uid="{27FAC213-F5AA-436D-B99D-A8B55BECDE04}" uniqueName="23" name="World_Cup_Matches[Winner]" queryTableFieldId="23"/>
    <tableColumn id="24" xr3:uid="{354238B5-00AD-4225-B81A-ABAFE074AC7F}" uniqueName="24" name="World_Cup_Matches[Result]" queryTableFieldId="2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D3D4B64-5254-40D3-8C9F-4E9EAD677F50}" name="Table3" displayName="Table3" ref="A1:B1706" totalsRowCount="1" headerRowBorderDxfId="142" tableBorderDxfId="143" totalsRowBorderDxfId="141">
  <autoFilter ref="A1:B1705" xr:uid="{5D3D4B64-5254-40D3-8C9F-4E9EAD677F50}"/>
  <tableColumns count="2">
    <tableColumn id="1" xr3:uid="{BB575518-6455-474C-BE54-B43A865C9C35}" name="Team Name" totalsRowLabel="Sum of Goals" dataDxfId="140" totalsRowDxfId="1"/>
    <tableColumn id="2" xr3:uid="{5E72F5AA-FB27-4EE2-8FEA-F7CDF3124904}" name="Team Goals" totalsRowFunction="sum" dataDxfId="139" totalsRowDxfId="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50BB0FC-5913-4806-A420-6FEB317A7CEF}" name="World_Cup_Matches" displayName="World_Cup_Matches" ref="A1:X853" totalsRowShown="0" headerRowDxfId="186" dataDxfId="184" headerRowBorderDxfId="185" tableBorderDxfId="183" totalsRowBorderDxfId="182">
  <autoFilter ref="A1:X853" xr:uid="{A50BB0FC-5913-4806-A420-6FEB317A7CEF}"/>
  <tableColumns count="24">
    <tableColumn id="1" xr3:uid="{7B91D2C5-3278-47C7-BA67-4281A879072C}" name="Year" dataDxfId="181" totalsRowDxfId="138"/>
    <tableColumn id="2" xr3:uid="{B641B50D-A9F6-45D5-B2DF-A34C5FF0376A}" name="Datetime" dataDxfId="180" totalsRowDxfId="137"/>
    <tableColumn id="3" xr3:uid="{2A351C44-CA54-47AE-8015-000FD9FEF402}" name="Stage" dataDxfId="179" totalsRowDxfId="136"/>
    <tableColumn id="4" xr3:uid="{B4FA450E-B23D-4E5A-AD8C-864917CC2C0A}" name="Stadium" dataDxfId="178" totalsRowDxfId="135"/>
    <tableColumn id="5" xr3:uid="{4F58EFB8-6C16-4018-BB33-06BAD74D9052}" name="City" dataDxfId="177" totalsRowDxfId="134"/>
    <tableColumn id="6" xr3:uid="{A90E710D-9CC0-48BA-B18C-A36814907097}" name="Home Team Name" dataDxfId="176" totalsRowDxfId="133"/>
    <tableColumn id="7" xr3:uid="{A06FF787-9B9C-4519-B60B-8CE90E804594}" name="Home Team Goals" dataDxfId="175" totalsRowDxfId="132"/>
    <tableColumn id="8" xr3:uid="{1F338974-0121-4546-AFF4-951A39CFDD1C}" name="Away Team Goals" dataDxfId="174" totalsRowDxfId="131"/>
    <tableColumn id="9" xr3:uid="{7CFBEC3F-0B5E-46FF-8941-3F5B013BEFBE}" name="Away Team Name" dataDxfId="173" totalsRowDxfId="130"/>
    <tableColumn id="10" xr3:uid="{E1AFD567-3902-4524-B09B-DFC7ED7E7F72}" name="Win conditions" dataDxfId="172" totalsRowDxfId="129"/>
    <tableColumn id="11" xr3:uid="{CA6CEDA3-7AF7-4320-8F92-EBA9DCEB913B}" name="Attendance" dataDxfId="171" totalsRowDxfId="128"/>
    <tableColumn id="12" xr3:uid="{E1C8606D-A4C9-4762-9306-C5CD86FBEB83}" name="Half-time Home Goals" dataDxfId="170" totalsRowDxfId="127"/>
    <tableColumn id="13" xr3:uid="{90332FBA-C9A7-43EF-8B77-0CAB77931168}" name="Half-time Away Goals" dataDxfId="169" totalsRowDxfId="126"/>
    <tableColumn id="14" xr3:uid="{B241C9E4-89CB-4154-ACD8-C7B384AADC8B}" name="Referee" dataDxfId="168" totalsRowDxfId="125"/>
    <tableColumn id="15" xr3:uid="{EE0AA955-17BB-452F-84CC-B0D43F0EE7E5}" name="Assistant 1" dataDxfId="167" totalsRowDxfId="124"/>
    <tableColumn id="16" xr3:uid="{035E5A70-60DD-4FF1-8FA9-1359A6E2A152}" name="Assistant 2" dataDxfId="166" totalsRowDxfId="123"/>
    <tableColumn id="17" xr3:uid="{A51098AF-D296-4F21-B4EC-F2DB177E6C93}" name="RoundID" dataDxfId="165" totalsRowDxfId="122"/>
    <tableColumn id="18" xr3:uid="{D75DD887-7BA7-4244-9E69-2DFEB7A1E25F}" name="MatchID" dataDxfId="164" totalsRowDxfId="121"/>
    <tableColumn id="19" xr3:uid="{916D024E-E3C9-4996-8743-3FFD0242E5E7}" name="Home Team Initials" dataDxfId="163" totalsRowDxfId="120"/>
    <tableColumn id="20" xr3:uid="{38C1D9CE-0DFB-4B95-BA91-74EF40B1DAE1}" name="Away Team Initials" dataDxfId="162" totalsRowDxfId="119"/>
    <tableColumn id="23" xr3:uid="{FE023D89-410D-4DFC-85F1-CA685A40AAE8}" name="total goals" dataDxfId="161" totalsRowDxfId="118">
      <calculatedColumnFormula>World_Cup_Matches[[#This Row],[Home Team Goals]]+World_Cup_Matches[[#This Row],[Away Team Goals]]</calculatedColumnFormula>
    </tableColumn>
    <tableColumn id="24" xr3:uid="{FC5F250A-9CA0-452D-93A8-F0FD2E3EF2F2}" name="Goal Difference" dataDxfId="160" totalsRowDxfId="117">
      <calculatedColumnFormula>World_Cup_Matches[[#This Row],[Home Team Goals]]-World_Cup_Matches[[#This Row],[Away Team Goals]]</calculatedColumnFormula>
    </tableColumn>
    <tableColumn id="26" xr3:uid="{A6240395-D0AA-406B-A76B-1D706D8F0432}" name="Winner" dataDxfId="159" totalsRowDxfId="116">
      <calculatedColumnFormula>IF(World_Cup_Matches[[#This Row],[Home Team Goals]]&gt;World_Cup_Matches[[#This Row],[Away Team Goals]],World_Cup_Matches[[#This Row],[Home Team Name]],IF(World_Cup_Matches[[#This Row],[Away Team Goals]]&gt;World_Cup_Matches[[#This Row],[Home Team Goals]], World_Cup_Matches[[#This Row],[Away Team Name]],"Draw"))</calculatedColumnFormula>
    </tableColumn>
    <tableColumn id="25" xr3:uid="{24F36865-1B35-43AD-8FE5-A66BF9BB9781}" name="Result" dataDxfId="158" totalsRowDxfId="115">
      <calculatedColumnFormula>IF(World_Cup_Matches[[#This Row],[Home Team Goals]]&gt;World_Cup_Matches[[#This Row],[Away Team Goals]],"Hime Win",IF(World_Cup_Matches[[#This Row],[Away Team Goals]]&gt;World_Cup_Matches[[#This Row],[Home Team Goals]],"Away win","Draw"))</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7.bin"/><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8.bin"/><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0.bin"/><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9.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333C6-B85B-4918-8C07-17FC9963D5E4}">
  <sheetPr>
    <tabColor rgb="FF002060"/>
  </sheetPr>
  <dimension ref="A3:B24"/>
  <sheetViews>
    <sheetView zoomScaleNormal="100" workbookViewId="0">
      <selection activeCell="B3" sqref="B3"/>
    </sheetView>
  </sheetViews>
  <sheetFormatPr defaultRowHeight="12.75" x14ac:dyDescent="0.2"/>
  <cols>
    <col min="1" max="1" width="11.7109375" bestFit="1" customWidth="1"/>
    <col min="2" max="2" width="18.7109375" bestFit="1" customWidth="1"/>
  </cols>
  <sheetData>
    <row r="3" spans="1:2" x14ac:dyDescent="0.2">
      <c r="A3" s="23" t="s">
        <v>1849</v>
      </c>
      <c r="B3" s="3" t="s">
        <v>1848</v>
      </c>
    </row>
    <row r="4" spans="1:2" x14ac:dyDescent="0.2">
      <c r="A4" s="3">
        <v>1930</v>
      </c>
      <c r="B4" s="27">
        <v>18</v>
      </c>
    </row>
    <row r="5" spans="1:2" x14ac:dyDescent="0.2">
      <c r="A5" s="3">
        <v>1934</v>
      </c>
      <c r="B5" s="27">
        <v>17</v>
      </c>
    </row>
    <row r="6" spans="1:2" x14ac:dyDescent="0.2">
      <c r="A6" s="3">
        <v>1938</v>
      </c>
      <c r="B6" s="27">
        <v>18</v>
      </c>
    </row>
    <row r="7" spans="1:2" x14ac:dyDescent="0.2">
      <c r="A7" s="3">
        <v>1950</v>
      </c>
      <c r="B7" s="27">
        <v>22</v>
      </c>
    </row>
    <row r="8" spans="1:2" x14ac:dyDescent="0.2">
      <c r="A8" s="3">
        <v>1954</v>
      </c>
      <c r="B8" s="27">
        <v>26</v>
      </c>
    </row>
    <row r="9" spans="1:2" x14ac:dyDescent="0.2">
      <c r="A9" s="3">
        <v>1958</v>
      </c>
      <c r="B9" s="27">
        <v>35</v>
      </c>
    </row>
    <row r="10" spans="1:2" x14ac:dyDescent="0.2">
      <c r="A10" s="3">
        <v>1962</v>
      </c>
      <c r="B10" s="27">
        <v>32</v>
      </c>
    </row>
    <row r="11" spans="1:2" x14ac:dyDescent="0.2">
      <c r="A11" s="3">
        <v>1966</v>
      </c>
      <c r="B11" s="27">
        <v>32</v>
      </c>
    </row>
    <row r="12" spans="1:2" x14ac:dyDescent="0.2">
      <c r="A12" s="3">
        <v>1970</v>
      </c>
      <c r="B12" s="27">
        <v>32</v>
      </c>
    </row>
    <row r="13" spans="1:2" x14ac:dyDescent="0.2">
      <c r="A13" s="3">
        <v>1974</v>
      </c>
      <c r="B13" s="27">
        <v>38</v>
      </c>
    </row>
    <row r="14" spans="1:2" x14ac:dyDescent="0.2">
      <c r="A14" s="3">
        <v>1978</v>
      </c>
      <c r="B14" s="27">
        <v>38</v>
      </c>
    </row>
    <row r="15" spans="1:2" x14ac:dyDescent="0.2">
      <c r="A15" s="3">
        <v>1982</v>
      </c>
      <c r="B15" s="27">
        <v>52</v>
      </c>
    </row>
    <row r="16" spans="1:2" x14ac:dyDescent="0.2">
      <c r="A16" s="3">
        <v>1986</v>
      </c>
      <c r="B16" s="27">
        <v>52</v>
      </c>
    </row>
    <row r="17" spans="1:2" x14ac:dyDescent="0.2">
      <c r="A17" s="3">
        <v>1990</v>
      </c>
      <c r="B17" s="27">
        <v>52</v>
      </c>
    </row>
    <row r="18" spans="1:2" x14ac:dyDescent="0.2">
      <c r="A18" s="3">
        <v>1994</v>
      </c>
      <c r="B18" s="27">
        <v>52</v>
      </c>
    </row>
    <row r="19" spans="1:2" x14ac:dyDescent="0.2">
      <c r="A19" s="3">
        <v>1998</v>
      </c>
      <c r="B19" s="27">
        <v>64</v>
      </c>
    </row>
    <row r="20" spans="1:2" x14ac:dyDescent="0.2">
      <c r="A20" s="3">
        <v>2002</v>
      </c>
      <c r="B20" s="27">
        <v>64</v>
      </c>
    </row>
    <row r="21" spans="1:2" x14ac:dyDescent="0.2">
      <c r="A21" s="3">
        <v>2006</v>
      </c>
      <c r="B21" s="27">
        <v>64</v>
      </c>
    </row>
    <row r="22" spans="1:2" x14ac:dyDescent="0.2">
      <c r="A22" s="3">
        <v>2010</v>
      </c>
      <c r="B22" s="27">
        <v>64</v>
      </c>
    </row>
    <row r="23" spans="1:2" x14ac:dyDescent="0.2">
      <c r="A23" s="3">
        <v>2014</v>
      </c>
      <c r="B23" s="27">
        <v>80</v>
      </c>
    </row>
    <row r="24" spans="1:2" x14ac:dyDescent="0.2">
      <c r="A24" s="3" t="s">
        <v>1847</v>
      </c>
      <c r="B24" s="27">
        <v>852</v>
      </c>
    </row>
  </sheetData>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5A59B-DE43-4DC0-848B-C6CCDA1C42D7}">
  <sheetPr>
    <tabColor rgb="FF00B050"/>
  </sheetPr>
  <dimension ref="A3:B24"/>
  <sheetViews>
    <sheetView workbookViewId="0">
      <selection activeCell="B24" sqref="B24"/>
    </sheetView>
  </sheetViews>
  <sheetFormatPr defaultRowHeight="12.75" x14ac:dyDescent="0.2"/>
  <cols>
    <col min="1" max="1" width="11.7109375" bestFit="1" customWidth="1"/>
    <col min="2" max="2" width="16.28515625" bestFit="1" customWidth="1"/>
  </cols>
  <sheetData>
    <row r="3" spans="1:2" x14ac:dyDescent="0.2">
      <c r="A3" s="23" t="s">
        <v>1849</v>
      </c>
      <c r="B3" s="3" t="s">
        <v>1850</v>
      </c>
    </row>
    <row r="4" spans="1:2" x14ac:dyDescent="0.2">
      <c r="A4" s="3">
        <v>1930</v>
      </c>
      <c r="B4" s="27">
        <v>70</v>
      </c>
    </row>
    <row r="5" spans="1:2" x14ac:dyDescent="0.2">
      <c r="A5" s="3">
        <v>1934</v>
      </c>
      <c r="B5" s="27">
        <v>70</v>
      </c>
    </row>
    <row r="6" spans="1:2" x14ac:dyDescent="0.2">
      <c r="A6" s="3">
        <v>1938</v>
      </c>
      <c r="B6" s="27">
        <v>84</v>
      </c>
    </row>
    <row r="7" spans="1:2" x14ac:dyDescent="0.2">
      <c r="A7" s="3">
        <v>1950</v>
      </c>
      <c r="B7" s="27">
        <v>88</v>
      </c>
    </row>
    <row r="8" spans="1:2" x14ac:dyDescent="0.2">
      <c r="A8" s="3">
        <v>1954</v>
      </c>
      <c r="B8" s="27">
        <v>140</v>
      </c>
    </row>
    <row r="9" spans="1:2" x14ac:dyDescent="0.2">
      <c r="A9" s="3">
        <v>1958</v>
      </c>
      <c r="B9" s="27">
        <v>126</v>
      </c>
    </row>
    <row r="10" spans="1:2" x14ac:dyDescent="0.2">
      <c r="A10" s="3">
        <v>1962</v>
      </c>
      <c r="B10" s="27">
        <v>89</v>
      </c>
    </row>
    <row r="11" spans="1:2" x14ac:dyDescent="0.2">
      <c r="A11" s="3">
        <v>1966</v>
      </c>
      <c r="B11" s="27">
        <v>89</v>
      </c>
    </row>
    <row r="12" spans="1:2" x14ac:dyDescent="0.2">
      <c r="A12" s="3">
        <v>1970</v>
      </c>
      <c r="B12" s="27">
        <v>95</v>
      </c>
    </row>
    <row r="13" spans="1:2" x14ac:dyDescent="0.2">
      <c r="A13" s="3">
        <v>1974</v>
      </c>
      <c r="B13" s="27">
        <v>97</v>
      </c>
    </row>
    <row r="14" spans="1:2" x14ac:dyDescent="0.2">
      <c r="A14" s="3">
        <v>1978</v>
      </c>
      <c r="B14" s="27">
        <v>102</v>
      </c>
    </row>
    <row r="15" spans="1:2" x14ac:dyDescent="0.2">
      <c r="A15" s="3">
        <v>1982</v>
      </c>
      <c r="B15" s="27">
        <v>146</v>
      </c>
    </row>
    <row r="16" spans="1:2" x14ac:dyDescent="0.2">
      <c r="A16" s="3">
        <v>1986</v>
      </c>
      <c r="B16" s="27">
        <v>132</v>
      </c>
    </row>
    <row r="17" spans="1:2" x14ac:dyDescent="0.2">
      <c r="A17" s="3">
        <v>1990</v>
      </c>
      <c r="B17" s="27">
        <v>115</v>
      </c>
    </row>
    <row r="18" spans="1:2" x14ac:dyDescent="0.2">
      <c r="A18" s="3">
        <v>1994</v>
      </c>
      <c r="B18" s="27">
        <v>141</v>
      </c>
    </row>
    <row r="19" spans="1:2" x14ac:dyDescent="0.2">
      <c r="A19" s="3">
        <v>1998</v>
      </c>
      <c r="B19" s="27">
        <v>171</v>
      </c>
    </row>
    <row r="20" spans="1:2" x14ac:dyDescent="0.2">
      <c r="A20" s="3">
        <v>2002</v>
      </c>
      <c r="B20" s="27">
        <v>161</v>
      </c>
    </row>
    <row r="21" spans="1:2" x14ac:dyDescent="0.2">
      <c r="A21" s="3">
        <v>2006</v>
      </c>
      <c r="B21" s="27">
        <v>147</v>
      </c>
    </row>
    <row r="22" spans="1:2" x14ac:dyDescent="0.2">
      <c r="A22" s="3">
        <v>2010</v>
      </c>
      <c r="B22" s="27">
        <v>145</v>
      </c>
    </row>
    <row r="23" spans="1:2" x14ac:dyDescent="0.2">
      <c r="A23" s="3">
        <v>2014</v>
      </c>
      <c r="B23" s="27">
        <v>206</v>
      </c>
    </row>
    <row r="24" spans="1:2" x14ac:dyDescent="0.2">
      <c r="A24" s="3" t="s">
        <v>1847</v>
      </c>
      <c r="B24" s="27">
        <v>2414</v>
      </c>
    </row>
  </sheetData>
  <pageMargins left="0.7" right="0.7" top="0.75" bottom="0.75" header="0.3" footer="0.3"/>
  <pageSetup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0DDAC-531C-4BA2-A707-331FFB469BD3}">
  <sheetPr>
    <tabColor rgb="FF7030A0"/>
  </sheetPr>
  <dimension ref="A3:B24"/>
  <sheetViews>
    <sheetView workbookViewId="0">
      <selection activeCell="B24" sqref="B24"/>
    </sheetView>
  </sheetViews>
  <sheetFormatPr defaultRowHeight="12.75" x14ac:dyDescent="0.2"/>
  <cols>
    <col min="1" max="1" width="11.7109375" bestFit="1" customWidth="1"/>
    <col min="2" max="2" width="21.140625" style="24" bestFit="1" customWidth="1"/>
  </cols>
  <sheetData>
    <row r="3" spans="1:2" x14ac:dyDescent="0.2">
      <c r="A3" s="23" t="s">
        <v>1852</v>
      </c>
      <c r="B3" s="9" t="s">
        <v>1851</v>
      </c>
    </row>
    <row r="4" spans="1:2" x14ac:dyDescent="0.2">
      <c r="A4" s="3">
        <v>1930</v>
      </c>
      <c r="B4" s="9">
        <v>3.8888888888888888</v>
      </c>
    </row>
    <row r="5" spans="1:2" x14ac:dyDescent="0.2">
      <c r="A5" s="3">
        <v>1934</v>
      </c>
      <c r="B5" s="9">
        <v>4.117647058823529</v>
      </c>
    </row>
    <row r="6" spans="1:2" x14ac:dyDescent="0.2">
      <c r="A6" s="3">
        <v>1938</v>
      </c>
      <c r="B6" s="9">
        <v>4.666666666666667</v>
      </c>
    </row>
    <row r="7" spans="1:2" x14ac:dyDescent="0.2">
      <c r="A7" s="3">
        <v>1950</v>
      </c>
      <c r="B7" s="9">
        <v>4</v>
      </c>
    </row>
    <row r="8" spans="1:2" x14ac:dyDescent="0.2">
      <c r="A8" s="3">
        <v>1954</v>
      </c>
      <c r="B8" s="9">
        <v>5.384615384615385</v>
      </c>
    </row>
    <row r="9" spans="1:2" x14ac:dyDescent="0.2">
      <c r="A9" s="3">
        <v>1958</v>
      </c>
      <c r="B9" s="9">
        <v>3.6</v>
      </c>
    </row>
    <row r="10" spans="1:2" x14ac:dyDescent="0.2">
      <c r="A10" s="3">
        <v>1962</v>
      </c>
      <c r="B10" s="9">
        <v>2.78125</v>
      </c>
    </row>
    <row r="11" spans="1:2" x14ac:dyDescent="0.2">
      <c r="A11" s="3">
        <v>1966</v>
      </c>
      <c r="B11" s="9">
        <v>2.78125</v>
      </c>
    </row>
    <row r="12" spans="1:2" x14ac:dyDescent="0.2">
      <c r="A12" s="3">
        <v>1970</v>
      </c>
      <c r="B12" s="9">
        <v>2.96875</v>
      </c>
    </row>
    <row r="13" spans="1:2" x14ac:dyDescent="0.2">
      <c r="A13" s="3">
        <v>1974</v>
      </c>
      <c r="B13" s="9">
        <v>2.5526315789473686</v>
      </c>
    </row>
    <row r="14" spans="1:2" x14ac:dyDescent="0.2">
      <c r="A14" s="3">
        <v>1978</v>
      </c>
      <c r="B14" s="9">
        <v>2.6842105263157894</v>
      </c>
    </row>
    <row r="15" spans="1:2" x14ac:dyDescent="0.2">
      <c r="A15" s="3">
        <v>1982</v>
      </c>
      <c r="B15" s="9">
        <v>2.8076923076923075</v>
      </c>
    </row>
    <row r="16" spans="1:2" x14ac:dyDescent="0.2">
      <c r="A16" s="3">
        <v>1986</v>
      </c>
      <c r="B16" s="9">
        <v>2.5384615384615383</v>
      </c>
    </row>
    <row r="17" spans="1:2" x14ac:dyDescent="0.2">
      <c r="A17" s="3">
        <v>1990</v>
      </c>
      <c r="B17" s="9">
        <v>2.2115384615384617</v>
      </c>
    </row>
    <row r="18" spans="1:2" x14ac:dyDescent="0.2">
      <c r="A18" s="3">
        <v>1994</v>
      </c>
      <c r="B18" s="9">
        <v>2.7115384615384617</v>
      </c>
    </row>
    <row r="19" spans="1:2" x14ac:dyDescent="0.2">
      <c r="A19" s="3">
        <v>1998</v>
      </c>
      <c r="B19" s="9">
        <v>2.671875</v>
      </c>
    </row>
    <row r="20" spans="1:2" x14ac:dyDescent="0.2">
      <c r="A20" s="3">
        <v>2002</v>
      </c>
      <c r="B20" s="9">
        <v>2.515625</v>
      </c>
    </row>
    <row r="21" spans="1:2" x14ac:dyDescent="0.2">
      <c r="A21" s="3">
        <v>2006</v>
      </c>
      <c r="B21" s="9">
        <v>2.296875</v>
      </c>
    </row>
    <row r="22" spans="1:2" x14ac:dyDescent="0.2">
      <c r="A22" s="3">
        <v>2010</v>
      </c>
      <c r="B22" s="9">
        <v>2.265625</v>
      </c>
    </row>
    <row r="23" spans="1:2" x14ac:dyDescent="0.2">
      <c r="A23" s="3">
        <v>2014</v>
      </c>
      <c r="B23" s="9">
        <v>2.5750000000000002</v>
      </c>
    </row>
    <row r="24" spans="1:2" x14ac:dyDescent="0.2">
      <c r="A24" s="3" t="s">
        <v>1847</v>
      </c>
      <c r="B24" s="9">
        <v>2.8333333333333335</v>
      </c>
    </row>
  </sheetData>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4286A-1870-4CBE-8C74-F9796B92700E}">
  <dimension ref="A3:B27"/>
  <sheetViews>
    <sheetView workbookViewId="0">
      <selection activeCell="O8" sqref="O8"/>
    </sheetView>
  </sheetViews>
  <sheetFormatPr defaultRowHeight="12.75" x14ac:dyDescent="0.2"/>
  <cols>
    <col min="1" max="1" width="19.140625" bestFit="1" customWidth="1"/>
    <col min="2" max="2" width="21.140625" style="25" bestFit="1" customWidth="1"/>
  </cols>
  <sheetData>
    <row r="3" spans="1:2" x14ac:dyDescent="0.2">
      <c r="A3" s="23" t="s">
        <v>1853</v>
      </c>
      <c r="B3" s="26" t="s">
        <v>1851</v>
      </c>
    </row>
    <row r="4" spans="1:2" x14ac:dyDescent="0.2">
      <c r="A4" s="3" t="s">
        <v>88</v>
      </c>
      <c r="B4" s="26">
        <v>5.375</v>
      </c>
    </row>
    <row r="5" spans="1:2" x14ac:dyDescent="0.2">
      <c r="A5" s="3" t="s">
        <v>159</v>
      </c>
      <c r="B5" s="26">
        <v>4.8888888888888893</v>
      </c>
    </row>
    <row r="6" spans="1:2" x14ac:dyDescent="0.2">
      <c r="A6" s="3" t="s">
        <v>262</v>
      </c>
      <c r="B6" s="26">
        <v>4.75</v>
      </c>
    </row>
    <row r="7" spans="1:2" x14ac:dyDescent="0.2">
      <c r="A7" s="3" t="s">
        <v>1419</v>
      </c>
      <c r="B7" s="26">
        <v>4.5</v>
      </c>
    </row>
    <row r="8" spans="1:2" x14ac:dyDescent="0.2">
      <c r="A8" s="3" t="s">
        <v>155</v>
      </c>
      <c r="B8" s="26">
        <v>3.9333333333333331</v>
      </c>
    </row>
    <row r="9" spans="1:2" x14ac:dyDescent="0.2">
      <c r="A9" s="3" t="s">
        <v>83</v>
      </c>
      <c r="B9" s="26">
        <v>3.6388888888888888</v>
      </c>
    </row>
    <row r="10" spans="1:2" x14ac:dyDescent="0.2">
      <c r="A10" s="3" t="s">
        <v>86</v>
      </c>
      <c r="B10" s="26">
        <v>3.45</v>
      </c>
    </row>
    <row r="11" spans="1:2" x14ac:dyDescent="0.2">
      <c r="A11" s="3" t="s">
        <v>31</v>
      </c>
      <c r="B11" s="26">
        <v>3.2</v>
      </c>
    </row>
    <row r="12" spans="1:2" x14ac:dyDescent="0.2">
      <c r="A12" s="3" t="s">
        <v>40</v>
      </c>
      <c r="B12" s="26">
        <v>3.1694915254237288</v>
      </c>
    </row>
    <row r="13" spans="1:2" x14ac:dyDescent="0.2">
      <c r="A13" s="3" t="s">
        <v>1830</v>
      </c>
      <c r="B13" s="26">
        <v>3</v>
      </c>
    </row>
    <row r="14" spans="1:2" x14ac:dyDescent="0.2">
      <c r="A14" s="3" t="s">
        <v>1847</v>
      </c>
      <c r="B14" s="26">
        <v>3.5825688073394497</v>
      </c>
    </row>
    <row r="15" spans="1:2" x14ac:dyDescent="0.2">
      <c r="B15"/>
    </row>
    <row r="16" spans="1:2" x14ac:dyDescent="0.2">
      <c r="B16"/>
    </row>
    <row r="17" spans="2:2" x14ac:dyDescent="0.2">
      <c r="B17"/>
    </row>
    <row r="18" spans="2:2" x14ac:dyDescent="0.2">
      <c r="B18"/>
    </row>
    <row r="19" spans="2:2" x14ac:dyDescent="0.2">
      <c r="B19"/>
    </row>
    <row r="20" spans="2:2" x14ac:dyDescent="0.2">
      <c r="B20"/>
    </row>
    <row r="21" spans="2:2" x14ac:dyDescent="0.2">
      <c r="B21"/>
    </row>
    <row r="22" spans="2:2" x14ac:dyDescent="0.2">
      <c r="B22"/>
    </row>
    <row r="23" spans="2:2" x14ac:dyDescent="0.2">
      <c r="B23"/>
    </row>
    <row r="24" spans="2:2" x14ac:dyDescent="0.2">
      <c r="B24"/>
    </row>
    <row r="25" spans="2:2" x14ac:dyDescent="0.2">
      <c r="B25"/>
    </row>
    <row r="26" spans="2:2" x14ac:dyDescent="0.2">
      <c r="B26"/>
    </row>
    <row r="27" spans="2:2" x14ac:dyDescent="0.2">
      <c r="B27"/>
    </row>
  </sheetData>
  <conditionalFormatting pivot="1" sqref="B4:B13">
    <cfRule type="top10" dxfId="62" priority="2" percent="1" rank="10"/>
  </conditionalFormatting>
  <conditionalFormatting pivot="1" sqref="B4:B13">
    <cfRule type="top10" dxfId="61" priority="1" percent="1" bottom="1" rank="10"/>
  </conditionalFormatting>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6460E1-D5D9-4B7B-A158-DB5FFDB09604}">
  <dimension ref="A3:B14"/>
  <sheetViews>
    <sheetView zoomScale="85" zoomScaleNormal="85" workbookViewId="0">
      <selection activeCell="A11" sqref="A11"/>
    </sheetView>
  </sheetViews>
  <sheetFormatPr defaultRowHeight="12.75" x14ac:dyDescent="0.2"/>
  <cols>
    <col min="1" max="1" width="13.28515625" bestFit="1" customWidth="1"/>
    <col min="2" max="2" width="19.85546875" bestFit="1" customWidth="1"/>
  </cols>
  <sheetData>
    <row r="3" spans="1:2" x14ac:dyDescent="0.2">
      <c r="A3" s="23" t="s">
        <v>4</v>
      </c>
      <c r="B3" s="3" t="s">
        <v>1873</v>
      </c>
    </row>
    <row r="4" spans="1:2" x14ac:dyDescent="0.2">
      <c r="A4" s="3" t="s">
        <v>1860</v>
      </c>
      <c r="B4" s="27">
        <v>23</v>
      </c>
    </row>
    <row r="5" spans="1:2" x14ac:dyDescent="0.2">
      <c r="A5" s="3" t="s">
        <v>1856</v>
      </c>
      <c r="B5" s="27">
        <v>18</v>
      </c>
    </row>
    <row r="6" spans="1:2" x14ac:dyDescent="0.2">
      <c r="A6" s="3" t="s">
        <v>1854</v>
      </c>
      <c r="B6" s="27">
        <v>18</v>
      </c>
    </row>
    <row r="7" spans="1:2" x14ac:dyDescent="0.2">
      <c r="A7" s="3" t="s">
        <v>1858</v>
      </c>
      <c r="B7" s="27">
        <v>17</v>
      </c>
    </row>
    <row r="8" spans="1:2" x14ac:dyDescent="0.2">
      <c r="A8" s="3" t="s">
        <v>1872</v>
      </c>
      <c r="B8" s="27">
        <v>15</v>
      </c>
    </row>
    <row r="9" spans="1:2" x14ac:dyDescent="0.2">
      <c r="A9" s="3" t="s">
        <v>1857</v>
      </c>
      <c r="B9" s="27">
        <v>14</v>
      </c>
    </row>
    <row r="10" spans="1:2" x14ac:dyDescent="0.2">
      <c r="A10" s="3" t="s">
        <v>1862</v>
      </c>
      <c r="B10" s="27">
        <v>12</v>
      </c>
    </row>
    <row r="11" spans="1:2" x14ac:dyDescent="0.2">
      <c r="A11" s="3" t="s">
        <v>1861</v>
      </c>
      <c r="B11" s="27">
        <v>11</v>
      </c>
    </row>
    <row r="12" spans="1:2" x14ac:dyDescent="0.2">
      <c r="A12" s="3" t="s">
        <v>1855</v>
      </c>
      <c r="B12" s="27">
        <v>11</v>
      </c>
    </row>
    <row r="13" spans="1:2" x14ac:dyDescent="0.2">
      <c r="A13" s="3" t="s">
        <v>1859</v>
      </c>
      <c r="B13" s="27">
        <v>11</v>
      </c>
    </row>
    <row r="14" spans="1:2" x14ac:dyDescent="0.2">
      <c r="A14" s="3" t="s">
        <v>1847</v>
      </c>
      <c r="B14" s="27">
        <v>150</v>
      </c>
    </row>
  </sheetData>
  <pageMargins left="0.7" right="0.7" top="0.75" bottom="0.75" header="0.3" footer="0.3"/>
  <pageSetup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BC3AD-F8ED-44BB-8156-8E9C5E65E7FC}">
  <dimension ref="A1:X55"/>
  <sheetViews>
    <sheetView workbookViewId="0"/>
  </sheetViews>
  <sheetFormatPr defaultRowHeight="12.75" x14ac:dyDescent="0.2"/>
  <cols>
    <col min="1" max="1" width="27.42578125" bestFit="1" customWidth="1"/>
    <col min="2" max="2" width="31.5703125" bestFit="1" customWidth="1"/>
    <col min="3" max="3" width="28.7109375" bestFit="1" customWidth="1"/>
    <col min="4" max="4" width="31" bestFit="1" customWidth="1"/>
    <col min="5" max="5" width="26.7109375" bestFit="1" customWidth="1"/>
    <col min="6" max="6" width="40.7109375" bestFit="1" customWidth="1"/>
    <col min="7" max="7" width="40.5703125" bestFit="1" customWidth="1"/>
    <col min="8" max="8" width="40.28515625" bestFit="1" customWidth="1"/>
    <col min="9" max="9" width="40.42578125" bestFit="1" customWidth="1"/>
    <col min="10" max="10" width="37.140625" bestFit="1" customWidth="1"/>
    <col min="11" max="11" width="33.85546875" bestFit="1" customWidth="1"/>
    <col min="12" max="12" width="43.5703125" bestFit="1" customWidth="1"/>
    <col min="13" max="13" width="43.28515625" bestFit="1" customWidth="1"/>
    <col min="14" max="14" width="34.42578125" bestFit="1" customWidth="1"/>
    <col min="15" max="16" width="35.42578125" bestFit="1" customWidth="1"/>
    <col min="17" max="17" width="31.140625" bestFit="1" customWidth="1"/>
    <col min="18" max="18" width="30.7109375" bestFit="1" customWidth="1"/>
    <col min="19" max="19" width="41.42578125" bestFit="1" customWidth="1"/>
    <col min="20" max="20" width="41.140625" bestFit="1" customWidth="1"/>
    <col min="21" max="21" width="33" bestFit="1" customWidth="1"/>
    <col min="22" max="22" width="37.85546875" bestFit="1" customWidth="1"/>
    <col min="23" max="23" width="30" bestFit="1" customWidth="1"/>
    <col min="24" max="24" width="29" bestFit="1" customWidth="1"/>
  </cols>
  <sheetData>
    <row r="1" spans="1:24" x14ac:dyDescent="0.2">
      <c r="A1" s="37" t="s">
        <v>1959</v>
      </c>
    </row>
    <row r="3" spans="1:24" x14ac:dyDescent="0.2">
      <c r="A3" t="s">
        <v>1883</v>
      </c>
      <c r="B3" t="s">
        <v>1884</v>
      </c>
      <c r="C3" t="s">
        <v>1885</v>
      </c>
      <c r="D3" t="s">
        <v>1886</v>
      </c>
      <c r="E3" t="s">
        <v>1887</v>
      </c>
      <c r="F3" t="s">
        <v>1888</v>
      </c>
      <c r="G3" t="s">
        <v>1889</v>
      </c>
      <c r="H3" t="s">
        <v>1890</v>
      </c>
      <c r="I3" t="s">
        <v>1891</v>
      </c>
      <c r="J3" t="s">
        <v>1892</v>
      </c>
      <c r="K3" t="s">
        <v>1893</v>
      </c>
      <c r="L3" t="s">
        <v>1894</v>
      </c>
      <c r="M3" t="s">
        <v>1895</v>
      </c>
      <c r="N3" t="s">
        <v>1896</v>
      </c>
      <c r="O3" t="s">
        <v>1897</v>
      </c>
      <c r="P3" t="s">
        <v>1898</v>
      </c>
      <c r="Q3" t="s">
        <v>1899</v>
      </c>
      <c r="R3" t="s">
        <v>1900</v>
      </c>
      <c r="S3" t="s">
        <v>1901</v>
      </c>
      <c r="T3" t="s">
        <v>1902</v>
      </c>
      <c r="U3" t="s">
        <v>1903</v>
      </c>
      <c r="V3" t="s">
        <v>1904</v>
      </c>
      <c r="W3" t="s">
        <v>1905</v>
      </c>
      <c r="X3" t="s">
        <v>1906</v>
      </c>
    </row>
    <row r="4" spans="1:24" x14ac:dyDescent="0.2">
      <c r="A4">
        <v>1994</v>
      </c>
      <c r="B4" t="s">
        <v>1907</v>
      </c>
      <c r="C4" t="s">
        <v>805</v>
      </c>
      <c r="D4" t="s">
        <v>995</v>
      </c>
      <c r="E4" t="s">
        <v>1865</v>
      </c>
      <c r="F4" t="s">
        <v>131</v>
      </c>
      <c r="G4">
        <v>2</v>
      </c>
      <c r="H4">
        <v>2</v>
      </c>
      <c r="I4" t="s">
        <v>291</v>
      </c>
      <c r="J4" t="s">
        <v>1842</v>
      </c>
      <c r="K4">
        <v>56247</v>
      </c>
      <c r="L4">
        <v>0</v>
      </c>
      <c r="M4">
        <v>0</v>
      </c>
      <c r="N4" t="s">
        <v>922</v>
      </c>
      <c r="O4" t="s">
        <v>997</v>
      </c>
      <c r="P4" t="s">
        <v>998</v>
      </c>
      <c r="Q4">
        <v>337</v>
      </c>
      <c r="R4">
        <v>3050</v>
      </c>
      <c r="S4" t="s">
        <v>135</v>
      </c>
      <c r="T4" t="s">
        <v>295</v>
      </c>
      <c r="U4">
        <v>4</v>
      </c>
      <c r="V4">
        <v>0</v>
      </c>
      <c r="W4" t="s">
        <v>1908</v>
      </c>
      <c r="X4" t="s">
        <v>1908</v>
      </c>
    </row>
    <row r="5" spans="1:24" x14ac:dyDescent="0.2">
      <c r="A5">
        <v>1994</v>
      </c>
      <c r="B5" t="s">
        <v>1909</v>
      </c>
      <c r="C5" t="s">
        <v>805</v>
      </c>
      <c r="D5" t="s">
        <v>1000</v>
      </c>
      <c r="E5" t="s">
        <v>1864</v>
      </c>
      <c r="F5" t="s">
        <v>124</v>
      </c>
      <c r="G5">
        <v>1</v>
      </c>
      <c r="H5">
        <v>0</v>
      </c>
      <c r="I5" t="s">
        <v>65</v>
      </c>
      <c r="J5" t="s">
        <v>1842</v>
      </c>
      <c r="K5">
        <v>63117</v>
      </c>
      <c r="L5">
        <v>0</v>
      </c>
      <c r="M5">
        <v>0</v>
      </c>
      <c r="N5" t="s">
        <v>1002</v>
      </c>
      <c r="O5" t="s">
        <v>1003</v>
      </c>
      <c r="P5" t="s">
        <v>1004</v>
      </c>
      <c r="Q5">
        <v>337</v>
      </c>
      <c r="R5">
        <v>3049</v>
      </c>
      <c r="S5" t="s">
        <v>128</v>
      </c>
      <c r="T5" t="s">
        <v>66</v>
      </c>
      <c r="U5">
        <v>1</v>
      </c>
      <c r="V5">
        <v>1</v>
      </c>
      <c r="W5" t="s">
        <v>124</v>
      </c>
      <c r="X5" t="s">
        <v>1910</v>
      </c>
    </row>
    <row r="6" spans="1:24" x14ac:dyDescent="0.2">
      <c r="A6">
        <v>1994</v>
      </c>
      <c r="B6" t="s">
        <v>1911</v>
      </c>
      <c r="C6" t="s">
        <v>609</v>
      </c>
      <c r="D6" t="s">
        <v>1006</v>
      </c>
      <c r="E6" t="s">
        <v>1866</v>
      </c>
      <c r="F6" t="s">
        <v>33</v>
      </c>
      <c r="G6">
        <v>1</v>
      </c>
      <c r="H6">
        <v>1</v>
      </c>
      <c r="I6" t="s">
        <v>108</v>
      </c>
      <c r="J6" t="s">
        <v>1842</v>
      </c>
      <c r="K6">
        <v>73425</v>
      </c>
      <c r="L6">
        <v>1</v>
      </c>
      <c r="M6">
        <v>1</v>
      </c>
      <c r="N6" t="s">
        <v>1008</v>
      </c>
      <c r="O6" t="s">
        <v>1009</v>
      </c>
      <c r="P6" t="s">
        <v>1010</v>
      </c>
      <c r="Q6">
        <v>337</v>
      </c>
      <c r="R6">
        <v>3051</v>
      </c>
      <c r="S6" t="s">
        <v>33</v>
      </c>
      <c r="T6" t="s">
        <v>113</v>
      </c>
      <c r="U6">
        <v>2</v>
      </c>
      <c r="V6">
        <v>0</v>
      </c>
      <c r="W6" t="s">
        <v>1908</v>
      </c>
      <c r="X6" t="s">
        <v>1908</v>
      </c>
    </row>
    <row r="7" spans="1:24" x14ac:dyDescent="0.2">
      <c r="A7">
        <v>1994</v>
      </c>
      <c r="B7" t="s">
        <v>1912</v>
      </c>
      <c r="C7" t="s">
        <v>846</v>
      </c>
      <c r="D7" t="s">
        <v>1012</v>
      </c>
      <c r="E7" t="s">
        <v>1868</v>
      </c>
      <c r="F7" t="s">
        <v>138</v>
      </c>
      <c r="G7">
        <v>0</v>
      </c>
      <c r="H7">
        <v>1</v>
      </c>
      <c r="I7" t="s">
        <v>933</v>
      </c>
      <c r="J7" t="s">
        <v>1842</v>
      </c>
      <c r="K7">
        <v>75338</v>
      </c>
      <c r="L7">
        <v>0</v>
      </c>
      <c r="M7">
        <v>1</v>
      </c>
      <c r="N7" t="s">
        <v>1014</v>
      </c>
      <c r="O7" t="s">
        <v>1015</v>
      </c>
      <c r="P7" t="s">
        <v>1016</v>
      </c>
      <c r="Q7">
        <v>337</v>
      </c>
      <c r="R7">
        <v>3052</v>
      </c>
      <c r="S7" t="s">
        <v>142</v>
      </c>
      <c r="T7" t="s">
        <v>934</v>
      </c>
      <c r="U7">
        <v>1</v>
      </c>
      <c r="V7">
        <v>-1</v>
      </c>
      <c r="W7" t="s">
        <v>933</v>
      </c>
      <c r="X7" t="s">
        <v>1913</v>
      </c>
    </row>
    <row r="8" spans="1:24" x14ac:dyDescent="0.2">
      <c r="A8">
        <v>1994</v>
      </c>
      <c r="B8" t="s">
        <v>1914</v>
      </c>
      <c r="C8" t="s">
        <v>609</v>
      </c>
      <c r="D8" t="s">
        <v>1018</v>
      </c>
      <c r="E8" t="s">
        <v>1867</v>
      </c>
      <c r="F8" t="s">
        <v>390</v>
      </c>
      <c r="G8">
        <v>1</v>
      </c>
      <c r="H8">
        <v>3</v>
      </c>
      <c r="I8" t="s">
        <v>50</v>
      </c>
      <c r="J8" t="s">
        <v>1842</v>
      </c>
      <c r="K8">
        <v>91856</v>
      </c>
      <c r="L8">
        <v>1</v>
      </c>
      <c r="M8">
        <v>2</v>
      </c>
      <c r="N8" t="s">
        <v>839</v>
      </c>
      <c r="O8" t="s">
        <v>1020</v>
      </c>
      <c r="P8" t="s">
        <v>1021</v>
      </c>
      <c r="Q8">
        <v>337</v>
      </c>
      <c r="R8">
        <v>3053</v>
      </c>
      <c r="S8" t="s">
        <v>394</v>
      </c>
      <c r="T8" t="s">
        <v>53</v>
      </c>
      <c r="U8">
        <v>4</v>
      </c>
      <c r="V8">
        <v>-2</v>
      </c>
      <c r="W8" t="s">
        <v>50</v>
      </c>
      <c r="X8" t="s">
        <v>1913</v>
      </c>
    </row>
    <row r="9" spans="1:24" x14ac:dyDescent="0.2">
      <c r="A9">
        <v>1994</v>
      </c>
      <c r="B9" t="s">
        <v>1915</v>
      </c>
      <c r="C9" t="s">
        <v>824</v>
      </c>
      <c r="D9" t="s">
        <v>1023</v>
      </c>
      <c r="E9" t="s">
        <v>1869</v>
      </c>
      <c r="F9" t="s">
        <v>34</v>
      </c>
      <c r="G9">
        <v>1</v>
      </c>
      <c r="H9">
        <v>0</v>
      </c>
      <c r="I9" t="s">
        <v>513</v>
      </c>
      <c r="J9" t="s">
        <v>1842</v>
      </c>
      <c r="K9">
        <v>61219</v>
      </c>
      <c r="L9">
        <v>1</v>
      </c>
      <c r="M9">
        <v>0</v>
      </c>
      <c r="N9" t="s">
        <v>1025</v>
      </c>
      <c r="O9" t="s">
        <v>1026</v>
      </c>
      <c r="P9" t="s">
        <v>1027</v>
      </c>
      <c r="Q9">
        <v>337</v>
      </c>
      <c r="R9">
        <v>3054</v>
      </c>
      <c r="S9" t="s">
        <v>38</v>
      </c>
      <c r="T9" t="s">
        <v>517</v>
      </c>
      <c r="U9">
        <v>1</v>
      </c>
      <c r="V9">
        <v>1</v>
      </c>
      <c r="W9" t="s">
        <v>34</v>
      </c>
      <c r="X9" t="s">
        <v>1910</v>
      </c>
    </row>
    <row r="10" spans="1:24" x14ac:dyDescent="0.2">
      <c r="A10">
        <v>1994</v>
      </c>
      <c r="B10" t="s">
        <v>1916</v>
      </c>
      <c r="C10" t="s">
        <v>846</v>
      </c>
      <c r="D10" t="s">
        <v>1029</v>
      </c>
      <c r="E10" t="s">
        <v>1871</v>
      </c>
      <c r="F10" t="s">
        <v>183</v>
      </c>
      <c r="G10">
        <v>1</v>
      </c>
      <c r="H10">
        <v>0</v>
      </c>
      <c r="I10" t="s">
        <v>25</v>
      </c>
      <c r="J10" t="s">
        <v>1842</v>
      </c>
      <c r="K10">
        <v>52395</v>
      </c>
      <c r="L10">
        <v>0</v>
      </c>
      <c r="M10">
        <v>0</v>
      </c>
      <c r="N10" t="s">
        <v>1031</v>
      </c>
      <c r="O10" t="s">
        <v>1032</v>
      </c>
      <c r="P10" t="s">
        <v>1033</v>
      </c>
      <c r="Q10">
        <v>337</v>
      </c>
      <c r="R10">
        <v>3055</v>
      </c>
      <c r="S10" t="s">
        <v>186</v>
      </c>
      <c r="T10" t="s">
        <v>30</v>
      </c>
      <c r="U10">
        <v>1</v>
      </c>
      <c r="V10">
        <v>1</v>
      </c>
      <c r="W10" t="s">
        <v>183</v>
      </c>
      <c r="X10" t="s">
        <v>1910</v>
      </c>
    </row>
    <row r="11" spans="1:24" x14ac:dyDescent="0.2">
      <c r="A11">
        <v>1994</v>
      </c>
      <c r="B11" t="s">
        <v>1917</v>
      </c>
      <c r="C11" t="s">
        <v>607</v>
      </c>
      <c r="D11" t="s">
        <v>1018</v>
      </c>
      <c r="E11" t="s">
        <v>1867</v>
      </c>
      <c r="F11" t="s">
        <v>700</v>
      </c>
      <c r="G11">
        <v>2</v>
      </c>
      <c r="H11">
        <v>2</v>
      </c>
      <c r="I11" t="s">
        <v>117</v>
      </c>
      <c r="J11" t="s">
        <v>1842</v>
      </c>
      <c r="K11">
        <v>93194</v>
      </c>
      <c r="L11">
        <v>1</v>
      </c>
      <c r="M11">
        <v>1</v>
      </c>
      <c r="N11" t="s">
        <v>1035</v>
      </c>
      <c r="O11" t="s">
        <v>1021</v>
      </c>
      <c r="P11" t="s">
        <v>1020</v>
      </c>
      <c r="Q11">
        <v>337</v>
      </c>
      <c r="R11">
        <v>3056</v>
      </c>
      <c r="S11" t="s">
        <v>702</v>
      </c>
      <c r="T11" t="s">
        <v>121</v>
      </c>
      <c r="U11">
        <v>4</v>
      </c>
      <c r="V11">
        <v>0</v>
      </c>
      <c r="W11" t="s">
        <v>1908</v>
      </c>
      <c r="X11" t="s">
        <v>1908</v>
      </c>
    </row>
    <row r="12" spans="1:24" x14ac:dyDescent="0.2">
      <c r="A12">
        <v>1994</v>
      </c>
      <c r="B12" t="s">
        <v>1918</v>
      </c>
      <c r="C12" t="s">
        <v>824</v>
      </c>
      <c r="D12" t="s">
        <v>1029</v>
      </c>
      <c r="E12" t="s">
        <v>1871</v>
      </c>
      <c r="F12" t="s">
        <v>109</v>
      </c>
      <c r="G12">
        <v>2</v>
      </c>
      <c r="H12">
        <v>1</v>
      </c>
      <c r="I12" t="s">
        <v>1037</v>
      </c>
      <c r="J12" t="s">
        <v>1842</v>
      </c>
      <c r="K12">
        <v>50535</v>
      </c>
      <c r="L12">
        <v>0</v>
      </c>
      <c r="M12">
        <v>1</v>
      </c>
      <c r="N12" t="s">
        <v>1038</v>
      </c>
      <c r="O12" t="s">
        <v>1033</v>
      </c>
      <c r="P12" t="s">
        <v>1032</v>
      </c>
      <c r="Q12">
        <v>337</v>
      </c>
      <c r="R12">
        <v>3058</v>
      </c>
      <c r="S12" t="s">
        <v>114</v>
      </c>
      <c r="T12" t="s">
        <v>1039</v>
      </c>
      <c r="U12">
        <v>3</v>
      </c>
      <c r="V12">
        <v>1</v>
      </c>
      <c r="W12" t="s">
        <v>109</v>
      </c>
      <c r="X12" t="s">
        <v>1910</v>
      </c>
    </row>
    <row r="13" spans="1:24" x14ac:dyDescent="0.2">
      <c r="A13">
        <v>1994</v>
      </c>
      <c r="B13" t="s">
        <v>1919</v>
      </c>
      <c r="C13" t="s">
        <v>607</v>
      </c>
      <c r="D13" t="s">
        <v>1041</v>
      </c>
      <c r="E13" t="s">
        <v>1870</v>
      </c>
      <c r="F13" t="s">
        <v>42</v>
      </c>
      <c r="G13">
        <v>2</v>
      </c>
      <c r="H13">
        <v>0</v>
      </c>
      <c r="I13" t="s">
        <v>1043</v>
      </c>
      <c r="J13" t="s">
        <v>1842</v>
      </c>
      <c r="K13">
        <v>81061</v>
      </c>
      <c r="L13">
        <v>1</v>
      </c>
      <c r="M13">
        <v>0</v>
      </c>
      <c r="N13" t="s">
        <v>1044</v>
      </c>
      <c r="O13" t="s">
        <v>1045</v>
      </c>
      <c r="P13" t="s">
        <v>1046</v>
      </c>
      <c r="Q13">
        <v>337</v>
      </c>
      <c r="R13">
        <v>3057</v>
      </c>
      <c r="S13" t="s">
        <v>47</v>
      </c>
      <c r="T13" t="s">
        <v>1047</v>
      </c>
      <c r="U13">
        <v>2</v>
      </c>
      <c r="V13">
        <v>2</v>
      </c>
      <c r="W13" t="s">
        <v>42</v>
      </c>
      <c r="X13" t="s">
        <v>1910</v>
      </c>
    </row>
    <row r="14" spans="1:24" x14ac:dyDescent="0.2">
      <c r="A14">
        <v>1994</v>
      </c>
      <c r="B14" t="s">
        <v>1920</v>
      </c>
      <c r="C14" t="s">
        <v>811</v>
      </c>
      <c r="D14" t="s">
        <v>1049</v>
      </c>
      <c r="E14" t="s">
        <v>1863</v>
      </c>
      <c r="F14" t="s">
        <v>56</v>
      </c>
      <c r="G14">
        <v>4</v>
      </c>
      <c r="H14">
        <v>0</v>
      </c>
      <c r="I14" t="s">
        <v>1051</v>
      </c>
      <c r="J14" t="s">
        <v>1842</v>
      </c>
      <c r="K14">
        <v>54456</v>
      </c>
      <c r="L14">
        <v>2</v>
      </c>
      <c r="M14">
        <v>0</v>
      </c>
      <c r="N14" t="s">
        <v>1052</v>
      </c>
      <c r="O14" t="s">
        <v>1016</v>
      </c>
      <c r="P14" t="s">
        <v>1015</v>
      </c>
      <c r="Q14">
        <v>337</v>
      </c>
      <c r="R14">
        <v>3059</v>
      </c>
      <c r="S14" t="s">
        <v>59</v>
      </c>
      <c r="T14" t="s">
        <v>1053</v>
      </c>
      <c r="U14">
        <v>4</v>
      </c>
      <c r="V14">
        <v>4</v>
      </c>
      <c r="W14" t="s">
        <v>56</v>
      </c>
      <c r="X14" t="s">
        <v>1910</v>
      </c>
    </row>
    <row r="15" spans="1:24" x14ac:dyDescent="0.2">
      <c r="A15">
        <v>1994</v>
      </c>
      <c r="B15" t="s">
        <v>1921</v>
      </c>
      <c r="C15" t="s">
        <v>811</v>
      </c>
      <c r="D15" t="s">
        <v>995</v>
      </c>
      <c r="E15" t="s">
        <v>1865</v>
      </c>
      <c r="F15" t="s">
        <v>1055</v>
      </c>
      <c r="G15">
        <v>3</v>
      </c>
      <c r="H15">
        <v>0</v>
      </c>
      <c r="I15" t="s">
        <v>401</v>
      </c>
      <c r="J15" t="s">
        <v>1842</v>
      </c>
      <c r="K15">
        <v>44132</v>
      </c>
      <c r="L15">
        <v>2</v>
      </c>
      <c r="M15">
        <v>0</v>
      </c>
      <c r="N15" t="s">
        <v>1056</v>
      </c>
      <c r="O15" t="s">
        <v>1004</v>
      </c>
      <c r="P15" t="s">
        <v>1003</v>
      </c>
      <c r="Q15">
        <v>337</v>
      </c>
      <c r="R15">
        <v>3061</v>
      </c>
      <c r="S15" t="s">
        <v>1057</v>
      </c>
      <c r="T15" t="s">
        <v>404</v>
      </c>
      <c r="U15">
        <v>3</v>
      </c>
      <c r="V15">
        <v>3</v>
      </c>
      <c r="W15" t="s">
        <v>1055</v>
      </c>
      <c r="X15" t="s">
        <v>1910</v>
      </c>
    </row>
    <row r="16" spans="1:24" x14ac:dyDescent="0.2">
      <c r="A16">
        <v>1994</v>
      </c>
      <c r="B16" t="s">
        <v>1922</v>
      </c>
      <c r="C16" t="s">
        <v>805</v>
      </c>
      <c r="D16" t="s">
        <v>1000</v>
      </c>
      <c r="E16" t="s">
        <v>1864</v>
      </c>
      <c r="F16" t="s">
        <v>124</v>
      </c>
      <c r="G16">
        <v>1</v>
      </c>
      <c r="H16">
        <v>1</v>
      </c>
      <c r="I16" t="s">
        <v>131</v>
      </c>
      <c r="J16" t="s">
        <v>1842</v>
      </c>
      <c r="K16">
        <v>63113</v>
      </c>
      <c r="L16">
        <v>0</v>
      </c>
      <c r="M16">
        <v>1</v>
      </c>
      <c r="N16" t="s">
        <v>1059</v>
      </c>
      <c r="O16" t="s">
        <v>1010</v>
      </c>
      <c r="P16" t="s">
        <v>1009</v>
      </c>
      <c r="Q16">
        <v>337</v>
      </c>
      <c r="R16">
        <v>3060</v>
      </c>
      <c r="S16" t="s">
        <v>128</v>
      </c>
      <c r="T16" t="s">
        <v>135</v>
      </c>
      <c r="U16">
        <v>2</v>
      </c>
      <c r="V16">
        <v>0</v>
      </c>
      <c r="W16" t="s">
        <v>1908</v>
      </c>
      <c r="X16" t="s">
        <v>1908</v>
      </c>
    </row>
    <row r="17" spans="1:24" x14ac:dyDescent="0.2">
      <c r="A17">
        <v>1994</v>
      </c>
      <c r="B17" t="s">
        <v>1923</v>
      </c>
      <c r="C17" t="s">
        <v>609</v>
      </c>
      <c r="D17" t="s">
        <v>1006</v>
      </c>
      <c r="E17" t="s">
        <v>1866</v>
      </c>
      <c r="F17" t="s">
        <v>50</v>
      </c>
      <c r="G17">
        <v>1</v>
      </c>
      <c r="H17">
        <v>4</v>
      </c>
      <c r="I17" t="s">
        <v>108</v>
      </c>
      <c r="J17" t="s">
        <v>1842</v>
      </c>
      <c r="K17">
        <v>61428</v>
      </c>
      <c r="L17">
        <v>1</v>
      </c>
      <c r="M17">
        <v>1</v>
      </c>
      <c r="N17" t="s">
        <v>921</v>
      </c>
      <c r="O17" t="s">
        <v>1061</v>
      </c>
      <c r="P17" t="s">
        <v>1062</v>
      </c>
      <c r="Q17">
        <v>337</v>
      </c>
      <c r="R17">
        <v>3062</v>
      </c>
      <c r="S17" t="s">
        <v>53</v>
      </c>
      <c r="T17" t="s">
        <v>113</v>
      </c>
      <c r="U17">
        <v>5</v>
      </c>
      <c r="V17">
        <v>-3</v>
      </c>
      <c r="W17" t="s">
        <v>108</v>
      </c>
      <c r="X17" t="s">
        <v>1913</v>
      </c>
    </row>
    <row r="18" spans="1:24" x14ac:dyDescent="0.2">
      <c r="A18">
        <v>1994</v>
      </c>
      <c r="B18" t="s">
        <v>1924</v>
      </c>
      <c r="C18" t="s">
        <v>609</v>
      </c>
      <c r="D18" t="s">
        <v>1018</v>
      </c>
      <c r="E18" t="s">
        <v>1867</v>
      </c>
      <c r="F18" t="s">
        <v>33</v>
      </c>
      <c r="G18">
        <v>2</v>
      </c>
      <c r="H18">
        <v>1</v>
      </c>
      <c r="I18" t="s">
        <v>390</v>
      </c>
      <c r="J18" t="s">
        <v>1842</v>
      </c>
      <c r="K18">
        <v>93869</v>
      </c>
      <c r="L18">
        <v>1</v>
      </c>
      <c r="M18">
        <v>0</v>
      </c>
      <c r="N18" t="s">
        <v>1064</v>
      </c>
      <c r="O18" t="s">
        <v>1046</v>
      </c>
      <c r="P18" t="s">
        <v>1045</v>
      </c>
      <c r="Q18">
        <v>337</v>
      </c>
      <c r="R18">
        <v>3063</v>
      </c>
      <c r="S18" t="s">
        <v>33</v>
      </c>
      <c r="T18" t="s">
        <v>394</v>
      </c>
      <c r="U18">
        <v>3</v>
      </c>
      <c r="V18">
        <v>1</v>
      </c>
      <c r="W18" t="s">
        <v>33</v>
      </c>
      <c r="X18" t="s">
        <v>1910</v>
      </c>
    </row>
    <row r="19" spans="1:24" x14ac:dyDescent="0.2">
      <c r="A19">
        <v>1994</v>
      </c>
      <c r="B19" t="s">
        <v>1925</v>
      </c>
      <c r="C19" t="s">
        <v>846</v>
      </c>
      <c r="D19" t="s">
        <v>1012</v>
      </c>
      <c r="E19" t="s">
        <v>1868</v>
      </c>
      <c r="F19" t="s">
        <v>138</v>
      </c>
      <c r="G19">
        <v>1</v>
      </c>
      <c r="H19">
        <v>0</v>
      </c>
      <c r="I19" t="s">
        <v>183</v>
      </c>
      <c r="J19" t="s">
        <v>1842</v>
      </c>
      <c r="K19">
        <v>74624</v>
      </c>
      <c r="L19">
        <v>0</v>
      </c>
      <c r="M19">
        <v>0</v>
      </c>
      <c r="N19" t="s">
        <v>1066</v>
      </c>
      <c r="O19" t="s">
        <v>1027</v>
      </c>
      <c r="P19" t="s">
        <v>998</v>
      </c>
      <c r="Q19">
        <v>337</v>
      </c>
      <c r="R19">
        <v>3064</v>
      </c>
      <c r="S19" t="s">
        <v>142</v>
      </c>
      <c r="T19" t="s">
        <v>186</v>
      </c>
      <c r="U19">
        <v>1</v>
      </c>
      <c r="V19">
        <v>1</v>
      </c>
      <c r="W19" t="s">
        <v>138</v>
      </c>
      <c r="X19" t="s">
        <v>1910</v>
      </c>
    </row>
    <row r="20" spans="1:24" x14ac:dyDescent="0.2">
      <c r="A20">
        <v>1994</v>
      </c>
      <c r="B20" t="s">
        <v>1926</v>
      </c>
      <c r="C20" t="s">
        <v>805</v>
      </c>
      <c r="D20" t="s">
        <v>1049</v>
      </c>
      <c r="E20" t="s">
        <v>1863</v>
      </c>
      <c r="F20" t="s">
        <v>291</v>
      </c>
      <c r="G20">
        <v>0</v>
      </c>
      <c r="H20">
        <v>0</v>
      </c>
      <c r="I20" t="s">
        <v>65</v>
      </c>
      <c r="J20" t="s">
        <v>1842</v>
      </c>
      <c r="K20">
        <v>54453</v>
      </c>
      <c r="L20">
        <v>0</v>
      </c>
      <c r="M20">
        <v>0</v>
      </c>
      <c r="N20" t="s">
        <v>1068</v>
      </c>
      <c r="O20" t="s">
        <v>1069</v>
      </c>
      <c r="P20" t="s">
        <v>1070</v>
      </c>
      <c r="Q20">
        <v>337</v>
      </c>
      <c r="R20">
        <v>3065</v>
      </c>
      <c r="S20" t="s">
        <v>295</v>
      </c>
      <c r="T20" t="s">
        <v>66</v>
      </c>
      <c r="U20">
        <v>0</v>
      </c>
      <c r="V20">
        <v>0</v>
      </c>
      <c r="W20" t="s">
        <v>1908</v>
      </c>
      <c r="X20" t="s">
        <v>1908</v>
      </c>
    </row>
    <row r="21" spans="1:24" x14ac:dyDescent="0.2">
      <c r="A21">
        <v>1994</v>
      </c>
      <c r="B21" t="s">
        <v>1927</v>
      </c>
      <c r="C21" t="s">
        <v>846</v>
      </c>
      <c r="D21" t="s">
        <v>1023</v>
      </c>
      <c r="E21" t="s">
        <v>1869</v>
      </c>
      <c r="F21" t="s">
        <v>25</v>
      </c>
      <c r="G21">
        <v>2</v>
      </c>
      <c r="H21">
        <v>1</v>
      </c>
      <c r="I21" t="s">
        <v>933</v>
      </c>
      <c r="J21" t="s">
        <v>1842</v>
      </c>
      <c r="K21">
        <v>60790</v>
      </c>
      <c r="L21">
        <v>1</v>
      </c>
      <c r="M21">
        <v>0</v>
      </c>
      <c r="N21" t="s">
        <v>915</v>
      </c>
      <c r="O21" t="s">
        <v>902</v>
      </c>
      <c r="P21" t="s">
        <v>1072</v>
      </c>
      <c r="Q21">
        <v>337</v>
      </c>
      <c r="R21">
        <v>3066</v>
      </c>
      <c r="S21" t="s">
        <v>30</v>
      </c>
      <c r="T21" t="s">
        <v>934</v>
      </c>
      <c r="U21">
        <v>3</v>
      </c>
      <c r="V21">
        <v>1</v>
      </c>
      <c r="W21" t="s">
        <v>25</v>
      </c>
      <c r="X21" t="s">
        <v>1910</v>
      </c>
    </row>
    <row r="22" spans="1:24" x14ac:dyDescent="0.2">
      <c r="A22">
        <v>1994</v>
      </c>
      <c r="B22" t="s">
        <v>1928</v>
      </c>
      <c r="C22" t="s">
        <v>607</v>
      </c>
      <c r="D22" t="s">
        <v>1006</v>
      </c>
      <c r="E22" t="s">
        <v>1866</v>
      </c>
      <c r="F22" t="s">
        <v>117</v>
      </c>
      <c r="G22">
        <v>3</v>
      </c>
      <c r="H22">
        <v>1</v>
      </c>
      <c r="I22" t="s">
        <v>1043</v>
      </c>
      <c r="J22" t="s">
        <v>1842</v>
      </c>
      <c r="K22">
        <v>71528</v>
      </c>
      <c r="L22">
        <v>1</v>
      </c>
      <c r="M22">
        <v>1</v>
      </c>
      <c r="N22" t="s">
        <v>828</v>
      </c>
      <c r="O22" t="s">
        <v>1062</v>
      </c>
      <c r="P22" t="s">
        <v>1061</v>
      </c>
      <c r="Q22">
        <v>337</v>
      </c>
      <c r="R22">
        <v>3068</v>
      </c>
      <c r="S22" t="s">
        <v>121</v>
      </c>
      <c r="T22" t="s">
        <v>1047</v>
      </c>
      <c r="U22">
        <v>4</v>
      </c>
      <c r="V22">
        <v>2</v>
      </c>
      <c r="W22" t="s">
        <v>117</v>
      </c>
      <c r="X22" t="s">
        <v>1910</v>
      </c>
    </row>
    <row r="23" spans="1:24" x14ac:dyDescent="0.2">
      <c r="A23">
        <v>1994</v>
      </c>
      <c r="B23" t="s">
        <v>1929</v>
      </c>
      <c r="C23" t="s">
        <v>607</v>
      </c>
      <c r="D23" t="s">
        <v>1041</v>
      </c>
      <c r="E23" t="s">
        <v>1870</v>
      </c>
      <c r="F23" t="s">
        <v>42</v>
      </c>
      <c r="G23">
        <v>3</v>
      </c>
      <c r="H23">
        <v>0</v>
      </c>
      <c r="I23" t="s">
        <v>700</v>
      </c>
      <c r="J23" t="s">
        <v>1842</v>
      </c>
      <c r="K23">
        <v>83401</v>
      </c>
      <c r="L23">
        <v>1</v>
      </c>
      <c r="M23">
        <v>0</v>
      </c>
      <c r="N23" t="s">
        <v>1002</v>
      </c>
      <c r="O23" t="s">
        <v>1021</v>
      </c>
      <c r="P23" t="s">
        <v>997</v>
      </c>
      <c r="Q23">
        <v>337</v>
      </c>
      <c r="R23">
        <v>3067</v>
      </c>
      <c r="S23" t="s">
        <v>47</v>
      </c>
      <c r="T23" t="s">
        <v>702</v>
      </c>
      <c r="U23">
        <v>3</v>
      </c>
      <c r="V23">
        <v>3</v>
      </c>
      <c r="W23" t="s">
        <v>42</v>
      </c>
      <c r="X23" t="s">
        <v>1910</v>
      </c>
    </row>
    <row r="24" spans="1:24" x14ac:dyDescent="0.2">
      <c r="A24">
        <v>1994</v>
      </c>
      <c r="B24" t="s">
        <v>1930</v>
      </c>
      <c r="C24" t="s">
        <v>824</v>
      </c>
      <c r="D24" t="s">
        <v>1023</v>
      </c>
      <c r="E24" t="s">
        <v>1869</v>
      </c>
      <c r="F24" t="s">
        <v>34</v>
      </c>
      <c r="G24">
        <v>1</v>
      </c>
      <c r="H24">
        <v>0</v>
      </c>
      <c r="I24" t="s">
        <v>109</v>
      </c>
      <c r="J24" t="s">
        <v>1842</v>
      </c>
      <c r="K24">
        <v>62387</v>
      </c>
      <c r="L24">
        <v>0</v>
      </c>
      <c r="M24">
        <v>0</v>
      </c>
      <c r="N24" t="s">
        <v>1076</v>
      </c>
      <c r="O24" t="s">
        <v>1072</v>
      </c>
      <c r="P24" t="s">
        <v>902</v>
      </c>
      <c r="Q24">
        <v>337</v>
      </c>
      <c r="R24">
        <v>3069</v>
      </c>
      <c r="S24" t="s">
        <v>38</v>
      </c>
      <c r="T24" t="s">
        <v>114</v>
      </c>
      <c r="U24">
        <v>1</v>
      </c>
      <c r="V24">
        <v>1</v>
      </c>
      <c r="W24" t="s">
        <v>34</v>
      </c>
      <c r="X24" t="s">
        <v>1910</v>
      </c>
    </row>
    <row r="25" spans="1:24" x14ac:dyDescent="0.2">
      <c r="A25">
        <v>1994</v>
      </c>
      <c r="B25" t="s">
        <v>1930</v>
      </c>
      <c r="C25" t="s">
        <v>824</v>
      </c>
      <c r="D25" t="s">
        <v>1012</v>
      </c>
      <c r="E25" t="s">
        <v>1868</v>
      </c>
      <c r="F25" t="s">
        <v>1037</v>
      </c>
      <c r="G25">
        <v>2</v>
      </c>
      <c r="H25">
        <v>1</v>
      </c>
      <c r="I25" t="s">
        <v>513</v>
      </c>
      <c r="J25" t="s">
        <v>1842</v>
      </c>
      <c r="K25">
        <v>76322</v>
      </c>
      <c r="L25">
        <v>2</v>
      </c>
      <c r="M25">
        <v>1</v>
      </c>
      <c r="N25" t="s">
        <v>1077</v>
      </c>
      <c r="O25" t="s">
        <v>998</v>
      </c>
      <c r="P25" t="s">
        <v>1027</v>
      </c>
      <c r="Q25">
        <v>337</v>
      </c>
      <c r="R25">
        <v>3070</v>
      </c>
      <c r="S25" t="s">
        <v>1039</v>
      </c>
      <c r="T25" t="s">
        <v>517</v>
      </c>
      <c r="U25">
        <v>3</v>
      </c>
      <c r="V25">
        <v>1</v>
      </c>
      <c r="W25" t="s">
        <v>1037</v>
      </c>
      <c r="X25" t="s">
        <v>1910</v>
      </c>
    </row>
    <row r="26" spans="1:24" x14ac:dyDescent="0.2">
      <c r="A26">
        <v>1994</v>
      </c>
      <c r="B26" t="s">
        <v>1931</v>
      </c>
      <c r="C26" t="s">
        <v>811</v>
      </c>
      <c r="D26" t="s">
        <v>1049</v>
      </c>
      <c r="E26" t="s">
        <v>1863</v>
      </c>
      <c r="F26" t="s">
        <v>56</v>
      </c>
      <c r="G26">
        <v>2</v>
      </c>
      <c r="H26">
        <v>1</v>
      </c>
      <c r="I26" t="s">
        <v>1055</v>
      </c>
      <c r="J26" t="s">
        <v>1842</v>
      </c>
      <c r="K26">
        <v>54453</v>
      </c>
      <c r="L26">
        <v>2</v>
      </c>
      <c r="M26">
        <v>1</v>
      </c>
      <c r="N26" t="s">
        <v>1079</v>
      </c>
      <c r="O26" t="s">
        <v>1070</v>
      </c>
      <c r="P26" t="s">
        <v>1069</v>
      </c>
      <c r="Q26">
        <v>337</v>
      </c>
      <c r="R26">
        <v>3071</v>
      </c>
      <c r="S26" t="s">
        <v>59</v>
      </c>
      <c r="T26" t="s">
        <v>1057</v>
      </c>
      <c r="U26">
        <v>3</v>
      </c>
      <c r="V26">
        <v>1</v>
      </c>
      <c r="W26" t="s">
        <v>56</v>
      </c>
      <c r="X26" t="s">
        <v>1910</v>
      </c>
    </row>
    <row r="27" spans="1:24" x14ac:dyDescent="0.2">
      <c r="A27">
        <v>1994</v>
      </c>
      <c r="B27" t="s">
        <v>1932</v>
      </c>
      <c r="C27" t="s">
        <v>811</v>
      </c>
      <c r="D27" t="s">
        <v>1000</v>
      </c>
      <c r="E27" t="s">
        <v>1864</v>
      </c>
      <c r="F27" t="s">
        <v>401</v>
      </c>
      <c r="G27">
        <v>4</v>
      </c>
      <c r="H27">
        <v>0</v>
      </c>
      <c r="I27" t="s">
        <v>1051</v>
      </c>
      <c r="J27" t="s">
        <v>1842</v>
      </c>
      <c r="K27">
        <v>63160</v>
      </c>
      <c r="L27">
        <v>1</v>
      </c>
      <c r="M27">
        <v>0</v>
      </c>
      <c r="N27" t="s">
        <v>1081</v>
      </c>
      <c r="O27" t="s">
        <v>1020</v>
      </c>
      <c r="P27" t="s">
        <v>1026</v>
      </c>
      <c r="Q27">
        <v>337</v>
      </c>
      <c r="R27">
        <v>3072</v>
      </c>
      <c r="S27" t="s">
        <v>404</v>
      </c>
      <c r="T27" t="s">
        <v>1053</v>
      </c>
      <c r="U27">
        <v>4</v>
      </c>
      <c r="V27">
        <v>4</v>
      </c>
      <c r="W27" t="s">
        <v>401</v>
      </c>
      <c r="X27" t="s">
        <v>1910</v>
      </c>
    </row>
    <row r="28" spans="1:24" x14ac:dyDescent="0.2">
      <c r="A28">
        <v>1994</v>
      </c>
      <c r="B28" t="s">
        <v>1933</v>
      </c>
      <c r="C28" t="s">
        <v>609</v>
      </c>
      <c r="D28" t="s">
        <v>1018</v>
      </c>
      <c r="E28" t="s">
        <v>1867</v>
      </c>
      <c r="F28" t="s">
        <v>33</v>
      </c>
      <c r="G28">
        <v>0</v>
      </c>
      <c r="H28">
        <v>1</v>
      </c>
      <c r="I28" t="s">
        <v>50</v>
      </c>
      <c r="J28" t="s">
        <v>1842</v>
      </c>
      <c r="K28">
        <v>93869</v>
      </c>
      <c r="L28">
        <v>0</v>
      </c>
      <c r="M28">
        <v>1</v>
      </c>
      <c r="N28" t="s">
        <v>1014</v>
      </c>
      <c r="O28" t="s">
        <v>1015</v>
      </c>
      <c r="P28" t="s">
        <v>1004</v>
      </c>
      <c r="Q28">
        <v>337</v>
      </c>
      <c r="R28">
        <v>3073</v>
      </c>
      <c r="S28" t="s">
        <v>33</v>
      </c>
      <c r="T28" t="s">
        <v>53</v>
      </c>
      <c r="U28">
        <v>1</v>
      </c>
      <c r="V28">
        <v>-1</v>
      </c>
      <c r="W28" t="s">
        <v>50</v>
      </c>
      <c r="X28" t="s">
        <v>1913</v>
      </c>
    </row>
    <row r="29" spans="1:24" x14ac:dyDescent="0.2">
      <c r="A29">
        <v>1994</v>
      </c>
      <c r="B29" t="s">
        <v>1933</v>
      </c>
      <c r="C29" t="s">
        <v>609</v>
      </c>
      <c r="D29" t="s">
        <v>1041</v>
      </c>
      <c r="E29" t="s">
        <v>1870</v>
      </c>
      <c r="F29" t="s">
        <v>108</v>
      </c>
      <c r="G29">
        <v>0</v>
      </c>
      <c r="H29">
        <v>2</v>
      </c>
      <c r="I29" t="s">
        <v>390</v>
      </c>
      <c r="J29" t="s">
        <v>1842</v>
      </c>
      <c r="K29">
        <v>83401</v>
      </c>
      <c r="L29">
        <v>0</v>
      </c>
      <c r="M29">
        <v>1</v>
      </c>
      <c r="N29" t="s">
        <v>922</v>
      </c>
      <c r="O29" t="s">
        <v>997</v>
      </c>
      <c r="P29" t="s">
        <v>1021</v>
      </c>
      <c r="Q29">
        <v>337</v>
      </c>
      <c r="R29">
        <v>3074</v>
      </c>
      <c r="S29" t="s">
        <v>113</v>
      </c>
      <c r="T29" t="s">
        <v>394</v>
      </c>
      <c r="U29">
        <v>2</v>
      </c>
      <c r="V29">
        <v>-2</v>
      </c>
      <c r="W29" t="s">
        <v>390</v>
      </c>
      <c r="X29" t="s">
        <v>1913</v>
      </c>
    </row>
    <row r="30" spans="1:24" x14ac:dyDescent="0.2">
      <c r="A30">
        <v>1994</v>
      </c>
      <c r="B30" t="s">
        <v>1934</v>
      </c>
      <c r="C30" t="s">
        <v>805</v>
      </c>
      <c r="D30" t="s">
        <v>995</v>
      </c>
      <c r="E30" t="s">
        <v>1865</v>
      </c>
      <c r="F30" t="s">
        <v>124</v>
      </c>
      <c r="G30">
        <v>3</v>
      </c>
      <c r="H30">
        <v>2</v>
      </c>
      <c r="I30" t="s">
        <v>291</v>
      </c>
      <c r="J30" t="s">
        <v>1842</v>
      </c>
      <c r="K30">
        <v>63998</v>
      </c>
      <c r="L30">
        <v>3</v>
      </c>
      <c r="M30">
        <v>0</v>
      </c>
      <c r="N30" t="s">
        <v>828</v>
      </c>
      <c r="O30" t="s">
        <v>1033</v>
      </c>
      <c r="P30" t="s">
        <v>1061</v>
      </c>
      <c r="Q30">
        <v>337</v>
      </c>
      <c r="R30">
        <v>3076</v>
      </c>
      <c r="S30" t="s">
        <v>128</v>
      </c>
      <c r="T30" t="s">
        <v>295</v>
      </c>
      <c r="U30">
        <v>5</v>
      </c>
      <c r="V30">
        <v>1</v>
      </c>
      <c r="W30" t="s">
        <v>124</v>
      </c>
      <c r="X30" t="s">
        <v>1910</v>
      </c>
    </row>
    <row r="31" spans="1:24" x14ac:dyDescent="0.2">
      <c r="A31">
        <v>1994</v>
      </c>
      <c r="B31" t="s">
        <v>1934</v>
      </c>
      <c r="C31" t="s">
        <v>805</v>
      </c>
      <c r="D31" t="s">
        <v>1000</v>
      </c>
      <c r="E31" t="s">
        <v>1864</v>
      </c>
      <c r="F31" t="s">
        <v>65</v>
      </c>
      <c r="G31">
        <v>1</v>
      </c>
      <c r="H31">
        <v>3</v>
      </c>
      <c r="I31" t="s">
        <v>131</v>
      </c>
      <c r="J31" t="s">
        <v>1842</v>
      </c>
      <c r="K31">
        <v>63089</v>
      </c>
      <c r="L31">
        <v>0</v>
      </c>
      <c r="M31">
        <v>1</v>
      </c>
      <c r="N31" t="s">
        <v>1056</v>
      </c>
      <c r="O31" t="s">
        <v>1026</v>
      </c>
      <c r="P31" t="s">
        <v>1020</v>
      </c>
      <c r="Q31">
        <v>337</v>
      </c>
      <c r="R31">
        <v>3075</v>
      </c>
      <c r="S31" t="s">
        <v>66</v>
      </c>
      <c r="T31" t="s">
        <v>135</v>
      </c>
      <c r="U31">
        <v>4</v>
      </c>
      <c r="V31">
        <v>-2</v>
      </c>
      <c r="W31" t="s">
        <v>131</v>
      </c>
      <c r="X31" t="s">
        <v>1913</v>
      </c>
    </row>
    <row r="32" spans="1:24" x14ac:dyDescent="0.2">
      <c r="A32">
        <v>1994</v>
      </c>
      <c r="B32" t="s">
        <v>1935</v>
      </c>
      <c r="C32" t="s">
        <v>846</v>
      </c>
      <c r="D32" t="s">
        <v>1012</v>
      </c>
      <c r="E32" t="s">
        <v>1868</v>
      </c>
      <c r="F32" t="s">
        <v>933</v>
      </c>
      <c r="G32">
        <v>0</v>
      </c>
      <c r="H32">
        <v>0</v>
      </c>
      <c r="I32" t="s">
        <v>183</v>
      </c>
      <c r="J32" t="s">
        <v>1842</v>
      </c>
      <c r="K32">
        <v>72404</v>
      </c>
      <c r="L32">
        <v>0</v>
      </c>
      <c r="M32">
        <v>0</v>
      </c>
      <c r="N32" t="s">
        <v>1025</v>
      </c>
      <c r="O32" t="s">
        <v>1072</v>
      </c>
      <c r="P32" t="s">
        <v>1016</v>
      </c>
      <c r="Q32">
        <v>337</v>
      </c>
      <c r="R32">
        <v>3077</v>
      </c>
      <c r="S32" t="s">
        <v>934</v>
      </c>
      <c r="T32" t="s">
        <v>186</v>
      </c>
      <c r="U32">
        <v>0</v>
      </c>
      <c r="V32">
        <v>0</v>
      </c>
      <c r="W32" t="s">
        <v>1908</v>
      </c>
      <c r="X32" t="s">
        <v>1908</v>
      </c>
    </row>
    <row r="33" spans="1:24" x14ac:dyDescent="0.2">
      <c r="A33">
        <v>1994</v>
      </c>
      <c r="B33" t="s">
        <v>1936</v>
      </c>
      <c r="C33" t="s">
        <v>607</v>
      </c>
      <c r="D33" t="s">
        <v>1006</v>
      </c>
      <c r="E33" t="s">
        <v>1866</v>
      </c>
      <c r="F33" t="s">
        <v>42</v>
      </c>
      <c r="G33">
        <v>1</v>
      </c>
      <c r="H33">
        <v>1</v>
      </c>
      <c r="I33" t="s">
        <v>117</v>
      </c>
      <c r="J33" t="s">
        <v>1842</v>
      </c>
      <c r="K33">
        <v>77217</v>
      </c>
      <c r="L33">
        <v>0</v>
      </c>
      <c r="M33">
        <v>1</v>
      </c>
      <c r="N33" t="s">
        <v>1031</v>
      </c>
      <c r="O33" t="s">
        <v>1032</v>
      </c>
      <c r="P33" t="s">
        <v>1069</v>
      </c>
      <c r="Q33">
        <v>337</v>
      </c>
      <c r="R33">
        <v>3080</v>
      </c>
      <c r="S33" t="s">
        <v>47</v>
      </c>
      <c r="T33" t="s">
        <v>121</v>
      </c>
      <c r="U33">
        <v>2</v>
      </c>
      <c r="V33">
        <v>0</v>
      </c>
      <c r="W33" t="s">
        <v>1908</v>
      </c>
      <c r="X33" t="s">
        <v>1908</v>
      </c>
    </row>
    <row r="34" spans="1:24" x14ac:dyDescent="0.2">
      <c r="A34">
        <v>1994</v>
      </c>
      <c r="B34" t="s">
        <v>1935</v>
      </c>
      <c r="C34" t="s">
        <v>846</v>
      </c>
      <c r="D34" t="s">
        <v>1029</v>
      </c>
      <c r="E34" t="s">
        <v>1871</v>
      </c>
      <c r="F34" t="s">
        <v>138</v>
      </c>
      <c r="G34">
        <v>1</v>
      </c>
      <c r="H34">
        <v>1</v>
      </c>
      <c r="I34" t="s">
        <v>25</v>
      </c>
      <c r="J34" t="s">
        <v>1842</v>
      </c>
      <c r="K34">
        <v>52535</v>
      </c>
      <c r="L34">
        <v>0</v>
      </c>
      <c r="M34">
        <v>0</v>
      </c>
      <c r="N34" t="s">
        <v>1008</v>
      </c>
      <c r="O34" t="s">
        <v>1009</v>
      </c>
      <c r="P34" t="s">
        <v>1003</v>
      </c>
      <c r="Q34">
        <v>337</v>
      </c>
      <c r="R34">
        <v>3078</v>
      </c>
      <c r="S34" t="s">
        <v>142</v>
      </c>
      <c r="T34" t="s">
        <v>30</v>
      </c>
      <c r="U34">
        <v>2</v>
      </c>
      <c r="V34">
        <v>0</v>
      </c>
      <c r="W34" t="s">
        <v>1908</v>
      </c>
      <c r="X34" t="s">
        <v>1908</v>
      </c>
    </row>
    <row r="35" spans="1:24" x14ac:dyDescent="0.2">
      <c r="A35">
        <v>1994</v>
      </c>
      <c r="B35" t="s">
        <v>1936</v>
      </c>
      <c r="C35" t="s">
        <v>607</v>
      </c>
      <c r="D35" t="s">
        <v>1041</v>
      </c>
      <c r="E35" t="s">
        <v>1870</v>
      </c>
      <c r="F35" t="s">
        <v>1043</v>
      </c>
      <c r="G35">
        <v>6</v>
      </c>
      <c r="H35">
        <v>1</v>
      </c>
      <c r="I35" t="s">
        <v>700</v>
      </c>
      <c r="J35" t="s">
        <v>1842</v>
      </c>
      <c r="K35">
        <v>74914</v>
      </c>
      <c r="L35">
        <v>3</v>
      </c>
      <c r="M35">
        <v>0</v>
      </c>
      <c r="N35" t="s">
        <v>839</v>
      </c>
      <c r="O35" t="s">
        <v>1004</v>
      </c>
      <c r="P35" t="s">
        <v>1015</v>
      </c>
      <c r="Q35">
        <v>337</v>
      </c>
      <c r="R35">
        <v>3079</v>
      </c>
      <c r="S35" t="s">
        <v>1047</v>
      </c>
      <c r="T35" t="s">
        <v>702</v>
      </c>
      <c r="U35">
        <v>7</v>
      </c>
      <c r="V35">
        <v>5</v>
      </c>
      <c r="W35" t="s">
        <v>1043</v>
      </c>
      <c r="X35" t="s">
        <v>1910</v>
      </c>
    </row>
    <row r="36" spans="1:24" x14ac:dyDescent="0.2">
      <c r="A36">
        <v>1994</v>
      </c>
      <c r="B36" t="s">
        <v>1937</v>
      </c>
      <c r="C36" t="s">
        <v>824</v>
      </c>
      <c r="D36" t="s">
        <v>1023</v>
      </c>
      <c r="E36" t="s">
        <v>1869</v>
      </c>
      <c r="F36" t="s">
        <v>513</v>
      </c>
      <c r="G36">
        <v>1</v>
      </c>
      <c r="H36">
        <v>2</v>
      </c>
      <c r="I36" t="s">
        <v>109</v>
      </c>
      <c r="J36" t="s">
        <v>1842</v>
      </c>
      <c r="K36">
        <v>60578</v>
      </c>
      <c r="L36">
        <v>0</v>
      </c>
      <c r="M36">
        <v>1</v>
      </c>
      <c r="N36" t="s">
        <v>1035</v>
      </c>
      <c r="O36" t="s">
        <v>1010</v>
      </c>
      <c r="P36" t="s">
        <v>1070</v>
      </c>
      <c r="Q36">
        <v>337</v>
      </c>
      <c r="R36">
        <v>3081</v>
      </c>
      <c r="S36" t="s">
        <v>517</v>
      </c>
      <c r="T36" t="s">
        <v>114</v>
      </c>
      <c r="U36">
        <v>3</v>
      </c>
      <c r="V36">
        <v>-1</v>
      </c>
      <c r="W36" t="s">
        <v>109</v>
      </c>
      <c r="X36" t="s">
        <v>1913</v>
      </c>
    </row>
    <row r="37" spans="1:24" x14ac:dyDescent="0.2">
      <c r="A37">
        <v>1994</v>
      </c>
      <c r="B37" t="s">
        <v>1937</v>
      </c>
      <c r="C37" t="s">
        <v>824</v>
      </c>
      <c r="D37" t="s">
        <v>1029</v>
      </c>
      <c r="E37" t="s">
        <v>1871</v>
      </c>
      <c r="F37" t="s">
        <v>34</v>
      </c>
      <c r="G37">
        <v>0</v>
      </c>
      <c r="H37">
        <v>1</v>
      </c>
      <c r="I37" t="s">
        <v>1037</v>
      </c>
      <c r="J37" t="s">
        <v>1842</v>
      </c>
      <c r="K37">
        <v>52959</v>
      </c>
      <c r="L37">
        <v>0</v>
      </c>
      <c r="M37">
        <v>1</v>
      </c>
      <c r="N37" t="s">
        <v>1066</v>
      </c>
      <c r="O37" t="s">
        <v>1003</v>
      </c>
      <c r="P37" t="s">
        <v>1009</v>
      </c>
      <c r="Q37">
        <v>337</v>
      </c>
      <c r="R37">
        <v>3082</v>
      </c>
      <c r="S37" t="s">
        <v>38</v>
      </c>
      <c r="T37" t="s">
        <v>1039</v>
      </c>
      <c r="U37">
        <v>1</v>
      </c>
      <c r="V37">
        <v>-1</v>
      </c>
      <c r="W37" t="s">
        <v>1037</v>
      </c>
      <c r="X37" t="s">
        <v>1913</v>
      </c>
    </row>
    <row r="38" spans="1:24" x14ac:dyDescent="0.2">
      <c r="A38">
        <v>1994</v>
      </c>
      <c r="B38" t="s">
        <v>1938</v>
      </c>
      <c r="C38" t="s">
        <v>811</v>
      </c>
      <c r="D38" t="s">
        <v>1049</v>
      </c>
      <c r="E38" t="s">
        <v>1863</v>
      </c>
      <c r="F38" t="s">
        <v>1051</v>
      </c>
      <c r="G38">
        <v>0</v>
      </c>
      <c r="H38">
        <v>2</v>
      </c>
      <c r="I38" t="s">
        <v>1055</v>
      </c>
      <c r="J38" t="s">
        <v>1842</v>
      </c>
      <c r="K38">
        <v>53001</v>
      </c>
      <c r="L38">
        <v>0</v>
      </c>
      <c r="M38">
        <v>1</v>
      </c>
      <c r="N38" t="s">
        <v>1068</v>
      </c>
      <c r="O38" t="s">
        <v>1016</v>
      </c>
      <c r="P38" t="s">
        <v>1072</v>
      </c>
      <c r="Q38">
        <v>337</v>
      </c>
      <c r="R38">
        <v>3083</v>
      </c>
      <c r="S38" t="s">
        <v>1053</v>
      </c>
      <c r="T38" t="s">
        <v>1057</v>
      </c>
      <c r="U38">
        <v>2</v>
      </c>
      <c r="V38">
        <v>-2</v>
      </c>
      <c r="W38" t="s">
        <v>1055</v>
      </c>
      <c r="X38" t="s">
        <v>1913</v>
      </c>
    </row>
    <row r="39" spans="1:24" x14ac:dyDescent="0.2">
      <c r="A39">
        <v>1994</v>
      </c>
      <c r="B39" t="s">
        <v>1938</v>
      </c>
      <c r="C39" t="s">
        <v>811</v>
      </c>
      <c r="D39" t="s">
        <v>995</v>
      </c>
      <c r="E39" t="s">
        <v>1865</v>
      </c>
      <c r="F39" t="s">
        <v>56</v>
      </c>
      <c r="G39">
        <v>0</v>
      </c>
      <c r="H39">
        <v>2</v>
      </c>
      <c r="I39" t="s">
        <v>401</v>
      </c>
      <c r="J39" t="s">
        <v>1842</v>
      </c>
      <c r="K39">
        <v>63998</v>
      </c>
      <c r="L39">
        <v>0</v>
      </c>
      <c r="M39">
        <v>0</v>
      </c>
      <c r="N39" t="s">
        <v>921</v>
      </c>
      <c r="O39" t="s">
        <v>1027</v>
      </c>
      <c r="P39" t="s">
        <v>1045</v>
      </c>
      <c r="Q39">
        <v>337</v>
      </c>
      <c r="R39">
        <v>3084</v>
      </c>
      <c r="S39" t="s">
        <v>59</v>
      </c>
      <c r="T39" t="s">
        <v>404</v>
      </c>
      <c r="U39">
        <v>2</v>
      </c>
      <c r="V39">
        <v>-2</v>
      </c>
      <c r="W39" t="s">
        <v>401</v>
      </c>
      <c r="X39" t="s">
        <v>1913</v>
      </c>
    </row>
    <row r="40" spans="1:24" x14ac:dyDescent="0.2">
      <c r="A40">
        <v>1994</v>
      </c>
      <c r="B40" t="s">
        <v>1939</v>
      </c>
      <c r="C40" t="s">
        <v>878</v>
      </c>
      <c r="D40" t="s">
        <v>1000</v>
      </c>
      <c r="E40" t="s">
        <v>1864</v>
      </c>
      <c r="F40" t="s">
        <v>124</v>
      </c>
      <c r="G40">
        <v>3</v>
      </c>
      <c r="H40">
        <v>2</v>
      </c>
      <c r="I40" t="s">
        <v>34</v>
      </c>
      <c r="J40" t="s">
        <v>1842</v>
      </c>
      <c r="K40">
        <v>60246</v>
      </c>
      <c r="L40">
        <v>3</v>
      </c>
      <c r="M40">
        <v>1</v>
      </c>
      <c r="N40" t="s">
        <v>915</v>
      </c>
      <c r="O40" t="s">
        <v>902</v>
      </c>
      <c r="P40" t="s">
        <v>997</v>
      </c>
      <c r="Q40">
        <v>338</v>
      </c>
      <c r="R40">
        <v>3085</v>
      </c>
      <c r="S40" t="s">
        <v>128</v>
      </c>
      <c r="T40" t="s">
        <v>38</v>
      </c>
      <c r="U40">
        <v>5</v>
      </c>
      <c r="V40">
        <v>1</v>
      </c>
      <c r="W40" t="s">
        <v>124</v>
      </c>
      <c r="X40" t="s">
        <v>1910</v>
      </c>
    </row>
    <row r="41" spans="1:24" x14ac:dyDescent="0.2">
      <c r="A41">
        <v>1994</v>
      </c>
      <c r="B41" t="s">
        <v>1940</v>
      </c>
      <c r="C41" t="s">
        <v>878</v>
      </c>
      <c r="D41" t="s">
        <v>1029</v>
      </c>
      <c r="E41" t="s">
        <v>1871</v>
      </c>
      <c r="F41" t="s">
        <v>131</v>
      </c>
      <c r="G41">
        <v>3</v>
      </c>
      <c r="H41">
        <v>0</v>
      </c>
      <c r="I41" t="s">
        <v>108</v>
      </c>
      <c r="J41" t="s">
        <v>1842</v>
      </c>
      <c r="K41">
        <v>53121</v>
      </c>
      <c r="L41">
        <v>1</v>
      </c>
      <c r="M41">
        <v>0</v>
      </c>
      <c r="N41" t="s">
        <v>1014</v>
      </c>
      <c r="O41" t="s">
        <v>1015</v>
      </c>
      <c r="P41" t="s">
        <v>1032</v>
      </c>
      <c r="Q41">
        <v>338</v>
      </c>
      <c r="R41">
        <v>3086</v>
      </c>
      <c r="S41" t="s">
        <v>135</v>
      </c>
      <c r="T41" t="s">
        <v>113</v>
      </c>
      <c r="U41">
        <v>3</v>
      </c>
      <c r="V41">
        <v>3</v>
      </c>
      <c r="W41" t="s">
        <v>131</v>
      </c>
      <c r="X41" t="s">
        <v>1910</v>
      </c>
    </row>
    <row r="42" spans="1:24" x14ac:dyDescent="0.2">
      <c r="A42">
        <v>1994</v>
      </c>
      <c r="B42" t="s">
        <v>1941</v>
      </c>
      <c r="C42" t="s">
        <v>878</v>
      </c>
      <c r="D42" t="s">
        <v>995</v>
      </c>
      <c r="E42" t="s">
        <v>1865</v>
      </c>
      <c r="F42" t="s">
        <v>1037</v>
      </c>
      <c r="G42">
        <v>1</v>
      </c>
      <c r="H42">
        <v>3</v>
      </c>
      <c r="I42" t="s">
        <v>117</v>
      </c>
      <c r="J42" t="s">
        <v>1842</v>
      </c>
      <c r="K42">
        <v>60277</v>
      </c>
      <c r="L42">
        <v>0</v>
      </c>
      <c r="M42">
        <v>1</v>
      </c>
      <c r="N42" t="s">
        <v>1076</v>
      </c>
      <c r="O42" t="s">
        <v>1072</v>
      </c>
      <c r="P42" t="s">
        <v>1026</v>
      </c>
      <c r="Q42">
        <v>338</v>
      </c>
      <c r="R42">
        <v>3087</v>
      </c>
      <c r="S42" t="s">
        <v>1039</v>
      </c>
      <c r="T42" t="s">
        <v>121</v>
      </c>
      <c r="U42">
        <v>4</v>
      </c>
      <c r="V42">
        <v>-2</v>
      </c>
      <c r="W42" t="s">
        <v>117</v>
      </c>
      <c r="X42" t="s">
        <v>1913</v>
      </c>
    </row>
    <row r="43" spans="1:24" x14ac:dyDescent="0.2">
      <c r="A43">
        <v>1994</v>
      </c>
      <c r="B43" t="s">
        <v>1942</v>
      </c>
      <c r="C43" t="s">
        <v>878</v>
      </c>
      <c r="D43" t="s">
        <v>1018</v>
      </c>
      <c r="E43" t="s">
        <v>1867</v>
      </c>
      <c r="F43" t="s">
        <v>50</v>
      </c>
      <c r="G43">
        <v>3</v>
      </c>
      <c r="H43">
        <v>2</v>
      </c>
      <c r="I43" t="s">
        <v>56</v>
      </c>
      <c r="J43" t="s">
        <v>1842</v>
      </c>
      <c r="K43">
        <v>90469</v>
      </c>
      <c r="L43">
        <v>2</v>
      </c>
      <c r="M43">
        <v>1</v>
      </c>
      <c r="N43" t="s">
        <v>955</v>
      </c>
      <c r="O43" t="s">
        <v>1046</v>
      </c>
      <c r="P43" t="s">
        <v>1069</v>
      </c>
      <c r="Q43">
        <v>338</v>
      </c>
      <c r="R43">
        <v>3088</v>
      </c>
      <c r="S43" t="s">
        <v>53</v>
      </c>
      <c r="T43" t="s">
        <v>59</v>
      </c>
      <c r="U43">
        <v>5</v>
      </c>
      <c r="V43">
        <v>1</v>
      </c>
      <c r="W43" t="s">
        <v>50</v>
      </c>
      <c r="X43" t="s">
        <v>1910</v>
      </c>
    </row>
    <row r="44" spans="1:24" x14ac:dyDescent="0.2">
      <c r="A44">
        <v>1994</v>
      </c>
      <c r="B44" t="s">
        <v>1943</v>
      </c>
      <c r="C44" t="s">
        <v>878</v>
      </c>
      <c r="D44" t="s">
        <v>1023</v>
      </c>
      <c r="E44" t="s">
        <v>1869</v>
      </c>
      <c r="F44" t="s">
        <v>109</v>
      </c>
      <c r="G44">
        <v>2</v>
      </c>
      <c r="H44">
        <v>0</v>
      </c>
      <c r="I44" t="s">
        <v>933</v>
      </c>
      <c r="J44" t="s">
        <v>1842</v>
      </c>
      <c r="K44">
        <v>61355</v>
      </c>
      <c r="L44">
        <v>2</v>
      </c>
      <c r="M44">
        <v>0</v>
      </c>
      <c r="N44" t="s">
        <v>922</v>
      </c>
      <c r="O44" t="s">
        <v>1004</v>
      </c>
      <c r="P44" t="s">
        <v>1003</v>
      </c>
      <c r="Q44">
        <v>338</v>
      </c>
      <c r="R44">
        <v>3089</v>
      </c>
      <c r="S44" t="s">
        <v>114</v>
      </c>
      <c r="T44" t="s">
        <v>934</v>
      </c>
      <c r="U44">
        <v>2</v>
      </c>
      <c r="V44">
        <v>2</v>
      </c>
      <c r="W44" t="s">
        <v>109</v>
      </c>
      <c r="X44" t="s">
        <v>1910</v>
      </c>
    </row>
    <row r="45" spans="1:24" x14ac:dyDescent="0.2">
      <c r="A45">
        <v>1994</v>
      </c>
      <c r="B45" t="s">
        <v>1944</v>
      </c>
      <c r="C45" t="s">
        <v>878</v>
      </c>
      <c r="D45" t="s">
        <v>1041</v>
      </c>
      <c r="E45" t="s">
        <v>1870</v>
      </c>
      <c r="F45" t="s">
        <v>42</v>
      </c>
      <c r="G45">
        <v>1</v>
      </c>
      <c r="H45">
        <v>0</v>
      </c>
      <c r="I45" t="s">
        <v>33</v>
      </c>
      <c r="J45" t="s">
        <v>1842</v>
      </c>
      <c r="K45">
        <v>84147</v>
      </c>
      <c r="L45">
        <v>0</v>
      </c>
      <c r="M45">
        <v>0</v>
      </c>
      <c r="N45" t="s">
        <v>828</v>
      </c>
      <c r="O45" t="s">
        <v>1016</v>
      </c>
      <c r="P45" t="s">
        <v>1070</v>
      </c>
      <c r="Q45">
        <v>338</v>
      </c>
      <c r="R45">
        <v>3090</v>
      </c>
      <c r="S45" t="s">
        <v>47</v>
      </c>
      <c r="T45" t="s">
        <v>33</v>
      </c>
      <c r="U45">
        <v>1</v>
      </c>
      <c r="V45">
        <v>1</v>
      </c>
      <c r="W45" t="s">
        <v>42</v>
      </c>
      <c r="X45" t="s">
        <v>1910</v>
      </c>
    </row>
    <row r="46" spans="1:24" x14ac:dyDescent="0.2">
      <c r="A46">
        <v>1994</v>
      </c>
      <c r="B46" t="s">
        <v>1945</v>
      </c>
      <c r="C46" t="s">
        <v>878</v>
      </c>
      <c r="D46" t="s">
        <v>1049</v>
      </c>
      <c r="E46" t="s">
        <v>1863</v>
      </c>
      <c r="F46" t="s">
        <v>1055</v>
      </c>
      <c r="G46">
        <v>1</v>
      </c>
      <c r="H46">
        <v>2</v>
      </c>
      <c r="I46" t="s">
        <v>138</v>
      </c>
      <c r="J46" t="s">
        <v>1946</v>
      </c>
      <c r="K46">
        <v>54367</v>
      </c>
      <c r="L46">
        <v>0</v>
      </c>
      <c r="M46">
        <v>0</v>
      </c>
      <c r="N46" t="s">
        <v>1002</v>
      </c>
      <c r="O46" t="s">
        <v>1009</v>
      </c>
      <c r="P46" t="s">
        <v>1010</v>
      </c>
      <c r="Q46">
        <v>338</v>
      </c>
      <c r="R46">
        <v>3091</v>
      </c>
      <c r="S46" t="s">
        <v>1057</v>
      </c>
      <c r="T46" t="s">
        <v>142</v>
      </c>
      <c r="U46">
        <v>3</v>
      </c>
      <c r="V46">
        <v>-1</v>
      </c>
      <c r="W46" t="s">
        <v>138</v>
      </c>
      <c r="X46" t="s">
        <v>1913</v>
      </c>
    </row>
    <row r="47" spans="1:24" x14ac:dyDescent="0.2">
      <c r="A47">
        <v>1994</v>
      </c>
      <c r="B47" t="s">
        <v>1947</v>
      </c>
      <c r="C47" t="s">
        <v>878</v>
      </c>
      <c r="D47" t="s">
        <v>1012</v>
      </c>
      <c r="E47" t="s">
        <v>1868</v>
      </c>
      <c r="F47" t="s">
        <v>25</v>
      </c>
      <c r="G47">
        <v>1</v>
      </c>
      <c r="H47">
        <v>1</v>
      </c>
      <c r="I47" t="s">
        <v>401</v>
      </c>
      <c r="J47" t="s">
        <v>1948</v>
      </c>
      <c r="K47">
        <v>71030</v>
      </c>
      <c r="L47">
        <v>0</v>
      </c>
      <c r="M47">
        <v>0</v>
      </c>
      <c r="N47" t="s">
        <v>839</v>
      </c>
      <c r="O47" t="s">
        <v>1062</v>
      </c>
      <c r="P47" t="s">
        <v>1020</v>
      </c>
      <c r="Q47">
        <v>338</v>
      </c>
      <c r="R47">
        <v>3092</v>
      </c>
      <c r="S47" t="s">
        <v>30</v>
      </c>
      <c r="T47" t="s">
        <v>404</v>
      </c>
      <c r="U47">
        <v>2</v>
      </c>
      <c r="V47">
        <v>0</v>
      </c>
      <c r="W47" t="s">
        <v>1908</v>
      </c>
      <c r="X47" t="s">
        <v>1908</v>
      </c>
    </row>
    <row r="48" spans="1:24" x14ac:dyDescent="0.2">
      <c r="A48">
        <v>1994</v>
      </c>
      <c r="B48" t="s">
        <v>1949</v>
      </c>
      <c r="C48" t="s">
        <v>150</v>
      </c>
      <c r="D48" t="s">
        <v>1049</v>
      </c>
      <c r="E48" t="s">
        <v>1863</v>
      </c>
      <c r="F48" t="s">
        <v>138</v>
      </c>
      <c r="G48">
        <v>2</v>
      </c>
      <c r="H48">
        <v>1</v>
      </c>
      <c r="I48" t="s">
        <v>131</v>
      </c>
      <c r="J48" t="s">
        <v>1842</v>
      </c>
      <c r="K48">
        <v>53400</v>
      </c>
      <c r="L48">
        <v>1</v>
      </c>
      <c r="M48">
        <v>0</v>
      </c>
      <c r="N48" t="s">
        <v>1031</v>
      </c>
      <c r="O48" t="s">
        <v>1004</v>
      </c>
      <c r="P48" t="s">
        <v>1069</v>
      </c>
      <c r="Q48">
        <v>796</v>
      </c>
      <c r="R48">
        <v>3097</v>
      </c>
      <c r="S48" t="s">
        <v>142</v>
      </c>
      <c r="T48" t="s">
        <v>135</v>
      </c>
      <c r="U48">
        <v>3</v>
      </c>
      <c r="V48">
        <v>1</v>
      </c>
      <c r="W48" t="s">
        <v>138</v>
      </c>
      <c r="X48" t="s">
        <v>1910</v>
      </c>
    </row>
    <row r="49" spans="1:24" x14ac:dyDescent="0.2">
      <c r="A49">
        <v>1994</v>
      </c>
      <c r="B49" t="s">
        <v>1950</v>
      </c>
      <c r="C49" t="s">
        <v>150</v>
      </c>
      <c r="D49" t="s">
        <v>995</v>
      </c>
      <c r="E49" t="s">
        <v>1865</v>
      </c>
      <c r="F49" t="s">
        <v>109</v>
      </c>
      <c r="G49">
        <v>2</v>
      </c>
      <c r="H49">
        <v>3</v>
      </c>
      <c r="I49" t="s">
        <v>42</v>
      </c>
      <c r="J49" t="s">
        <v>1842</v>
      </c>
      <c r="K49">
        <v>63500</v>
      </c>
      <c r="L49">
        <v>0</v>
      </c>
      <c r="M49">
        <v>0</v>
      </c>
      <c r="N49" t="s">
        <v>1056</v>
      </c>
      <c r="O49" t="s">
        <v>1020</v>
      </c>
      <c r="P49" t="s">
        <v>1062</v>
      </c>
      <c r="Q49">
        <v>796</v>
      </c>
      <c r="R49">
        <v>3098</v>
      </c>
      <c r="S49" t="s">
        <v>114</v>
      </c>
      <c r="T49" t="s">
        <v>47</v>
      </c>
      <c r="U49">
        <v>5</v>
      </c>
      <c r="V49">
        <v>-1</v>
      </c>
      <c r="W49" t="s">
        <v>42</v>
      </c>
      <c r="X49" t="s">
        <v>1913</v>
      </c>
    </row>
    <row r="50" spans="1:24" x14ac:dyDescent="0.2">
      <c r="A50">
        <v>1994</v>
      </c>
      <c r="B50" t="s">
        <v>1951</v>
      </c>
      <c r="C50" t="s">
        <v>150</v>
      </c>
      <c r="D50" t="s">
        <v>1012</v>
      </c>
      <c r="E50" t="s">
        <v>1868</v>
      </c>
      <c r="F50" t="s">
        <v>401</v>
      </c>
      <c r="G50">
        <v>2</v>
      </c>
      <c r="H50">
        <v>1</v>
      </c>
      <c r="I50" t="s">
        <v>124</v>
      </c>
      <c r="J50" t="s">
        <v>1842</v>
      </c>
      <c r="K50">
        <v>72000</v>
      </c>
      <c r="L50">
        <v>0</v>
      </c>
      <c r="M50">
        <v>0</v>
      </c>
      <c r="N50" t="s">
        <v>1025</v>
      </c>
      <c r="O50" t="s">
        <v>1010</v>
      </c>
      <c r="P50" t="s">
        <v>1032</v>
      </c>
      <c r="Q50">
        <v>796</v>
      </c>
      <c r="R50">
        <v>3096</v>
      </c>
      <c r="S50" t="s">
        <v>404</v>
      </c>
      <c r="T50" t="s">
        <v>128</v>
      </c>
      <c r="U50">
        <v>3</v>
      </c>
      <c r="V50">
        <v>1</v>
      </c>
      <c r="W50" t="s">
        <v>401</v>
      </c>
      <c r="X50" t="s">
        <v>1910</v>
      </c>
    </row>
    <row r="51" spans="1:24" x14ac:dyDescent="0.2">
      <c r="A51">
        <v>1994</v>
      </c>
      <c r="B51" t="s">
        <v>1952</v>
      </c>
      <c r="C51" t="s">
        <v>150</v>
      </c>
      <c r="D51" t="s">
        <v>1041</v>
      </c>
      <c r="E51" t="s">
        <v>1870</v>
      </c>
      <c r="F51" t="s">
        <v>50</v>
      </c>
      <c r="G51">
        <v>2</v>
      </c>
      <c r="H51">
        <v>2</v>
      </c>
      <c r="I51" t="s">
        <v>117</v>
      </c>
      <c r="J51" t="s">
        <v>1953</v>
      </c>
      <c r="K51">
        <v>83500</v>
      </c>
      <c r="L51">
        <v>0</v>
      </c>
      <c r="M51">
        <v>0</v>
      </c>
      <c r="N51" t="s">
        <v>1077</v>
      </c>
      <c r="O51" t="s">
        <v>998</v>
      </c>
      <c r="P51" t="s">
        <v>1016</v>
      </c>
      <c r="Q51">
        <v>796</v>
      </c>
      <c r="R51">
        <v>3095</v>
      </c>
      <c r="S51" t="s">
        <v>53</v>
      </c>
      <c r="T51" t="s">
        <v>121</v>
      </c>
      <c r="U51">
        <v>4</v>
      </c>
      <c r="V51">
        <v>0</v>
      </c>
      <c r="W51" t="s">
        <v>1908</v>
      </c>
      <c r="X51" t="s">
        <v>1908</v>
      </c>
    </row>
    <row r="52" spans="1:24" x14ac:dyDescent="0.2">
      <c r="A52">
        <v>1994</v>
      </c>
      <c r="B52" t="s">
        <v>1954</v>
      </c>
      <c r="C52" t="s">
        <v>83</v>
      </c>
      <c r="D52" t="s">
        <v>1012</v>
      </c>
      <c r="E52" t="s">
        <v>1868</v>
      </c>
      <c r="F52" t="s">
        <v>401</v>
      </c>
      <c r="G52">
        <v>1</v>
      </c>
      <c r="H52">
        <v>2</v>
      </c>
      <c r="I52" t="s">
        <v>138</v>
      </c>
      <c r="J52" t="s">
        <v>1842</v>
      </c>
      <c r="K52">
        <v>74110</v>
      </c>
      <c r="L52">
        <v>1</v>
      </c>
      <c r="M52">
        <v>2</v>
      </c>
      <c r="N52" t="s">
        <v>828</v>
      </c>
      <c r="O52" t="s">
        <v>997</v>
      </c>
      <c r="P52" t="s">
        <v>998</v>
      </c>
      <c r="Q52">
        <v>3461</v>
      </c>
      <c r="R52">
        <v>3100</v>
      </c>
      <c r="S52" t="s">
        <v>404</v>
      </c>
      <c r="T52" t="s">
        <v>142</v>
      </c>
      <c r="U52">
        <v>3</v>
      </c>
      <c r="V52">
        <v>-1</v>
      </c>
      <c r="W52" t="s">
        <v>138</v>
      </c>
      <c r="X52" t="s">
        <v>1913</v>
      </c>
    </row>
    <row r="53" spans="1:24" x14ac:dyDescent="0.2">
      <c r="A53">
        <v>1994</v>
      </c>
      <c r="B53" t="s">
        <v>1955</v>
      </c>
      <c r="C53" t="s">
        <v>83</v>
      </c>
      <c r="D53" t="s">
        <v>1018</v>
      </c>
      <c r="E53" t="s">
        <v>1867</v>
      </c>
      <c r="F53" t="s">
        <v>117</v>
      </c>
      <c r="G53">
        <v>0</v>
      </c>
      <c r="H53">
        <v>1</v>
      </c>
      <c r="I53" t="s">
        <v>42</v>
      </c>
      <c r="J53" t="s">
        <v>1842</v>
      </c>
      <c r="K53">
        <v>91856</v>
      </c>
      <c r="L53">
        <v>0</v>
      </c>
      <c r="M53">
        <v>0</v>
      </c>
      <c r="N53" t="s">
        <v>1025</v>
      </c>
      <c r="O53" t="s">
        <v>1032</v>
      </c>
      <c r="P53" t="s">
        <v>1069</v>
      </c>
      <c r="Q53">
        <v>3461</v>
      </c>
      <c r="R53">
        <v>3099</v>
      </c>
      <c r="S53" t="s">
        <v>121</v>
      </c>
      <c r="T53" t="s">
        <v>47</v>
      </c>
      <c r="U53">
        <v>1</v>
      </c>
      <c r="V53">
        <v>-1</v>
      </c>
      <c r="W53" t="s">
        <v>42</v>
      </c>
      <c r="X53" t="s">
        <v>1913</v>
      </c>
    </row>
    <row r="54" spans="1:24" x14ac:dyDescent="0.2">
      <c r="A54">
        <v>1994</v>
      </c>
      <c r="B54" t="s">
        <v>1956</v>
      </c>
      <c r="C54" t="s">
        <v>155</v>
      </c>
      <c r="D54" t="s">
        <v>1018</v>
      </c>
      <c r="E54" t="s">
        <v>1867</v>
      </c>
      <c r="F54" t="s">
        <v>117</v>
      </c>
      <c r="G54">
        <v>4</v>
      </c>
      <c r="H54">
        <v>0</v>
      </c>
      <c r="I54" t="s">
        <v>401</v>
      </c>
      <c r="J54" t="s">
        <v>1842</v>
      </c>
      <c r="K54">
        <v>91500</v>
      </c>
      <c r="L54">
        <v>4</v>
      </c>
      <c r="M54">
        <v>0</v>
      </c>
      <c r="N54" t="s">
        <v>1081</v>
      </c>
      <c r="O54" t="s">
        <v>1045</v>
      </c>
      <c r="P54" t="s">
        <v>1009</v>
      </c>
      <c r="Q54">
        <v>3460</v>
      </c>
      <c r="R54">
        <v>3103</v>
      </c>
      <c r="S54" t="s">
        <v>121</v>
      </c>
      <c r="T54" t="s">
        <v>404</v>
      </c>
      <c r="U54">
        <v>4</v>
      </c>
      <c r="V54">
        <v>4</v>
      </c>
      <c r="W54" t="s">
        <v>117</v>
      </c>
      <c r="X54" t="s">
        <v>1910</v>
      </c>
    </row>
    <row r="55" spans="1:24" x14ac:dyDescent="0.2">
      <c r="A55">
        <v>1994</v>
      </c>
      <c r="B55" t="s">
        <v>1957</v>
      </c>
      <c r="C55" t="s">
        <v>86</v>
      </c>
      <c r="D55" t="s">
        <v>1018</v>
      </c>
      <c r="E55" t="s">
        <v>1867</v>
      </c>
      <c r="F55" t="s">
        <v>42</v>
      </c>
      <c r="G55">
        <v>0</v>
      </c>
      <c r="H55">
        <v>0</v>
      </c>
      <c r="I55" t="s">
        <v>138</v>
      </c>
      <c r="J55" t="s">
        <v>1958</v>
      </c>
      <c r="K55">
        <v>94194</v>
      </c>
      <c r="L55">
        <v>0</v>
      </c>
      <c r="M55">
        <v>0</v>
      </c>
      <c r="N55" t="s">
        <v>1031</v>
      </c>
      <c r="O55" t="s">
        <v>1010</v>
      </c>
      <c r="P55" t="s">
        <v>1062</v>
      </c>
      <c r="Q55">
        <v>3459</v>
      </c>
      <c r="R55">
        <v>3104</v>
      </c>
      <c r="S55" t="s">
        <v>47</v>
      </c>
      <c r="T55" t="s">
        <v>142</v>
      </c>
      <c r="U55">
        <v>0</v>
      </c>
      <c r="V55">
        <v>0</v>
      </c>
      <c r="W55" t="s">
        <v>1908</v>
      </c>
      <c r="X55" t="s">
        <v>1908</v>
      </c>
    </row>
  </sheetData>
  <pageMargins left="0.7" right="0.7" top="0.75" bottom="0.75" header="0.3" footer="0.3"/>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6CC91F-0D46-4F9D-9059-72AF16D301BF}">
  <dimension ref="A3:B24"/>
  <sheetViews>
    <sheetView topLeftCell="C1" workbookViewId="0">
      <selection activeCell="M17" sqref="M17"/>
    </sheetView>
  </sheetViews>
  <sheetFormatPr defaultRowHeight="12.75" x14ac:dyDescent="0.2"/>
  <cols>
    <col min="1" max="1" width="11.7109375" bestFit="1" customWidth="1"/>
    <col min="2" max="2" width="12.42578125" style="36" bestFit="1" customWidth="1"/>
  </cols>
  <sheetData>
    <row r="3" spans="1:2" x14ac:dyDescent="0.2">
      <c r="A3" s="23" t="s">
        <v>0</v>
      </c>
      <c r="B3" s="38" t="s">
        <v>10</v>
      </c>
    </row>
    <row r="4" spans="1:2" x14ac:dyDescent="0.2">
      <c r="A4" s="3">
        <v>1930</v>
      </c>
      <c r="B4" s="38">
        <v>32808.277777777781</v>
      </c>
    </row>
    <row r="5" spans="1:2" x14ac:dyDescent="0.2">
      <c r="A5" s="3">
        <v>1934</v>
      </c>
      <c r="B5" s="38">
        <v>21352.941176470587</v>
      </c>
    </row>
    <row r="6" spans="1:2" x14ac:dyDescent="0.2">
      <c r="A6" s="3">
        <v>1938</v>
      </c>
      <c r="B6" s="38">
        <v>20872.222222222223</v>
      </c>
    </row>
    <row r="7" spans="1:2" x14ac:dyDescent="0.2">
      <c r="A7" s="3">
        <v>1950</v>
      </c>
      <c r="B7" s="38">
        <v>47511.181818181816</v>
      </c>
    </row>
    <row r="8" spans="1:2" x14ac:dyDescent="0.2">
      <c r="A8" s="3">
        <v>1954</v>
      </c>
      <c r="B8" s="38">
        <v>29561.807692307691</v>
      </c>
    </row>
    <row r="9" spans="1:2" x14ac:dyDescent="0.2">
      <c r="A9" s="3">
        <v>1958</v>
      </c>
      <c r="B9" s="38">
        <v>23423.142857142859</v>
      </c>
    </row>
    <row r="10" spans="1:2" x14ac:dyDescent="0.2">
      <c r="A10" s="3">
        <v>1962</v>
      </c>
      <c r="B10" s="38">
        <v>27911.625</v>
      </c>
    </row>
    <row r="11" spans="1:2" x14ac:dyDescent="0.2">
      <c r="A11" s="3">
        <v>1966</v>
      </c>
      <c r="B11" s="38">
        <v>48847.96875</v>
      </c>
    </row>
    <row r="12" spans="1:2" x14ac:dyDescent="0.2">
      <c r="A12" s="3">
        <v>1970</v>
      </c>
      <c r="B12" s="38">
        <v>50124.21875</v>
      </c>
    </row>
    <row r="13" spans="1:2" x14ac:dyDescent="0.2">
      <c r="A13" s="3">
        <v>1974</v>
      </c>
      <c r="B13" s="38">
        <v>49098.76315789474</v>
      </c>
    </row>
    <row r="14" spans="1:2" x14ac:dyDescent="0.2">
      <c r="A14" s="3">
        <v>1978</v>
      </c>
      <c r="B14" s="38">
        <v>40678.710526315786</v>
      </c>
    </row>
    <row r="15" spans="1:2" x14ac:dyDescent="0.2">
      <c r="A15" s="3">
        <v>1982</v>
      </c>
      <c r="B15" s="38">
        <v>40571.596153846156</v>
      </c>
    </row>
    <row r="16" spans="1:2" x14ac:dyDescent="0.2">
      <c r="A16" s="3">
        <v>1986</v>
      </c>
      <c r="B16" s="38">
        <v>46039.057692307695</v>
      </c>
    </row>
    <row r="17" spans="1:2" x14ac:dyDescent="0.2">
      <c r="A17" s="3">
        <v>1990</v>
      </c>
      <c r="B17" s="38">
        <v>48388.75</v>
      </c>
    </row>
    <row r="18" spans="1:2" x14ac:dyDescent="0.2">
      <c r="A18" s="3">
        <v>1994</v>
      </c>
      <c r="B18" s="38">
        <v>68991.11538461539</v>
      </c>
    </row>
    <row r="19" spans="1:2" x14ac:dyDescent="0.2">
      <c r="A19" s="3">
        <v>1998</v>
      </c>
      <c r="B19" s="38">
        <v>43517.1875</v>
      </c>
    </row>
    <row r="20" spans="1:2" x14ac:dyDescent="0.2">
      <c r="A20" s="3">
        <v>2002</v>
      </c>
      <c r="B20" s="38">
        <v>42268.703125</v>
      </c>
    </row>
    <row r="21" spans="1:2" x14ac:dyDescent="0.2">
      <c r="A21" s="3">
        <v>2006</v>
      </c>
      <c r="B21" s="38">
        <v>52491.234375</v>
      </c>
    </row>
    <row r="22" spans="1:2" x14ac:dyDescent="0.2">
      <c r="A22" s="3">
        <v>2010</v>
      </c>
      <c r="B22" s="38">
        <v>49669.625</v>
      </c>
    </row>
    <row r="23" spans="1:2" x14ac:dyDescent="0.2">
      <c r="A23" s="3">
        <v>2014</v>
      </c>
      <c r="B23" s="38">
        <v>55374.910256410258</v>
      </c>
    </row>
    <row r="24" spans="1:2" x14ac:dyDescent="0.2">
      <c r="A24" s="3" t="s">
        <v>1847</v>
      </c>
      <c r="B24" s="38">
        <v>45164.800000000003</v>
      </c>
    </row>
  </sheetData>
  <pageMargins left="0.7" right="0.7" top="0.75" bottom="0.75" header="0.3" footer="0.3"/>
  <pageSetup orientation="portrait"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EE9BD-2A56-490C-AEB6-AEB5D4E3FF30}">
  <dimension ref="A3:B87"/>
  <sheetViews>
    <sheetView workbookViewId="0">
      <selection activeCell="Q14" sqref="Q14"/>
    </sheetView>
  </sheetViews>
  <sheetFormatPr defaultRowHeight="12.75" x14ac:dyDescent="0.2"/>
  <cols>
    <col min="1" max="1" width="24.7109375" bestFit="1" customWidth="1"/>
    <col min="2" max="2" width="6.42578125" bestFit="1" customWidth="1"/>
  </cols>
  <sheetData>
    <row r="3" spans="1:2" x14ac:dyDescent="0.2">
      <c r="A3" s="23" t="s">
        <v>1875</v>
      </c>
      <c r="B3" s="3" t="s">
        <v>1876</v>
      </c>
    </row>
    <row r="4" spans="1:2" x14ac:dyDescent="0.2">
      <c r="A4" s="3" t="s">
        <v>42</v>
      </c>
      <c r="B4" s="27">
        <v>108</v>
      </c>
    </row>
    <row r="5" spans="1:2" x14ac:dyDescent="0.2">
      <c r="A5" s="3" t="s">
        <v>138</v>
      </c>
      <c r="B5" s="27">
        <v>83</v>
      </c>
    </row>
    <row r="6" spans="1:2" x14ac:dyDescent="0.2">
      <c r="A6" s="3" t="s">
        <v>56</v>
      </c>
      <c r="B6" s="27">
        <v>81</v>
      </c>
    </row>
    <row r="7" spans="1:2" x14ac:dyDescent="0.2">
      <c r="A7" s="3" t="s">
        <v>223</v>
      </c>
      <c r="B7" s="27">
        <v>62</v>
      </c>
    </row>
    <row r="8" spans="1:2" x14ac:dyDescent="0.2">
      <c r="A8" s="3" t="s">
        <v>285</v>
      </c>
      <c r="B8" s="27">
        <v>62</v>
      </c>
    </row>
    <row r="9" spans="1:2" x14ac:dyDescent="0.2">
      <c r="A9" s="3" t="s">
        <v>24</v>
      </c>
      <c r="B9" s="27">
        <v>61</v>
      </c>
    </row>
    <row r="10" spans="1:2" x14ac:dyDescent="0.2">
      <c r="A10" s="3" t="s">
        <v>131</v>
      </c>
      <c r="B10" s="27">
        <v>59</v>
      </c>
    </row>
    <row r="11" spans="1:2" x14ac:dyDescent="0.2">
      <c r="A11" s="3" t="s">
        <v>109</v>
      </c>
      <c r="B11" s="27">
        <v>54</v>
      </c>
    </row>
    <row r="12" spans="1:2" x14ac:dyDescent="0.2">
      <c r="A12" s="3" t="s">
        <v>25</v>
      </c>
      <c r="B12" s="27">
        <v>54</v>
      </c>
    </row>
    <row r="13" spans="1:2" x14ac:dyDescent="0.2">
      <c r="A13" s="3" t="s">
        <v>72</v>
      </c>
      <c r="B13" s="27">
        <v>52</v>
      </c>
    </row>
    <row r="14" spans="1:2" x14ac:dyDescent="0.2">
      <c r="A14" s="3" t="s">
        <v>124</v>
      </c>
      <c r="B14" s="27">
        <v>48</v>
      </c>
    </row>
    <row r="15" spans="1:2" x14ac:dyDescent="0.2">
      <c r="A15" s="3" t="s">
        <v>117</v>
      </c>
      <c r="B15" s="27">
        <v>46</v>
      </c>
    </row>
    <row r="16" spans="1:2" x14ac:dyDescent="0.2">
      <c r="A16" s="3" t="s">
        <v>34</v>
      </c>
      <c r="B16" s="27">
        <v>43</v>
      </c>
    </row>
    <row r="17" spans="1:2" x14ac:dyDescent="0.2">
      <c r="A17" s="3" t="s">
        <v>41</v>
      </c>
      <c r="B17" s="27">
        <v>37</v>
      </c>
    </row>
    <row r="18" spans="1:2" x14ac:dyDescent="0.2">
      <c r="A18" s="3" t="s">
        <v>108</v>
      </c>
      <c r="B18" s="27">
        <v>34</v>
      </c>
    </row>
    <row r="19" spans="1:2" x14ac:dyDescent="0.2">
      <c r="A19" s="3" t="s">
        <v>33</v>
      </c>
      <c r="B19" s="27">
        <v>34</v>
      </c>
    </row>
    <row r="20" spans="1:2" x14ac:dyDescent="0.2">
      <c r="A20" s="3" t="s">
        <v>61</v>
      </c>
      <c r="B20" s="27">
        <v>34</v>
      </c>
    </row>
    <row r="21" spans="1:2" x14ac:dyDescent="0.2">
      <c r="A21" s="3" t="s">
        <v>99</v>
      </c>
      <c r="B21" s="27">
        <v>32</v>
      </c>
    </row>
    <row r="22" spans="1:2" x14ac:dyDescent="0.2">
      <c r="A22" s="3" t="s">
        <v>190</v>
      </c>
      <c r="B22" s="27">
        <v>31</v>
      </c>
    </row>
    <row r="23" spans="1:2" x14ac:dyDescent="0.2">
      <c r="A23" s="3" t="s">
        <v>332</v>
      </c>
      <c r="B23" s="27">
        <v>31</v>
      </c>
    </row>
    <row r="24" spans="1:2" x14ac:dyDescent="0.2">
      <c r="A24" s="3" t="s">
        <v>291</v>
      </c>
      <c r="B24" s="27">
        <v>31</v>
      </c>
    </row>
    <row r="25" spans="1:2" x14ac:dyDescent="0.2">
      <c r="A25" s="3" t="s">
        <v>145</v>
      </c>
      <c r="B25" s="27">
        <v>30</v>
      </c>
    </row>
    <row r="26" spans="1:2" x14ac:dyDescent="0.2">
      <c r="A26" s="3" t="s">
        <v>91</v>
      </c>
      <c r="B26" s="27">
        <v>29</v>
      </c>
    </row>
    <row r="27" spans="1:2" x14ac:dyDescent="0.2">
      <c r="A27" s="3" t="s">
        <v>68</v>
      </c>
      <c r="B27" s="27">
        <v>27</v>
      </c>
    </row>
    <row r="28" spans="1:2" x14ac:dyDescent="0.2">
      <c r="A28" s="3" t="s">
        <v>401</v>
      </c>
      <c r="B28" s="27">
        <v>26</v>
      </c>
    </row>
    <row r="29" spans="1:2" x14ac:dyDescent="0.2">
      <c r="A29" s="3" t="s">
        <v>458</v>
      </c>
      <c r="B29" s="27">
        <v>26</v>
      </c>
    </row>
    <row r="30" spans="1:2" x14ac:dyDescent="0.2">
      <c r="A30" s="3" t="s">
        <v>700</v>
      </c>
      <c r="B30" s="27">
        <v>23</v>
      </c>
    </row>
    <row r="31" spans="1:2" x14ac:dyDescent="0.2">
      <c r="A31" s="3" t="s">
        <v>272</v>
      </c>
      <c r="B31" s="27">
        <v>23</v>
      </c>
    </row>
    <row r="32" spans="1:2" x14ac:dyDescent="0.2">
      <c r="A32" s="3" t="s">
        <v>50</v>
      </c>
      <c r="B32" s="27">
        <v>21</v>
      </c>
    </row>
    <row r="33" spans="1:2" x14ac:dyDescent="0.2">
      <c r="A33" s="3" t="s">
        <v>390</v>
      </c>
      <c r="B33" s="27">
        <v>20</v>
      </c>
    </row>
    <row r="34" spans="1:2" x14ac:dyDescent="0.2">
      <c r="A34" s="3" t="s">
        <v>1055</v>
      </c>
      <c r="B34" s="27">
        <v>19</v>
      </c>
    </row>
    <row r="35" spans="1:2" x14ac:dyDescent="0.2">
      <c r="A35" s="3" t="s">
        <v>925</v>
      </c>
      <c r="B35" s="27">
        <v>17</v>
      </c>
    </row>
    <row r="36" spans="1:2" x14ac:dyDescent="0.2">
      <c r="A36" s="3" t="s">
        <v>1161</v>
      </c>
      <c r="B36" s="27">
        <v>17</v>
      </c>
    </row>
    <row r="37" spans="1:2" x14ac:dyDescent="0.2">
      <c r="A37" s="3" t="s">
        <v>849</v>
      </c>
      <c r="B37" s="27">
        <v>16</v>
      </c>
    </row>
    <row r="38" spans="1:2" x14ac:dyDescent="0.2">
      <c r="A38" s="3" t="s">
        <v>1172</v>
      </c>
      <c r="B38" s="27">
        <v>16</v>
      </c>
    </row>
    <row r="39" spans="1:2" x14ac:dyDescent="0.2">
      <c r="A39" s="3" t="s">
        <v>51</v>
      </c>
      <c r="B39" s="27">
        <v>15</v>
      </c>
    </row>
    <row r="40" spans="1:2" x14ac:dyDescent="0.2">
      <c r="A40" s="3" t="s">
        <v>718</v>
      </c>
      <c r="B40" s="27">
        <v>14</v>
      </c>
    </row>
    <row r="41" spans="1:2" x14ac:dyDescent="0.2">
      <c r="A41" s="3" t="s">
        <v>360</v>
      </c>
      <c r="B41" s="27">
        <v>13</v>
      </c>
    </row>
    <row r="42" spans="1:2" x14ac:dyDescent="0.2">
      <c r="A42" s="3" t="s">
        <v>1037</v>
      </c>
      <c r="B42" s="27">
        <v>13</v>
      </c>
    </row>
    <row r="43" spans="1:2" x14ac:dyDescent="0.2">
      <c r="A43" s="3" t="s">
        <v>556</v>
      </c>
      <c r="B43" s="27">
        <v>13</v>
      </c>
    </row>
    <row r="44" spans="1:2" x14ac:dyDescent="0.2">
      <c r="A44" s="3" t="s">
        <v>513</v>
      </c>
      <c r="B44" s="27">
        <v>13</v>
      </c>
    </row>
    <row r="45" spans="1:2" x14ac:dyDescent="0.2">
      <c r="A45" s="3" t="s">
        <v>933</v>
      </c>
      <c r="B45" s="27">
        <v>13</v>
      </c>
    </row>
    <row r="46" spans="1:2" x14ac:dyDescent="0.2">
      <c r="A46" s="3" t="s">
        <v>1483</v>
      </c>
      <c r="B46" s="27">
        <v>12</v>
      </c>
    </row>
    <row r="47" spans="1:2" x14ac:dyDescent="0.2">
      <c r="A47" s="3" t="s">
        <v>628</v>
      </c>
      <c r="B47" s="27">
        <v>12</v>
      </c>
    </row>
    <row r="48" spans="1:2" x14ac:dyDescent="0.2">
      <c r="A48" s="3" t="s">
        <v>1051</v>
      </c>
      <c r="B48" s="27">
        <v>11</v>
      </c>
    </row>
    <row r="49" spans="1:2" x14ac:dyDescent="0.2">
      <c r="A49" s="3" t="s">
        <v>286</v>
      </c>
      <c r="B49" s="27">
        <v>10</v>
      </c>
    </row>
    <row r="50" spans="1:2" x14ac:dyDescent="0.2">
      <c r="A50" s="3" t="s">
        <v>1303</v>
      </c>
      <c r="B50" s="27">
        <v>10</v>
      </c>
    </row>
    <row r="51" spans="1:2" x14ac:dyDescent="0.2">
      <c r="A51" s="3" t="s">
        <v>730</v>
      </c>
      <c r="B51" s="27">
        <v>9</v>
      </c>
    </row>
    <row r="52" spans="1:2" x14ac:dyDescent="0.2">
      <c r="A52" s="3" t="s">
        <v>1444</v>
      </c>
      <c r="B52" s="27">
        <v>9</v>
      </c>
    </row>
    <row r="53" spans="1:2" x14ac:dyDescent="0.2">
      <c r="A53" s="3" t="s">
        <v>1138</v>
      </c>
      <c r="B53" s="27">
        <v>9</v>
      </c>
    </row>
    <row r="54" spans="1:2" x14ac:dyDescent="0.2">
      <c r="A54" s="3" t="s">
        <v>1043</v>
      </c>
      <c r="B54" s="27">
        <v>9</v>
      </c>
    </row>
    <row r="55" spans="1:2" x14ac:dyDescent="0.2">
      <c r="A55" s="3" t="s">
        <v>183</v>
      </c>
      <c r="B55" s="27">
        <v>8</v>
      </c>
    </row>
    <row r="56" spans="1:2" x14ac:dyDescent="0.2">
      <c r="A56" s="3" t="s">
        <v>451</v>
      </c>
      <c r="B56" s="27">
        <v>7</v>
      </c>
    </row>
    <row r="57" spans="1:2" x14ac:dyDescent="0.2">
      <c r="A57" s="3" t="s">
        <v>555</v>
      </c>
      <c r="B57" s="27">
        <v>6</v>
      </c>
    </row>
    <row r="58" spans="1:2" x14ac:dyDescent="0.2">
      <c r="A58" s="3" t="s">
        <v>520</v>
      </c>
      <c r="B58" s="27">
        <v>6</v>
      </c>
    </row>
    <row r="59" spans="1:2" x14ac:dyDescent="0.2">
      <c r="A59" s="3" t="s">
        <v>669</v>
      </c>
      <c r="B59" s="27">
        <v>6</v>
      </c>
    </row>
    <row r="60" spans="1:2" x14ac:dyDescent="0.2">
      <c r="A60" s="3" t="s">
        <v>648</v>
      </c>
      <c r="B60" s="27">
        <v>6</v>
      </c>
    </row>
    <row r="61" spans="1:2" x14ac:dyDescent="0.2">
      <c r="A61" s="3" t="s">
        <v>710</v>
      </c>
      <c r="B61" s="27">
        <v>6</v>
      </c>
    </row>
    <row r="62" spans="1:2" x14ac:dyDescent="0.2">
      <c r="A62" s="3" t="s">
        <v>1293</v>
      </c>
      <c r="B62" s="27">
        <v>6</v>
      </c>
    </row>
    <row r="63" spans="1:2" x14ac:dyDescent="0.2">
      <c r="A63" s="3" t="s">
        <v>65</v>
      </c>
      <c r="B63" s="27">
        <v>6</v>
      </c>
    </row>
    <row r="64" spans="1:2" x14ac:dyDescent="0.2">
      <c r="A64" s="3" t="s">
        <v>1500</v>
      </c>
      <c r="B64" s="27">
        <v>5</v>
      </c>
    </row>
    <row r="65" spans="1:2" x14ac:dyDescent="0.2">
      <c r="A65" s="3" t="s">
        <v>1252</v>
      </c>
      <c r="B65" s="27">
        <v>5</v>
      </c>
    </row>
    <row r="66" spans="1:2" x14ac:dyDescent="0.2">
      <c r="A66" s="3" t="s">
        <v>342</v>
      </c>
      <c r="B66" s="27">
        <v>5</v>
      </c>
    </row>
    <row r="67" spans="1:2" x14ac:dyDescent="0.2">
      <c r="A67" s="3" t="s">
        <v>100</v>
      </c>
      <c r="B67" s="27">
        <v>4</v>
      </c>
    </row>
    <row r="68" spans="1:2" x14ac:dyDescent="0.2">
      <c r="A68" s="3" t="s">
        <v>1620</v>
      </c>
      <c r="B68" s="27">
        <v>4</v>
      </c>
    </row>
    <row r="69" spans="1:2" x14ac:dyDescent="0.2">
      <c r="A69" s="3" t="s">
        <v>582</v>
      </c>
      <c r="B69" s="27">
        <v>3</v>
      </c>
    </row>
    <row r="70" spans="1:2" x14ac:dyDescent="0.2">
      <c r="A70" s="3" t="s">
        <v>1465</v>
      </c>
      <c r="B70" s="27">
        <v>3</v>
      </c>
    </row>
    <row r="71" spans="1:2" x14ac:dyDescent="0.2">
      <c r="A71" s="3" t="s">
        <v>806</v>
      </c>
      <c r="B71" s="27">
        <v>3</v>
      </c>
    </row>
    <row r="72" spans="1:2" x14ac:dyDescent="0.2">
      <c r="A72" s="3" t="s">
        <v>1452</v>
      </c>
      <c r="B72" s="27">
        <v>3</v>
      </c>
    </row>
    <row r="73" spans="1:2" x14ac:dyDescent="0.2">
      <c r="A73" s="3" t="s">
        <v>496</v>
      </c>
      <c r="B73" s="27">
        <v>3</v>
      </c>
    </row>
    <row r="74" spans="1:2" x14ac:dyDescent="0.2">
      <c r="A74" s="3" t="s">
        <v>1437</v>
      </c>
      <c r="B74" s="27">
        <v>3</v>
      </c>
    </row>
    <row r="75" spans="1:2" x14ac:dyDescent="0.2">
      <c r="A75" s="3" t="s">
        <v>1488</v>
      </c>
      <c r="B75" s="27">
        <v>3</v>
      </c>
    </row>
    <row r="76" spans="1:2" x14ac:dyDescent="0.2">
      <c r="A76" s="3" t="s">
        <v>1476</v>
      </c>
      <c r="B76" s="27">
        <v>3</v>
      </c>
    </row>
    <row r="77" spans="1:2" x14ac:dyDescent="0.2">
      <c r="A77" s="3" t="s">
        <v>1171</v>
      </c>
      <c r="B77" s="27">
        <v>3</v>
      </c>
    </row>
    <row r="78" spans="1:2" x14ac:dyDescent="0.2">
      <c r="A78" s="3" t="s">
        <v>1313</v>
      </c>
      <c r="B78" s="27">
        <v>3</v>
      </c>
    </row>
    <row r="79" spans="1:2" x14ac:dyDescent="0.2">
      <c r="A79" s="3" t="s">
        <v>842</v>
      </c>
      <c r="B79" s="27">
        <v>3</v>
      </c>
    </row>
    <row r="80" spans="1:2" x14ac:dyDescent="0.2">
      <c r="A80" s="3" t="s">
        <v>907</v>
      </c>
      <c r="B80" s="27">
        <v>3</v>
      </c>
    </row>
    <row r="81" spans="1:2" x14ac:dyDescent="0.2">
      <c r="A81" s="3" t="s">
        <v>741</v>
      </c>
      <c r="B81" s="27">
        <v>3</v>
      </c>
    </row>
    <row r="82" spans="1:2" x14ac:dyDescent="0.2">
      <c r="A82" s="3" t="s">
        <v>177</v>
      </c>
      <c r="B82" s="27">
        <v>3</v>
      </c>
    </row>
    <row r="83" spans="1:2" x14ac:dyDescent="0.2">
      <c r="A83" s="3" t="s">
        <v>564</v>
      </c>
      <c r="B83" s="27">
        <v>3</v>
      </c>
    </row>
    <row r="84" spans="1:2" x14ac:dyDescent="0.2">
      <c r="A84" s="3" t="s">
        <v>1753</v>
      </c>
      <c r="B84" s="27">
        <v>3</v>
      </c>
    </row>
    <row r="85" spans="1:2" x14ac:dyDescent="0.2">
      <c r="A85" s="3" t="s">
        <v>1598</v>
      </c>
      <c r="B85" s="27">
        <v>3</v>
      </c>
    </row>
    <row r="86" spans="1:2" x14ac:dyDescent="0.2">
      <c r="A86" s="3" t="s">
        <v>166</v>
      </c>
      <c r="B86" s="27">
        <v>1</v>
      </c>
    </row>
    <row r="87" spans="1:2" x14ac:dyDescent="0.2">
      <c r="A87" s="3" t="s">
        <v>1847</v>
      </c>
      <c r="B87" s="27">
        <v>1704</v>
      </c>
    </row>
  </sheetData>
  <pageMargins left="0.7" right="0.7" top="0.75" bottom="0.75" header="0.3" footer="0.3"/>
  <pageSetup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827A4-7762-4C07-9485-9D48ED78DA50}">
  <dimension ref="A1:C1707"/>
  <sheetViews>
    <sheetView topLeftCell="A1684" workbookViewId="0">
      <selection activeCell="B1707" sqref="B1707"/>
    </sheetView>
  </sheetViews>
  <sheetFormatPr defaultRowHeight="12.75" x14ac:dyDescent="0.2"/>
  <cols>
    <col min="1" max="1" width="24.5703125" style="5" customWidth="1"/>
    <col min="2" max="2" width="19.85546875" style="13" customWidth="1"/>
  </cols>
  <sheetData>
    <row r="1" spans="1:2" x14ac:dyDescent="0.2">
      <c r="A1" s="32" t="s">
        <v>1877</v>
      </c>
      <c r="B1" s="33" t="s">
        <v>1878</v>
      </c>
    </row>
    <row r="2" spans="1:2" x14ac:dyDescent="0.2">
      <c r="A2" s="28" t="s">
        <v>24</v>
      </c>
      <c r="B2" s="34">
        <v>4</v>
      </c>
    </row>
    <row r="3" spans="1:2" x14ac:dyDescent="0.2">
      <c r="A3" s="28" t="s">
        <v>33</v>
      </c>
      <c r="B3" s="34">
        <v>3</v>
      </c>
    </row>
    <row r="4" spans="1:2" x14ac:dyDescent="0.2">
      <c r="A4" s="28" t="s">
        <v>41</v>
      </c>
      <c r="B4" s="34">
        <v>2</v>
      </c>
    </row>
    <row r="5" spans="1:2" x14ac:dyDescent="0.2">
      <c r="A5" s="28" t="s">
        <v>50</v>
      </c>
      <c r="B5" s="34">
        <v>3</v>
      </c>
    </row>
    <row r="6" spans="1:2" x14ac:dyDescent="0.2">
      <c r="A6" s="28" t="s">
        <v>56</v>
      </c>
      <c r="B6" s="34">
        <v>1</v>
      </c>
    </row>
    <row r="7" spans="1:2" x14ac:dyDescent="0.2">
      <c r="A7" s="28" t="s">
        <v>61</v>
      </c>
      <c r="B7" s="34">
        <v>3</v>
      </c>
    </row>
    <row r="8" spans="1:2" x14ac:dyDescent="0.2">
      <c r="A8" s="28" t="s">
        <v>41</v>
      </c>
      <c r="B8" s="34">
        <v>4</v>
      </c>
    </row>
    <row r="9" spans="1:2" x14ac:dyDescent="0.2">
      <c r="A9" s="28" t="s">
        <v>33</v>
      </c>
      <c r="B9" s="34">
        <v>3</v>
      </c>
    </row>
    <row r="10" spans="1:2" x14ac:dyDescent="0.2">
      <c r="A10" s="28" t="s">
        <v>72</v>
      </c>
      <c r="B10" s="34">
        <v>1</v>
      </c>
    </row>
    <row r="11" spans="1:2" x14ac:dyDescent="0.2">
      <c r="A11" s="28" t="s">
        <v>61</v>
      </c>
      <c r="B11" s="34">
        <v>1</v>
      </c>
    </row>
    <row r="12" spans="1:2" x14ac:dyDescent="0.2">
      <c r="A12" s="28" t="s">
        <v>56</v>
      </c>
      <c r="B12" s="34">
        <v>6</v>
      </c>
    </row>
    <row r="13" spans="1:2" x14ac:dyDescent="0.2">
      <c r="A13" s="28" t="s">
        <v>42</v>
      </c>
      <c r="B13" s="34">
        <v>4</v>
      </c>
    </row>
    <row r="14" spans="1:2" x14ac:dyDescent="0.2">
      <c r="A14" s="28" t="s">
        <v>68</v>
      </c>
      <c r="B14" s="34">
        <v>1</v>
      </c>
    </row>
    <row r="15" spans="1:2" x14ac:dyDescent="0.2">
      <c r="A15" s="28" t="s">
        <v>72</v>
      </c>
      <c r="B15" s="34">
        <v>4</v>
      </c>
    </row>
    <row r="16" spans="1:2" x14ac:dyDescent="0.2">
      <c r="A16" s="28" t="s">
        <v>56</v>
      </c>
      <c r="B16" s="34">
        <v>3</v>
      </c>
    </row>
    <row r="17" spans="1:2" x14ac:dyDescent="0.2">
      <c r="A17" s="28" t="s">
        <v>56</v>
      </c>
      <c r="B17" s="34">
        <v>6</v>
      </c>
    </row>
    <row r="18" spans="1:2" x14ac:dyDescent="0.2">
      <c r="A18" s="28" t="s">
        <v>72</v>
      </c>
      <c r="B18" s="34">
        <v>6</v>
      </c>
    </row>
    <row r="19" spans="1:2" x14ac:dyDescent="0.2">
      <c r="A19" s="28" t="s">
        <v>72</v>
      </c>
      <c r="B19" s="34">
        <v>4</v>
      </c>
    </row>
    <row r="20" spans="1:2" x14ac:dyDescent="0.2">
      <c r="A20" s="28" t="s">
        <v>91</v>
      </c>
      <c r="B20" s="34">
        <v>3</v>
      </c>
    </row>
    <row r="21" spans="1:2" x14ac:dyDescent="0.2">
      <c r="A21" s="28" t="s">
        <v>99</v>
      </c>
      <c r="B21" s="34">
        <v>4</v>
      </c>
    </row>
    <row r="22" spans="1:2" x14ac:dyDescent="0.2">
      <c r="A22" s="28" t="s">
        <v>108</v>
      </c>
      <c r="B22" s="34">
        <v>3</v>
      </c>
    </row>
    <row r="23" spans="1:2" x14ac:dyDescent="0.2">
      <c r="A23" s="28" t="s">
        <v>117</v>
      </c>
      <c r="B23" s="34">
        <v>3</v>
      </c>
    </row>
    <row r="24" spans="1:2" x14ac:dyDescent="0.2">
      <c r="A24" s="28" t="s">
        <v>124</v>
      </c>
      <c r="B24" s="34">
        <v>5</v>
      </c>
    </row>
    <row r="25" spans="1:2" x14ac:dyDescent="0.2">
      <c r="A25" s="28" t="s">
        <v>131</v>
      </c>
      <c r="B25" s="34">
        <v>3</v>
      </c>
    </row>
    <row r="26" spans="1:2" x14ac:dyDescent="0.2">
      <c r="A26" s="28" t="s">
        <v>138</v>
      </c>
      <c r="B26" s="34">
        <v>7</v>
      </c>
    </row>
    <row r="27" spans="1:2" x14ac:dyDescent="0.2">
      <c r="A27" s="28" t="s">
        <v>145</v>
      </c>
      <c r="B27" s="34">
        <v>2</v>
      </c>
    </row>
    <row r="28" spans="1:2" x14ac:dyDescent="0.2">
      <c r="A28" s="28" t="s">
        <v>145</v>
      </c>
      <c r="B28" s="34">
        <v>3</v>
      </c>
    </row>
    <row r="29" spans="1:2" x14ac:dyDescent="0.2">
      <c r="A29" s="28" t="s">
        <v>124</v>
      </c>
      <c r="B29" s="34">
        <v>2</v>
      </c>
    </row>
    <row r="30" spans="1:2" x14ac:dyDescent="0.2">
      <c r="A30" s="28" t="s">
        <v>138</v>
      </c>
      <c r="B30" s="34">
        <v>1</v>
      </c>
    </row>
    <row r="31" spans="1:2" x14ac:dyDescent="0.2">
      <c r="A31" s="28" t="s">
        <v>91</v>
      </c>
      <c r="B31" s="34">
        <v>2</v>
      </c>
    </row>
    <row r="32" spans="1:2" x14ac:dyDescent="0.2">
      <c r="A32" s="28" t="s">
        <v>138</v>
      </c>
      <c r="B32" s="34">
        <v>1</v>
      </c>
    </row>
    <row r="33" spans="1:2" x14ac:dyDescent="0.2">
      <c r="A33" s="28" t="s">
        <v>138</v>
      </c>
      <c r="B33" s="34">
        <v>1</v>
      </c>
    </row>
    <row r="34" spans="1:2" x14ac:dyDescent="0.2">
      <c r="A34" s="28" t="s">
        <v>145</v>
      </c>
      <c r="B34" s="34">
        <v>3</v>
      </c>
    </row>
    <row r="35" spans="1:2" x14ac:dyDescent="0.2">
      <c r="A35" s="28" t="s">
        <v>124</v>
      </c>
      <c r="B35" s="34">
        <v>3</v>
      </c>
    </row>
    <row r="36" spans="1:2" x14ac:dyDescent="0.2">
      <c r="A36" s="28" t="s">
        <v>138</v>
      </c>
      <c r="B36" s="34">
        <v>2</v>
      </c>
    </row>
    <row r="37" spans="1:2" x14ac:dyDescent="0.2">
      <c r="A37" s="28" t="s">
        <v>108</v>
      </c>
      <c r="B37" s="34">
        <v>1</v>
      </c>
    </row>
    <row r="38" spans="1:2" x14ac:dyDescent="0.2">
      <c r="A38" s="28" t="s">
        <v>99</v>
      </c>
      <c r="B38" s="34">
        <v>6</v>
      </c>
    </row>
    <row r="39" spans="1:2" x14ac:dyDescent="0.2">
      <c r="A39" s="28" t="s">
        <v>24</v>
      </c>
      <c r="B39" s="34">
        <v>3</v>
      </c>
    </row>
    <row r="40" spans="1:2" x14ac:dyDescent="0.2">
      <c r="A40" s="28" t="s">
        <v>177</v>
      </c>
      <c r="B40" s="34">
        <v>3</v>
      </c>
    </row>
    <row r="41" spans="1:2" x14ac:dyDescent="0.2">
      <c r="A41" s="28" t="s">
        <v>138</v>
      </c>
      <c r="B41" s="34">
        <v>2</v>
      </c>
    </row>
    <row r="42" spans="1:2" x14ac:dyDescent="0.2">
      <c r="A42" s="28" t="s">
        <v>42</v>
      </c>
      <c r="B42" s="34">
        <v>6</v>
      </c>
    </row>
    <row r="43" spans="1:2" x14ac:dyDescent="0.2">
      <c r="A43" s="28" t="s">
        <v>145</v>
      </c>
      <c r="B43" s="34">
        <v>3</v>
      </c>
    </row>
    <row r="44" spans="1:2" x14ac:dyDescent="0.2">
      <c r="A44" s="28" t="s">
        <v>177</v>
      </c>
      <c r="B44" s="34">
        <v>2</v>
      </c>
    </row>
    <row r="45" spans="1:2" x14ac:dyDescent="0.2">
      <c r="A45" s="28" t="s">
        <v>108</v>
      </c>
      <c r="B45" s="34">
        <v>4</v>
      </c>
    </row>
    <row r="46" spans="1:2" x14ac:dyDescent="0.2">
      <c r="A46" s="28" t="s">
        <v>42</v>
      </c>
      <c r="B46" s="34">
        <v>1</v>
      </c>
    </row>
    <row r="47" spans="1:2" x14ac:dyDescent="0.2">
      <c r="A47" s="28" t="s">
        <v>99</v>
      </c>
      <c r="B47" s="34">
        <v>2</v>
      </c>
    </row>
    <row r="48" spans="1:2" x14ac:dyDescent="0.2">
      <c r="A48" s="28" t="s">
        <v>117</v>
      </c>
      <c r="B48" s="34">
        <v>8</v>
      </c>
    </row>
    <row r="49" spans="1:2" x14ac:dyDescent="0.2">
      <c r="A49" s="28" t="s">
        <v>138</v>
      </c>
      <c r="B49" s="34">
        <v>3</v>
      </c>
    </row>
    <row r="50" spans="1:2" x14ac:dyDescent="0.2">
      <c r="A50" s="28" t="s">
        <v>42</v>
      </c>
      <c r="B50" s="34">
        <v>2</v>
      </c>
    </row>
    <row r="51" spans="1:2" x14ac:dyDescent="0.2">
      <c r="A51" s="28" t="s">
        <v>99</v>
      </c>
      <c r="B51" s="34">
        <v>5</v>
      </c>
    </row>
    <row r="52" spans="1:2" x14ac:dyDescent="0.2">
      <c r="A52" s="28" t="s">
        <v>138</v>
      </c>
      <c r="B52" s="34">
        <v>2</v>
      </c>
    </row>
    <row r="53" spans="1:2" x14ac:dyDescent="0.2">
      <c r="A53" s="28" t="s">
        <v>42</v>
      </c>
      <c r="B53" s="34">
        <v>4</v>
      </c>
    </row>
    <row r="54" spans="1:2" x14ac:dyDescent="0.2">
      <c r="A54" s="28" t="s">
        <v>138</v>
      </c>
      <c r="B54" s="34">
        <v>4</v>
      </c>
    </row>
    <row r="55" spans="1:2" x14ac:dyDescent="0.2">
      <c r="A55" s="28" t="s">
        <v>42</v>
      </c>
      <c r="B55" s="34">
        <v>4</v>
      </c>
    </row>
    <row r="56" spans="1:2" x14ac:dyDescent="0.2">
      <c r="A56" s="28" t="s">
        <v>223</v>
      </c>
      <c r="B56" s="34">
        <v>2</v>
      </c>
    </row>
    <row r="57" spans="1:2" x14ac:dyDescent="0.2">
      <c r="A57" s="28" t="s">
        <v>131</v>
      </c>
      <c r="B57" s="34">
        <v>3</v>
      </c>
    </row>
    <row r="58" spans="1:2" x14ac:dyDescent="0.2">
      <c r="A58" s="28" t="s">
        <v>117</v>
      </c>
      <c r="B58" s="34">
        <v>3</v>
      </c>
    </row>
    <row r="59" spans="1:2" x14ac:dyDescent="0.2">
      <c r="A59" s="28" t="s">
        <v>41</v>
      </c>
      <c r="B59" s="34">
        <v>3</v>
      </c>
    </row>
    <row r="60" spans="1:2" x14ac:dyDescent="0.2">
      <c r="A60" s="28" t="s">
        <v>42</v>
      </c>
      <c r="B60" s="34">
        <v>2</v>
      </c>
    </row>
    <row r="61" spans="1:2" x14ac:dyDescent="0.2">
      <c r="A61" s="28" t="s">
        <v>41</v>
      </c>
      <c r="B61" s="34">
        <v>4</v>
      </c>
    </row>
    <row r="62" spans="1:2" x14ac:dyDescent="0.2">
      <c r="A62" s="28" t="s">
        <v>131</v>
      </c>
      <c r="B62" s="34">
        <v>2</v>
      </c>
    </row>
    <row r="63" spans="1:2" x14ac:dyDescent="0.2">
      <c r="A63" s="28" t="s">
        <v>117</v>
      </c>
      <c r="B63" s="34">
        <v>2</v>
      </c>
    </row>
    <row r="64" spans="1:2" x14ac:dyDescent="0.2">
      <c r="A64" s="28" t="s">
        <v>33</v>
      </c>
      <c r="B64" s="34">
        <v>1</v>
      </c>
    </row>
    <row r="65" spans="1:2" x14ac:dyDescent="0.2">
      <c r="A65" s="28" t="s">
        <v>42</v>
      </c>
      <c r="B65" s="34">
        <v>2</v>
      </c>
    </row>
    <row r="66" spans="1:2" x14ac:dyDescent="0.2">
      <c r="A66" s="28" t="s">
        <v>131</v>
      </c>
      <c r="B66" s="34">
        <v>1</v>
      </c>
    </row>
    <row r="67" spans="1:2" x14ac:dyDescent="0.2">
      <c r="A67" s="28" t="s">
        <v>138</v>
      </c>
      <c r="B67" s="34">
        <v>2</v>
      </c>
    </row>
    <row r="68" spans="1:2" x14ac:dyDescent="0.2">
      <c r="A68" s="28" t="s">
        <v>72</v>
      </c>
      <c r="B68" s="34">
        <v>8</v>
      </c>
    </row>
    <row r="69" spans="1:2" x14ac:dyDescent="0.2">
      <c r="A69" s="28" t="s">
        <v>108</v>
      </c>
      <c r="B69" s="34">
        <v>2</v>
      </c>
    </row>
    <row r="70" spans="1:2" x14ac:dyDescent="0.2">
      <c r="A70" s="28" t="s">
        <v>61</v>
      </c>
      <c r="B70" s="34">
        <v>5</v>
      </c>
    </row>
    <row r="71" spans="1:2" x14ac:dyDescent="0.2">
      <c r="A71" s="28" t="s">
        <v>72</v>
      </c>
      <c r="B71" s="34">
        <v>2</v>
      </c>
    </row>
    <row r="72" spans="1:2" x14ac:dyDescent="0.2">
      <c r="A72" s="28" t="s">
        <v>42</v>
      </c>
      <c r="B72" s="34">
        <v>7</v>
      </c>
    </row>
    <row r="73" spans="1:2" x14ac:dyDescent="0.2">
      <c r="A73" s="28" t="s">
        <v>42</v>
      </c>
      <c r="B73" s="34">
        <v>6</v>
      </c>
    </row>
    <row r="74" spans="1:2" x14ac:dyDescent="0.2">
      <c r="A74" s="28" t="s">
        <v>72</v>
      </c>
      <c r="B74" s="34">
        <v>3</v>
      </c>
    </row>
    <row r="75" spans="1:2" x14ac:dyDescent="0.2">
      <c r="A75" s="28" t="s">
        <v>117</v>
      </c>
      <c r="B75" s="34">
        <v>3</v>
      </c>
    </row>
    <row r="76" spans="1:2" x14ac:dyDescent="0.2">
      <c r="A76" s="28" t="s">
        <v>72</v>
      </c>
      <c r="B76" s="34">
        <v>2</v>
      </c>
    </row>
    <row r="77" spans="1:2" x14ac:dyDescent="0.2">
      <c r="A77" s="28" t="s">
        <v>72</v>
      </c>
      <c r="B77" s="34">
        <v>2</v>
      </c>
    </row>
    <row r="78" spans="1:2" x14ac:dyDescent="0.2">
      <c r="A78" s="28" t="s">
        <v>91</v>
      </c>
      <c r="B78" s="34">
        <v>1</v>
      </c>
    </row>
    <row r="79" spans="1:2" x14ac:dyDescent="0.2">
      <c r="A79" s="28" t="s">
        <v>42</v>
      </c>
      <c r="B79" s="34">
        <v>5</v>
      </c>
    </row>
    <row r="80" spans="1:2" x14ac:dyDescent="0.2">
      <c r="A80" s="28" t="s">
        <v>41</v>
      </c>
      <c r="B80" s="34">
        <v>1</v>
      </c>
    </row>
    <row r="81" spans="1:2" x14ac:dyDescent="0.2">
      <c r="A81" s="28" t="s">
        <v>285</v>
      </c>
      <c r="B81" s="34">
        <v>4</v>
      </c>
    </row>
    <row r="82" spans="1:2" x14ac:dyDescent="0.2">
      <c r="A82" s="28" t="s">
        <v>99</v>
      </c>
      <c r="B82" s="34">
        <v>9</v>
      </c>
    </row>
    <row r="83" spans="1:2" x14ac:dyDescent="0.2">
      <c r="A83" s="28" t="s">
        <v>223</v>
      </c>
      <c r="B83" s="34">
        <v>4</v>
      </c>
    </row>
    <row r="84" spans="1:2" x14ac:dyDescent="0.2">
      <c r="A84" s="28" t="s">
        <v>108</v>
      </c>
      <c r="B84" s="34">
        <v>2</v>
      </c>
    </row>
    <row r="85" spans="1:2" x14ac:dyDescent="0.2">
      <c r="A85" s="28" t="s">
        <v>72</v>
      </c>
      <c r="B85" s="34">
        <v>7</v>
      </c>
    </row>
    <row r="86" spans="1:2" x14ac:dyDescent="0.2">
      <c r="A86" s="28" t="s">
        <v>91</v>
      </c>
      <c r="B86" s="34">
        <v>5</v>
      </c>
    </row>
    <row r="87" spans="1:2" x14ac:dyDescent="0.2">
      <c r="A87" s="28" t="s">
        <v>24</v>
      </c>
      <c r="B87" s="34">
        <v>3</v>
      </c>
    </row>
    <row r="88" spans="1:2" x14ac:dyDescent="0.2">
      <c r="A88" s="28" t="s">
        <v>42</v>
      </c>
      <c r="B88" s="34">
        <v>1</v>
      </c>
    </row>
    <row r="89" spans="1:2" x14ac:dyDescent="0.2">
      <c r="A89" s="28" t="s">
        <v>99</v>
      </c>
      <c r="B89" s="34">
        <v>8</v>
      </c>
    </row>
    <row r="90" spans="1:2" x14ac:dyDescent="0.2">
      <c r="A90" s="28" t="s">
        <v>286</v>
      </c>
      <c r="B90" s="34">
        <v>7</v>
      </c>
    </row>
    <row r="91" spans="1:2" x14ac:dyDescent="0.2">
      <c r="A91" s="28" t="s">
        <v>223</v>
      </c>
      <c r="B91" s="34">
        <v>2</v>
      </c>
    </row>
    <row r="92" spans="1:2" x14ac:dyDescent="0.2">
      <c r="A92" s="28" t="s">
        <v>138</v>
      </c>
      <c r="B92" s="34">
        <v>4</v>
      </c>
    </row>
    <row r="93" spans="1:2" x14ac:dyDescent="0.2">
      <c r="A93" s="28" t="s">
        <v>285</v>
      </c>
      <c r="B93" s="34">
        <v>7</v>
      </c>
    </row>
    <row r="94" spans="1:2" x14ac:dyDescent="0.2">
      <c r="A94" s="28" t="s">
        <v>108</v>
      </c>
      <c r="B94" s="34">
        <v>4</v>
      </c>
    </row>
    <row r="95" spans="1:2" x14ac:dyDescent="0.2">
      <c r="A95" s="28" t="s">
        <v>72</v>
      </c>
      <c r="B95" s="34">
        <v>4</v>
      </c>
    </row>
    <row r="96" spans="1:2" x14ac:dyDescent="0.2">
      <c r="A96" s="28" t="s">
        <v>91</v>
      </c>
      <c r="B96" s="34">
        <v>7</v>
      </c>
    </row>
    <row r="97" spans="1:2" x14ac:dyDescent="0.2">
      <c r="A97" s="28" t="s">
        <v>285</v>
      </c>
      <c r="B97" s="34">
        <v>2</v>
      </c>
    </row>
    <row r="98" spans="1:2" x14ac:dyDescent="0.2">
      <c r="A98" s="28" t="s">
        <v>99</v>
      </c>
      <c r="B98" s="34">
        <v>4</v>
      </c>
    </row>
    <row r="99" spans="1:2" x14ac:dyDescent="0.2">
      <c r="A99" s="28" t="s">
        <v>285</v>
      </c>
      <c r="B99" s="34">
        <v>6</v>
      </c>
    </row>
    <row r="100" spans="1:2" x14ac:dyDescent="0.2">
      <c r="A100" s="28" t="s">
        <v>99</v>
      </c>
      <c r="B100" s="34">
        <v>4</v>
      </c>
    </row>
    <row r="101" spans="1:2" x14ac:dyDescent="0.2">
      <c r="A101" s="28" t="s">
        <v>91</v>
      </c>
      <c r="B101" s="34">
        <v>3</v>
      </c>
    </row>
    <row r="102" spans="1:2" x14ac:dyDescent="0.2">
      <c r="A102" s="28" t="s">
        <v>285</v>
      </c>
      <c r="B102" s="34">
        <v>3</v>
      </c>
    </row>
    <row r="103" spans="1:2" x14ac:dyDescent="0.2">
      <c r="A103" s="28" t="s">
        <v>117</v>
      </c>
      <c r="B103" s="34">
        <v>3</v>
      </c>
    </row>
    <row r="104" spans="1:2" x14ac:dyDescent="0.2">
      <c r="A104" s="28" t="s">
        <v>332</v>
      </c>
      <c r="B104" s="34">
        <v>2</v>
      </c>
    </row>
    <row r="105" spans="1:2" x14ac:dyDescent="0.2">
      <c r="A105" s="28" t="s">
        <v>56</v>
      </c>
      <c r="B105" s="34">
        <v>1</v>
      </c>
    </row>
    <row r="106" spans="1:2" x14ac:dyDescent="0.2">
      <c r="A106" s="28" t="s">
        <v>99</v>
      </c>
      <c r="B106" s="34">
        <v>1</v>
      </c>
    </row>
    <row r="107" spans="1:2" x14ac:dyDescent="0.2">
      <c r="A107" s="28" t="s">
        <v>24</v>
      </c>
      <c r="B107" s="34">
        <v>7</v>
      </c>
    </row>
    <row r="108" spans="1:2" x14ac:dyDescent="0.2">
      <c r="A108" s="28" t="s">
        <v>41</v>
      </c>
      <c r="B108" s="34">
        <v>1</v>
      </c>
    </row>
    <row r="109" spans="1:2" x14ac:dyDescent="0.2">
      <c r="A109" s="28" t="s">
        <v>42</v>
      </c>
      <c r="B109" s="34">
        <v>3</v>
      </c>
    </row>
    <row r="110" spans="1:2" x14ac:dyDescent="0.2">
      <c r="A110" s="28" t="s">
        <v>360</v>
      </c>
      <c r="B110" s="34">
        <v>1</v>
      </c>
    </row>
    <row r="111" spans="1:2" x14ac:dyDescent="0.2">
      <c r="A111" s="28" t="s">
        <v>42</v>
      </c>
      <c r="B111" s="34">
        <v>0</v>
      </c>
    </row>
    <row r="112" spans="1:2" x14ac:dyDescent="0.2">
      <c r="A112" s="28" t="s">
        <v>25</v>
      </c>
      <c r="B112" s="34">
        <v>1</v>
      </c>
    </row>
    <row r="113" spans="1:2" x14ac:dyDescent="0.2">
      <c r="A113" s="28" t="s">
        <v>68</v>
      </c>
      <c r="B113" s="34">
        <v>3</v>
      </c>
    </row>
    <row r="114" spans="1:2" x14ac:dyDescent="0.2">
      <c r="A114" s="28" t="s">
        <v>41</v>
      </c>
      <c r="B114" s="34">
        <v>3</v>
      </c>
    </row>
    <row r="115" spans="1:2" x14ac:dyDescent="0.2">
      <c r="A115" s="28" t="s">
        <v>332</v>
      </c>
      <c r="B115" s="34">
        <v>2</v>
      </c>
    </row>
    <row r="116" spans="1:2" x14ac:dyDescent="0.2">
      <c r="A116" s="28" t="s">
        <v>285</v>
      </c>
      <c r="B116" s="34">
        <v>2</v>
      </c>
    </row>
    <row r="117" spans="1:2" x14ac:dyDescent="0.2">
      <c r="A117" s="28" t="s">
        <v>56</v>
      </c>
      <c r="B117" s="34">
        <v>3</v>
      </c>
    </row>
    <row r="118" spans="1:2" x14ac:dyDescent="0.2">
      <c r="A118" s="28" t="s">
        <v>117</v>
      </c>
      <c r="B118" s="34">
        <v>2</v>
      </c>
    </row>
    <row r="119" spans="1:2" x14ac:dyDescent="0.2">
      <c r="A119" s="28" t="s">
        <v>117</v>
      </c>
      <c r="B119" s="34">
        <v>0</v>
      </c>
    </row>
    <row r="120" spans="1:2" x14ac:dyDescent="0.2">
      <c r="A120" s="28" t="s">
        <v>42</v>
      </c>
      <c r="B120" s="34">
        <v>2</v>
      </c>
    </row>
    <row r="121" spans="1:2" x14ac:dyDescent="0.2">
      <c r="A121" s="28" t="s">
        <v>285</v>
      </c>
      <c r="B121" s="34">
        <v>2</v>
      </c>
    </row>
    <row r="122" spans="1:2" x14ac:dyDescent="0.2">
      <c r="A122" s="28" t="s">
        <v>99</v>
      </c>
      <c r="B122" s="34">
        <v>4</v>
      </c>
    </row>
    <row r="123" spans="1:2" x14ac:dyDescent="0.2">
      <c r="A123" s="28" t="s">
        <v>68</v>
      </c>
      <c r="B123" s="34">
        <v>3</v>
      </c>
    </row>
    <row r="124" spans="1:2" x14ac:dyDescent="0.2">
      <c r="A124" s="28" t="s">
        <v>24</v>
      </c>
      <c r="B124" s="34">
        <v>2</v>
      </c>
    </row>
    <row r="125" spans="1:2" x14ac:dyDescent="0.2">
      <c r="A125" s="28" t="s">
        <v>223</v>
      </c>
      <c r="B125" s="34">
        <v>2</v>
      </c>
    </row>
    <row r="126" spans="1:2" x14ac:dyDescent="0.2">
      <c r="A126" s="28" t="s">
        <v>145</v>
      </c>
      <c r="B126" s="34">
        <v>6</v>
      </c>
    </row>
    <row r="127" spans="1:2" x14ac:dyDescent="0.2">
      <c r="A127" s="28" t="s">
        <v>332</v>
      </c>
      <c r="B127" s="34">
        <v>1</v>
      </c>
    </row>
    <row r="128" spans="1:2" x14ac:dyDescent="0.2">
      <c r="A128" s="28" t="s">
        <v>360</v>
      </c>
      <c r="B128" s="34">
        <v>2</v>
      </c>
    </row>
    <row r="129" spans="1:2" x14ac:dyDescent="0.2">
      <c r="A129" s="28" t="s">
        <v>342</v>
      </c>
      <c r="B129" s="34">
        <v>2</v>
      </c>
    </row>
    <row r="130" spans="1:2" x14ac:dyDescent="0.2">
      <c r="A130" s="28" t="s">
        <v>42</v>
      </c>
      <c r="B130" s="34">
        <v>1</v>
      </c>
    </row>
    <row r="131" spans="1:2" x14ac:dyDescent="0.2">
      <c r="A131" s="28" t="s">
        <v>285</v>
      </c>
      <c r="B131" s="34">
        <v>1</v>
      </c>
    </row>
    <row r="132" spans="1:2" x14ac:dyDescent="0.2">
      <c r="A132" s="28" t="s">
        <v>117</v>
      </c>
      <c r="B132" s="34">
        <v>2</v>
      </c>
    </row>
    <row r="133" spans="1:2" x14ac:dyDescent="0.2">
      <c r="A133" s="28" t="s">
        <v>24</v>
      </c>
      <c r="B133" s="34">
        <v>4</v>
      </c>
    </row>
    <row r="134" spans="1:2" x14ac:dyDescent="0.2">
      <c r="A134" s="28" t="s">
        <v>117</v>
      </c>
      <c r="B134" s="34">
        <v>3</v>
      </c>
    </row>
    <row r="135" spans="1:2" x14ac:dyDescent="0.2">
      <c r="A135" s="28" t="s">
        <v>42</v>
      </c>
      <c r="B135" s="34">
        <v>5</v>
      </c>
    </row>
    <row r="136" spans="1:2" x14ac:dyDescent="0.2">
      <c r="A136" s="28" t="s">
        <v>24</v>
      </c>
      <c r="B136" s="34">
        <v>6</v>
      </c>
    </row>
    <row r="137" spans="1:2" x14ac:dyDescent="0.2">
      <c r="A137" s="28" t="s">
        <v>42</v>
      </c>
      <c r="B137" s="34">
        <v>5</v>
      </c>
    </row>
    <row r="138" spans="1:2" x14ac:dyDescent="0.2">
      <c r="A138" s="28" t="s">
        <v>72</v>
      </c>
      <c r="B138" s="34">
        <v>2</v>
      </c>
    </row>
    <row r="139" spans="1:2" x14ac:dyDescent="0.2">
      <c r="A139" s="28" t="s">
        <v>42</v>
      </c>
      <c r="B139" s="34">
        <v>2</v>
      </c>
    </row>
    <row r="140" spans="1:2" x14ac:dyDescent="0.2">
      <c r="A140" s="28" t="s">
        <v>56</v>
      </c>
      <c r="B140" s="34">
        <v>1</v>
      </c>
    </row>
    <row r="141" spans="1:2" x14ac:dyDescent="0.2">
      <c r="A141" s="28" t="s">
        <v>61</v>
      </c>
      <c r="B141" s="34">
        <v>3</v>
      </c>
    </row>
    <row r="142" spans="1:2" x14ac:dyDescent="0.2">
      <c r="A142" s="28" t="s">
        <v>332</v>
      </c>
      <c r="B142" s="34">
        <v>2</v>
      </c>
    </row>
    <row r="143" spans="1:2" x14ac:dyDescent="0.2">
      <c r="A143" s="28" t="s">
        <v>145</v>
      </c>
      <c r="B143" s="34">
        <v>1</v>
      </c>
    </row>
    <row r="144" spans="1:2" x14ac:dyDescent="0.2">
      <c r="A144" s="28" t="s">
        <v>99</v>
      </c>
      <c r="B144" s="34">
        <v>2</v>
      </c>
    </row>
    <row r="145" spans="1:2" x14ac:dyDescent="0.2">
      <c r="A145" s="28" t="s">
        <v>285</v>
      </c>
      <c r="B145" s="34">
        <v>0</v>
      </c>
    </row>
    <row r="146" spans="1:2" x14ac:dyDescent="0.2">
      <c r="A146" s="28" t="s">
        <v>41</v>
      </c>
      <c r="B146" s="34">
        <v>3</v>
      </c>
    </row>
    <row r="147" spans="1:2" x14ac:dyDescent="0.2">
      <c r="A147" s="28" t="s">
        <v>42</v>
      </c>
      <c r="B147" s="34">
        <v>0</v>
      </c>
    </row>
    <row r="148" spans="1:2" x14ac:dyDescent="0.2">
      <c r="A148" s="28" t="s">
        <v>223</v>
      </c>
      <c r="B148" s="34">
        <v>3</v>
      </c>
    </row>
    <row r="149" spans="1:2" x14ac:dyDescent="0.2">
      <c r="A149" s="28" t="s">
        <v>61</v>
      </c>
      <c r="B149" s="34">
        <v>2</v>
      </c>
    </row>
    <row r="150" spans="1:2" x14ac:dyDescent="0.2">
      <c r="A150" s="28" t="s">
        <v>332</v>
      </c>
      <c r="B150" s="34">
        <v>4</v>
      </c>
    </row>
    <row r="151" spans="1:2" x14ac:dyDescent="0.2">
      <c r="A151" s="28" t="s">
        <v>131</v>
      </c>
      <c r="B151" s="34">
        <v>1</v>
      </c>
    </row>
    <row r="152" spans="1:2" x14ac:dyDescent="0.2">
      <c r="A152" s="28" t="s">
        <v>99</v>
      </c>
      <c r="B152" s="34">
        <v>6</v>
      </c>
    </row>
    <row r="153" spans="1:2" x14ac:dyDescent="0.2">
      <c r="A153" s="28" t="s">
        <v>285</v>
      </c>
      <c r="B153" s="34">
        <v>2</v>
      </c>
    </row>
    <row r="154" spans="1:2" x14ac:dyDescent="0.2">
      <c r="A154" s="28" t="s">
        <v>332</v>
      </c>
      <c r="B154" s="34">
        <v>2</v>
      </c>
    </row>
    <row r="155" spans="1:2" x14ac:dyDescent="0.2">
      <c r="A155" s="28" t="s">
        <v>42</v>
      </c>
      <c r="B155" s="34">
        <v>2</v>
      </c>
    </row>
    <row r="156" spans="1:2" x14ac:dyDescent="0.2">
      <c r="A156" s="28" t="s">
        <v>99</v>
      </c>
      <c r="B156" s="34">
        <v>0</v>
      </c>
    </row>
    <row r="157" spans="1:2" x14ac:dyDescent="0.2">
      <c r="A157" s="28" t="s">
        <v>285</v>
      </c>
      <c r="B157" s="34">
        <v>2</v>
      </c>
    </row>
    <row r="158" spans="1:2" x14ac:dyDescent="0.2">
      <c r="A158" s="28" t="s">
        <v>41</v>
      </c>
      <c r="B158" s="34">
        <v>5</v>
      </c>
    </row>
    <row r="159" spans="1:2" x14ac:dyDescent="0.2">
      <c r="A159" s="28" t="s">
        <v>25</v>
      </c>
      <c r="B159" s="34">
        <v>3</v>
      </c>
    </row>
    <row r="160" spans="1:2" x14ac:dyDescent="0.2">
      <c r="A160" s="28" t="s">
        <v>223</v>
      </c>
      <c r="B160" s="34">
        <v>0</v>
      </c>
    </row>
    <row r="161" spans="1:2" x14ac:dyDescent="0.2">
      <c r="A161" s="28" t="s">
        <v>138</v>
      </c>
      <c r="B161" s="34">
        <v>3</v>
      </c>
    </row>
    <row r="162" spans="1:2" x14ac:dyDescent="0.2">
      <c r="A162" s="28" t="s">
        <v>61</v>
      </c>
      <c r="B162" s="34">
        <v>2</v>
      </c>
    </row>
    <row r="163" spans="1:2" x14ac:dyDescent="0.2">
      <c r="A163" s="28" t="s">
        <v>42</v>
      </c>
      <c r="B163" s="34">
        <v>3</v>
      </c>
    </row>
    <row r="164" spans="1:2" x14ac:dyDescent="0.2">
      <c r="A164" s="28" t="s">
        <v>145</v>
      </c>
      <c r="B164" s="34">
        <v>1</v>
      </c>
    </row>
    <row r="165" spans="1:2" x14ac:dyDescent="0.2">
      <c r="A165" s="28" t="s">
        <v>41</v>
      </c>
      <c r="B165" s="34">
        <v>1</v>
      </c>
    </row>
    <row r="166" spans="1:2" x14ac:dyDescent="0.2">
      <c r="A166" s="28" t="s">
        <v>145</v>
      </c>
      <c r="B166" s="34">
        <v>3</v>
      </c>
    </row>
    <row r="167" spans="1:2" x14ac:dyDescent="0.2">
      <c r="A167" s="28" t="s">
        <v>42</v>
      </c>
      <c r="B167" s="34">
        <v>4</v>
      </c>
    </row>
    <row r="168" spans="1:2" x14ac:dyDescent="0.2">
      <c r="A168" s="28" t="s">
        <v>61</v>
      </c>
      <c r="B168" s="34">
        <v>1</v>
      </c>
    </row>
    <row r="169" spans="1:2" x14ac:dyDescent="0.2">
      <c r="A169" s="28" t="s">
        <v>42</v>
      </c>
      <c r="B169" s="34">
        <v>3</v>
      </c>
    </row>
    <row r="170" spans="1:2" x14ac:dyDescent="0.2">
      <c r="A170" s="28" t="s">
        <v>223</v>
      </c>
      <c r="B170" s="34">
        <v>0</v>
      </c>
    </row>
    <row r="171" spans="1:2" x14ac:dyDescent="0.2">
      <c r="A171" s="28" t="s">
        <v>285</v>
      </c>
      <c r="B171" s="34">
        <v>5</v>
      </c>
    </row>
    <row r="172" spans="1:2" x14ac:dyDescent="0.2">
      <c r="A172" s="28" t="s">
        <v>42</v>
      </c>
      <c r="B172" s="34">
        <v>2</v>
      </c>
    </row>
    <row r="173" spans="1:2" x14ac:dyDescent="0.2">
      <c r="A173" s="28" t="s">
        <v>332</v>
      </c>
      <c r="B173" s="34">
        <v>3</v>
      </c>
    </row>
    <row r="174" spans="1:2" x14ac:dyDescent="0.2">
      <c r="A174" s="28" t="s">
        <v>24</v>
      </c>
      <c r="B174" s="34">
        <v>1</v>
      </c>
    </row>
    <row r="175" spans="1:2" x14ac:dyDescent="0.2">
      <c r="A175" s="28" t="s">
        <v>458</v>
      </c>
      <c r="B175" s="34">
        <v>3</v>
      </c>
    </row>
    <row r="176" spans="1:2" x14ac:dyDescent="0.2">
      <c r="A176" s="28" t="s">
        <v>56</v>
      </c>
      <c r="B176" s="34">
        <v>2</v>
      </c>
    </row>
    <row r="177" spans="1:2" x14ac:dyDescent="0.2">
      <c r="A177" s="28" t="s">
        <v>138</v>
      </c>
      <c r="B177" s="34">
        <v>2</v>
      </c>
    </row>
    <row r="178" spans="1:2" x14ac:dyDescent="0.2">
      <c r="A178" s="28" t="s">
        <v>72</v>
      </c>
      <c r="B178" s="34">
        <v>2</v>
      </c>
    </row>
    <row r="179" spans="1:2" x14ac:dyDescent="0.2">
      <c r="A179" s="28" t="s">
        <v>131</v>
      </c>
      <c r="B179" s="34">
        <v>2</v>
      </c>
    </row>
    <row r="180" spans="1:2" x14ac:dyDescent="0.2">
      <c r="A180" s="28" t="s">
        <v>99</v>
      </c>
      <c r="B180" s="34">
        <v>3</v>
      </c>
    </row>
    <row r="181" spans="1:2" x14ac:dyDescent="0.2">
      <c r="A181" s="28" t="s">
        <v>451</v>
      </c>
      <c r="B181" s="34">
        <v>1</v>
      </c>
    </row>
    <row r="182" spans="1:2" x14ac:dyDescent="0.2">
      <c r="A182" s="28" t="s">
        <v>458</v>
      </c>
      <c r="B182" s="34">
        <v>3</v>
      </c>
    </row>
    <row r="183" spans="1:2" x14ac:dyDescent="0.2">
      <c r="A183" s="28" t="s">
        <v>285</v>
      </c>
      <c r="B183" s="34">
        <v>0</v>
      </c>
    </row>
    <row r="184" spans="1:2" x14ac:dyDescent="0.2">
      <c r="A184" s="28" t="s">
        <v>332</v>
      </c>
      <c r="B184" s="34">
        <v>1</v>
      </c>
    </row>
    <row r="185" spans="1:2" x14ac:dyDescent="0.2">
      <c r="A185" s="28" t="s">
        <v>223</v>
      </c>
      <c r="B185" s="34">
        <v>2</v>
      </c>
    </row>
    <row r="186" spans="1:2" x14ac:dyDescent="0.2">
      <c r="A186" s="28" t="s">
        <v>72</v>
      </c>
      <c r="B186" s="34">
        <v>0</v>
      </c>
    </row>
    <row r="187" spans="1:2" x14ac:dyDescent="0.2">
      <c r="A187" s="28" t="s">
        <v>56</v>
      </c>
      <c r="B187" s="34">
        <v>2</v>
      </c>
    </row>
    <row r="188" spans="1:2" x14ac:dyDescent="0.2">
      <c r="A188" s="28" t="s">
        <v>458</v>
      </c>
      <c r="B188" s="34">
        <v>3</v>
      </c>
    </row>
    <row r="189" spans="1:2" x14ac:dyDescent="0.2">
      <c r="A189" s="28" t="s">
        <v>451</v>
      </c>
      <c r="B189" s="34">
        <v>1</v>
      </c>
    </row>
    <row r="190" spans="1:2" x14ac:dyDescent="0.2">
      <c r="A190" s="28" t="s">
        <v>223</v>
      </c>
      <c r="B190" s="34">
        <v>2</v>
      </c>
    </row>
    <row r="191" spans="1:2" x14ac:dyDescent="0.2">
      <c r="A191" s="28" t="s">
        <v>99</v>
      </c>
      <c r="B191" s="34">
        <v>3</v>
      </c>
    </row>
    <row r="192" spans="1:2" x14ac:dyDescent="0.2">
      <c r="A192" s="28" t="s">
        <v>285</v>
      </c>
      <c r="B192" s="34">
        <v>2</v>
      </c>
    </row>
    <row r="193" spans="1:2" x14ac:dyDescent="0.2">
      <c r="A193" s="28" t="s">
        <v>332</v>
      </c>
      <c r="B193" s="34">
        <v>2</v>
      </c>
    </row>
    <row r="194" spans="1:2" x14ac:dyDescent="0.2">
      <c r="A194" s="28" t="s">
        <v>223</v>
      </c>
      <c r="B194" s="34">
        <v>1</v>
      </c>
    </row>
    <row r="195" spans="1:2" x14ac:dyDescent="0.2">
      <c r="A195" s="28" t="s">
        <v>285</v>
      </c>
      <c r="B195" s="34">
        <v>4</v>
      </c>
    </row>
    <row r="196" spans="1:2" x14ac:dyDescent="0.2">
      <c r="A196" s="28" t="s">
        <v>332</v>
      </c>
      <c r="B196" s="34">
        <v>2</v>
      </c>
    </row>
    <row r="197" spans="1:2" x14ac:dyDescent="0.2">
      <c r="A197" s="28" t="s">
        <v>458</v>
      </c>
      <c r="B197" s="34">
        <v>5</v>
      </c>
    </row>
    <row r="198" spans="1:2" x14ac:dyDescent="0.2">
      <c r="A198" s="28" t="s">
        <v>285</v>
      </c>
      <c r="B198" s="34">
        <v>2</v>
      </c>
    </row>
    <row r="199" spans="1:2" x14ac:dyDescent="0.2">
      <c r="A199" s="28" t="s">
        <v>223</v>
      </c>
      <c r="B199" s="34">
        <v>2</v>
      </c>
    </row>
    <row r="200" spans="1:2" x14ac:dyDescent="0.2">
      <c r="A200" s="28" t="s">
        <v>458</v>
      </c>
      <c r="B200" s="34">
        <v>2</v>
      </c>
    </row>
    <row r="201" spans="1:2" x14ac:dyDescent="0.2">
      <c r="A201" s="28" t="s">
        <v>223</v>
      </c>
      <c r="B201" s="34">
        <v>4</v>
      </c>
    </row>
    <row r="202" spans="1:2" x14ac:dyDescent="0.2">
      <c r="A202" s="28" t="s">
        <v>25</v>
      </c>
      <c r="B202" s="34">
        <v>0</v>
      </c>
    </row>
    <row r="203" spans="1:2" x14ac:dyDescent="0.2">
      <c r="A203" s="28" t="s">
        <v>72</v>
      </c>
      <c r="B203" s="34">
        <v>2</v>
      </c>
    </row>
    <row r="204" spans="1:2" x14ac:dyDescent="0.2">
      <c r="A204" s="28" t="s">
        <v>51</v>
      </c>
      <c r="B204" s="34">
        <v>3</v>
      </c>
    </row>
    <row r="205" spans="1:2" x14ac:dyDescent="0.2">
      <c r="A205" s="28" t="s">
        <v>223</v>
      </c>
      <c r="B205" s="34">
        <v>1</v>
      </c>
    </row>
    <row r="206" spans="1:2" x14ac:dyDescent="0.2">
      <c r="A206" s="28" t="s">
        <v>138</v>
      </c>
      <c r="B206" s="34">
        <v>1</v>
      </c>
    </row>
    <row r="207" spans="1:2" x14ac:dyDescent="0.2">
      <c r="A207" s="28" t="s">
        <v>285</v>
      </c>
      <c r="B207" s="34">
        <v>2</v>
      </c>
    </row>
    <row r="208" spans="1:2" x14ac:dyDescent="0.2">
      <c r="A208" s="28" t="s">
        <v>42</v>
      </c>
      <c r="B208" s="34">
        <v>4</v>
      </c>
    </row>
    <row r="209" spans="1:2" x14ac:dyDescent="0.2">
      <c r="A209" s="28" t="s">
        <v>34</v>
      </c>
      <c r="B209" s="34">
        <v>3</v>
      </c>
    </row>
    <row r="210" spans="1:2" x14ac:dyDescent="0.2">
      <c r="A210" s="28" t="s">
        <v>72</v>
      </c>
      <c r="B210" s="34">
        <v>0</v>
      </c>
    </row>
    <row r="211" spans="1:2" x14ac:dyDescent="0.2">
      <c r="A211" s="28" t="s">
        <v>51</v>
      </c>
      <c r="B211" s="34">
        <v>3</v>
      </c>
    </row>
    <row r="212" spans="1:2" x14ac:dyDescent="0.2">
      <c r="A212" s="28" t="s">
        <v>50</v>
      </c>
      <c r="B212" s="34">
        <v>2</v>
      </c>
    </row>
    <row r="213" spans="1:2" x14ac:dyDescent="0.2">
      <c r="A213" s="28" t="s">
        <v>332</v>
      </c>
      <c r="B213" s="34">
        <v>4</v>
      </c>
    </row>
    <row r="214" spans="1:2" x14ac:dyDescent="0.2">
      <c r="A214" s="28" t="s">
        <v>117</v>
      </c>
      <c r="B214" s="34">
        <v>1</v>
      </c>
    </row>
    <row r="215" spans="1:2" x14ac:dyDescent="0.2">
      <c r="A215" s="28" t="s">
        <v>285</v>
      </c>
      <c r="B215" s="34">
        <v>5</v>
      </c>
    </row>
    <row r="216" spans="1:2" x14ac:dyDescent="0.2">
      <c r="A216" s="28" t="s">
        <v>42</v>
      </c>
      <c r="B216" s="34">
        <v>1</v>
      </c>
    </row>
    <row r="217" spans="1:2" x14ac:dyDescent="0.2">
      <c r="A217" s="28" t="s">
        <v>25</v>
      </c>
      <c r="B217" s="34">
        <v>4</v>
      </c>
    </row>
    <row r="218" spans="1:2" x14ac:dyDescent="0.2">
      <c r="A218" s="28" t="s">
        <v>117</v>
      </c>
      <c r="B218" s="34">
        <v>1</v>
      </c>
    </row>
    <row r="219" spans="1:2" x14ac:dyDescent="0.2">
      <c r="A219" s="28" t="s">
        <v>285</v>
      </c>
      <c r="B219" s="34">
        <v>3</v>
      </c>
    </row>
    <row r="220" spans="1:2" x14ac:dyDescent="0.2">
      <c r="A220" s="28" t="s">
        <v>42</v>
      </c>
      <c r="B220" s="34">
        <v>3</v>
      </c>
    </row>
    <row r="221" spans="1:2" x14ac:dyDescent="0.2">
      <c r="A221" s="28" t="s">
        <v>332</v>
      </c>
      <c r="B221" s="34">
        <v>2</v>
      </c>
    </row>
    <row r="222" spans="1:2" x14ac:dyDescent="0.2">
      <c r="A222" s="28" t="s">
        <v>138</v>
      </c>
      <c r="B222" s="34">
        <v>0</v>
      </c>
    </row>
    <row r="223" spans="1:2" x14ac:dyDescent="0.2">
      <c r="A223" s="28" t="s">
        <v>401</v>
      </c>
      <c r="B223" s="34">
        <v>1</v>
      </c>
    </row>
    <row r="224" spans="1:2" x14ac:dyDescent="0.2">
      <c r="A224" s="28" t="s">
        <v>223</v>
      </c>
      <c r="B224" s="34">
        <v>1</v>
      </c>
    </row>
    <row r="225" spans="1:2" x14ac:dyDescent="0.2">
      <c r="A225" s="28" t="s">
        <v>25</v>
      </c>
      <c r="B225" s="34">
        <v>1</v>
      </c>
    </row>
    <row r="226" spans="1:2" x14ac:dyDescent="0.2">
      <c r="A226" s="28" t="s">
        <v>138</v>
      </c>
      <c r="B226" s="34">
        <v>4</v>
      </c>
    </row>
    <row r="227" spans="1:2" x14ac:dyDescent="0.2">
      <c r="A227" s="28" t="s">
        <v>285</v>
      </c>
      <c r="B227" s="34">
        <v>3</v>
      </c>
    </row>
    <row r="228" spans="1:2" x14ac:dyDescent="0.2">
      <c r="A228" s="28" t="s">
        <v>42</v>
      </c>
      <c r="B228" s="34">
        <v>4</v>
      </c>
    </row>
    <row r="229" spans="1:2" x14ac:dyDescent="0.2">
      <c r="A229" s="28" t="s">
        <v>72</v>
      </c>
      <c r="B229" s="34">
        <v>1</v>
      </c>
    </row>
    <row r="230" spans="1:2" x14ac:dyDescent="0.2">
      <c r="A230" s="28" t="s">
        <v>42</v>
      </c>
      <c r="B230" s="34">
        <v>3</v>
      </c>
    </row>
    <row r="231" spans="1:2" x14ac:dyDescent="0.2">
      <c r="A231" s="28" t="s">
        <v>138</v>
      </c>
      <c r="B231" s="34">
        <v>4</v>
      </c>
    </row>
    <row r="232" spans="1:2" x14ac:dyDescent="0.2">
      <c r="A232" s="28" t="s">
        <v>285</v>
      </c>
      <c r="B232" s="34">
        <v>1</v>
      </c>
    </row>
    <row r="233" spans="1:2" x14ac:dyDescent="0.2">
      <c r="A233" s="28" t="s">
        <v>42</v>
      </c>
      <c r="B233" s="34">
        <v>4</v>
      </c>
    </row>
    <row r="234" spans="1:2" x14ac:dyDescent="0.2">
      <c r="A234" s="28" t="s">
        <v>42</v>
      </c>
      <c r="B234" s="34">
        <v>0</v>
      </c>
    </row>
    <row r="235" spans="1:2" x14ac:dyDescent="0.2">
      <c r="A235" s="28" t="s">
        <v>285</v>
      </c>
      <c r="B235" s="34">
        <v>1</v>
      </c>
    </row>
    <row r="236" spans="1:2" x14ac:dyDescent="0.2">
      <c r="A236" s="28" t="s">
        <v>555</v>
      </c>
      <c r="B236" s="34">
        <v>2</v>
      </c>
    </row>
    <row r="237" spans="1:2" x14ac:dyDescent="0.2">
      <c r="A237" s="28" t="s">
        <v>564</v>
      </c>
      <c r="B237" s="34">
        <v>0</v>
      </c>
    </row>
    <row r="238" spans="1:2" x14ac:dyDescent="0.2">
      <c r="A238" s="28" t="s">
        <v>72</v>
      </c>
      <c r="B238" s="34">
        <v>0</v>
      </c>
    </row>
    <row r="239" spans="1:2" x14ac:dyDescent="0.2">
      <c r="A239" s="28" t="s">
        <v>117</v>
      </c>
      <c r="B239" s="34">
        <v>0</v>
      </c>
    </row>
    <row r="240" spans="1:2" x14ac:dyDescent="0.2">
      <c r="A240" s="28" t="s">
        <v>138</v>
      </c>
      <c r="B240" s="34">
        <v>3</v>
      </c>
    </row>
    <row r="241" spans="1:2" x14ac:dyDescent="0.2">
      <c r="A241" s="28" t="s">
        <v>190</v>
      </c>
      <c r="B241" s="34">
        <v>3</v>
      </c>
    </row>
    <row r="242" spans="1:2" x14ac:dyDescent="0.2">
      <c r="A242" s="28" t="s">
        <v>556</v>
      </c>
      <c r="B242" s="34">
        <v>0</v>
      </c>
    </row>
    <row r="243" spans="1:2" x14ac:dyDescent="0.2">
      <c r="A243" s="28" t="s">
        <v>272</v>
      </c>
      <c r="B243" s="34">
        <v>0</v>
      </c>
    </row>
    <row r="244" spans="1:2" x14ac:dyDescent="0.2">
      <c r="A244" s="28" t="s">
        <v>61</v>
      </c>
      <c r="B244" s="34">
        <v>1</v>
      </c>
    </row>
    <row r="245" spans="1:2" x14ac:dyDescent="0.2">
      <c r="A245" s="28" t="s">
        <v>41</v>
      </c>
      <c r="B245" s="34">
        <v>9</v>
      </c>
    </row>
    <row r="246" spans="1:2" x14ac:dyDescent="0.2">
      <c r="A246" s="28" t="s">
        <v>109</v>
      </c>
      <c r="B246" s="34">
        <v>0</v>
      </c>
    </row>
    <row r="247" spans="1:2" x14ac:dyDescent="0.2">
      <c r="A247" s="28" t="s">
        <v>401</v>
      </c>
      <c r="B247" s="34">
        <v>1</v>
      </c>
    </row>
    <row r="248" spans="1:2" x14ac:dyDescent="0.2">
      <c r="A248" s="28" t="s">
        <v>582</v>
      </c>
      <c r="B248" s="34">
        <v>0</v>
      </c>
    </row>
    <row r="249" spans="1:2" x14ac:dyDescent="0.2">
      <c r="A249" s="28" t="s">
        <v>56</v>
      </c>
      <c r="B249" s="34">
        <v>1</v>
      </c>
    </row>
    <row r="250" spans="1:2" x14ac:dyDescent="0.2">
      <c r="A250" s="28" t="s">
        <v>272</v>
      </c>
      <c r="B250" s="34">
        <v>1</v>
      </c>
    </row>
    <row r="251" spans="1:2" x14ac:dyDescent="0.2">
      <c r="A251" s="28" t="s">
        <v>556</v>
      </c>
      <c r="B251" s="34">
        <v>0</v>
      </c>
    </row>
    <row r="252" spans="1:2" x14ac:dyDescent="0.2">
      <c r="A252" s="28" t="s">
        <v>564</v>
      </c>
      <c r="B252" s="34">
        <v>0</v>
      </c>
    </row>
    <row r="253" spans="1:2" x14ac:dyDescent="0.2">
      <c r="A253" s="28" t="s">
        <v>555</v>
      </c>
      <c r="B253" s="34">
        <v>1</v>
      </c>
    </row>
    <row r="254" spans="1:2" x14ac:dyDescent="0.2">
      <c r="A254" s="28" t="s">
        <v>401</v>
      </c>
      <c r="B254" s="34">
        <v>1</v>
      </c>
    </row>
    <row r="255" spans="1:2" x14ac:dyDescent="0.2">
      <c r="A255" s="28" t="s">
        <v>56</v>
      </c>
      <c r="B255" s="34">
        <v>4</v>
      </c>
    </row>
    <row r="256" spans="1:2" x14ac:dyDescent="0.2">
      <c r="A256" s="28" t="s">
        <v>117</v>
      </c>
      <c r="B256" s="34">
        <v>3</v>
      </c>
    </row>
    <row r="257" spans="1:2" x14ac:dyDescent="0.2">
      <c r="A257" s="28" t="s">
        <v>190</v>
      </c>
      <c r="B257" s="34">
        <v>2</v>
      </c>
    </row>
    <row r="258" spans="1:2" x14ac:dyDescent="0.2">
      <c r="A258" s="28" t="s">
        <v>41</v>
      </c>
      <c r="B258" s="34">
        <v>0</v>
      </c>
    </row>
    <row r="259" spans="1:2" x14ac:dyDescent="0.2">
      <c r="A259" s="28" t="s">
        <v>42</v>
      </c>
      <c r="B259" s="34">
        <v>1</v>
      </c>
    </row>
    <row r="260" spans="1:2" x14ac:dyDescent="0.2">
      <c r="A260" s="28" t="s">
        <v>109</v>
      </c>
      <c r="B260" s="34">
        <v>4</v>
      </c>
    </row>
    <row r="261" spans="1:2" x14ac:dyDescent="0.2">
      <c r="A261" s="28" t="s">
        <v>117</v>
      </c>
      <c r="B261" s="34">
        <v>0</v>
      </c>
    </row>
    <row r="262" spans="1:2" x14ac:dyDescent="0.2">
      <c r="A262" s="28" t="s">
        <v>56</v>
      </c>
      <c r="B262" s="34">
        <v>1</v>
      </c>
    </row>
    <row r="263" spans="1:2" x14ac:dyDescent="0.2">
      <c r="A263" s="28" t="s">
        <v>190</v>
      </c>
      <c r="B263" s="34">
        <v>2</v>
      </c>
    </row>
    <row r="264" spans="1:2" x14ac:dyDescent="0.2">
      <c r="A264" s="28" t="s">
        <v>555</v>
      </c>
      <c r="B264" s="34">
        <v>0</v>
      </c>
    </row>
    <row r="265" spans="1:2" x14ac:dyDescent="0.2">
      <c r="A265" s="28" t="s">
        <v>285</v>
      </c>
      <c r="B265" s="34">
        <v>4</v>
      </c>
    </row>
    <row r="266" spans="1:2" x14ac:dyDescent="0.2">
      <c r="A266" s="28" t="s">
        <v>190</v>
      </c>
      <c r="B266" s="34">
        <v>0</v>
      </c>
    </row>
    <row r="267" spans="1:2" x14ac:dyDescent="0.2">
      <c r="A267" s="28" t="s">
        <v>109</v>
      </c>
      <c r="B267" s="34">
        <v>2</v>
      </c>
    </row>
    <row r="268" spans="1:2" x14ac:dyDescent="0.2">
      <c r="A268" s="28" t="s">
        <v>56</v>
      </c>
      <c r="B268" s="34">
        <v>1</v>
      </c>
    </row>
    <row r="269" spans="1:2" x14ac:dyDescent="0.2">
      <c r="A269" s="28" t="s">
        <v>117</v>
      </c>
      <c r="B269" s="34">
        <v>2</v>
      </c>
    </row>
    <row r="270" spans="1:2" x14ac:dyDescent="0.2">
      <c r="A270" s="28" t="s">
        <v>42</v>
      </c>
      <c r="B270" s="34">
        <v>0</v>
      </c>
    </row>
    <row r="271" spans="1:2" x14ac:dyDescent="0.2">
      <c r="A271" s="28" t="s">
        <v>109</v>
      </c>
      <c r="B271" s="34">
        <v>1</v>
      </c>
    </row>
    <row r="272" spans="1:2" x14ac:dyDescent="0.2">
      <c r="A272" s="28" t="s">
        <v>285</v>
      </c>
      <c r="B272" s="34">
        <v>0</v>
      </c>
    </row>
    <row r="273" spans="1:2" x14ac:dyDescent="0.2">
      <c r="A273" s="28" t="s">
        <v>138</v>
      </c>
      <c r="B273" s="34">
        <v>2</v>
      </c>
    </row>
    <row r="274" spans="1:2" x14ac:dyDescent="0.2">
      <c r="A274" s="28" t="s">
        <v>628</v>
      </c>
      <c r="B274" s="34">
        <v>3</v>
      </c>
    </row>
    <row r="275" spans="1:2" x14ac:dyDescent="0.2">
      <c r="A275" s="28" t="s">
        <v>56</v>
      </c>
      <c r="B275" s="34">
        <v>2</v>
      </c>
    </row>
    <row r="276" spans="1:2" x14ac:dyDescent="0.2">
      <c r="A276" s="28" t="s">
        <v>117</v>
      </c>
      <c r="B276" s="34">
        <v>1</v>
      </c>
    </row>
    <row r="277" spans="1:2" x14ac:dyDescent="0.2">
      <c r="A277" s="28" t="s">
        <v>91</v>
      </c>
      <c r="B277" s="34">
        <v>2</v>
      </c>
    </row>
    <row r="278" spans="1:2" x14ac:dyDescent="0.2">
      <c r="A278" s="28" t="s">
        <v>51</v>
      </c>
      <c r="B278" s="34">
        <v>3</v>
      </c>
    </row>
    <row r="279" spans="1:2" x14ac:dyDescent="0.2">
      <c r="A279" s="28" t="s">
        <v>109</v>
      </c>
      <c r="B279" s="34">
        <v>3</v>
      </c>
    </row>
    <row r="280" spans="1:2" x14ac:dyDescent="0.2">
      <c r="A280" s="28" t="s">
        <v>138</v>
      </c>
      <c r="B280" s="34">
        <v>3</v>
      </c>
    </row>
    <row r="281" spans="1:2" x14ac:dyDescent="0.2">
      <c r="A281" s="28" t="s">
        <v>190</v>
      </c>
      <c r="B281" s="34">
        <v>1</v>
      </c>
    </row>
    <row r="282" spans="1:2" x14ac:dyDescent="0.2">
      <c r="A282" s="28" t="s">
        <v>285</v>
      </c>
      <c r="B282" s="34">
        <v>6</v>
      </c>
    </row>
    <row r="283" spans="1:2" x14ac:dyDescent="0.2">
      <c r="A283" s="28" t="s">
        <v>56</v>
      </c>
      <c r="B283" s="34">
        <v>2</v>
      </c>
    </row>
    <row r="284" spans="1:2" x14ac:dyDescent="0.2">
      <c r="A284" s="28" t="s">
        <v>42</v>
      </c>
      <c r="B284" s="34">
        <v>0</v>
      </c>
    </row>
    <row r="285" spans="1:2" x14ac:dyDescent="0.2">
      <c r="A285" s="28" t="s">
        <v>91</v>
      </c>
      <c r="B285" s="34">
        <v>1</v>
      </c>
    </row>
    <row r="286" spans="1:2" x14ac:dyDescent="0.2">
      <c r="A286" s="28" t="s">
        <v>272</v>
      </c>
      <c r="B286" s="34">
        <v>1</v>
      </c>
    </row>
    <row r="287" spans="1:2" x14ac:dyDescent="0.2">
      <c r="A287" s="28" t="s">
        <v>109</v>
      </c>
      <c r="B287" s="34">
        <v>0</v>
      </c>
    </row>
    <row r="288" spans="1:2" x14ac:dyDescent="0.2">
      <c r="A288" s="28" t="s">
        <v>24</v>
      </c>
      <c r="B288" s="34">
        <v>3</v>
      </c>
    </row>
    <row r="289" spans="1:2" x14ac:dyDescent="0.2">
      <c r="A289" s="28" t="s">
        <v>190</v>
      </c>
      <c r="B289" s="34">
        <v>3</v>
      </c>
    </row>
    <row r="290" spans="1:2" x14ac:dyDescent="0.2">
      <c r="A290" s="28" t="s">
        <v>285</v>
      </c>
      <c r="B290" s="34">
        <v>0</v>
      </c>
    </row>
    <row r="291" spans="1:2" x14ac:dyDescent="0.2">
      <c r="A291" s="28" t="s">
        <v>138</v>
      </c>
      <c r="B291" s="34">
        <v>1</v>
      </c>
    </row>
    <row r="292" spans="1:2" x14ac:dyDescent="0.2">
      <c r="A292" s="28" t="s">
        <v>42</v>
      </c>
      <c r="B292" s="34">
        <v>1</v>
      </c>
    </row>
    <row r="293" spans="1:2" x14ac:dyDescent="0.2">
      <c r="A293" s="28" t="s">
        <v>131</v>
      </c>
      <c r="B293" s="34">
        <v>1</v>
      </c>
    </row>
    <row r="294" spans="1:2" x14ac:dyDescent="0.2">
      <c r="A294" s="28" t="s">
        <v>51</v>
      </c>
      <c r="B294" s="34">
        <v>4</v>
      </c>
    </row>
    <row r="295" spans="1:2" x14ac:dyDescent="0.2">
      <c r="A295" s="28" t="s">
        <v>272</v>
      </c>
      <c r="B295" s="34">
        <v>3</v>
      </c>
    </row>
    <row r="296" spans="1:2" x14ac:dyDescent="0.2">
      <c r="A296" s="28" t="s">
        <v>285</v>
      </c>
      <c r="B296" s="34">
        <v>0</v>
      </c>
    </row>
    <row r="297" spans="1:2" x14ac:dyDescent="0.2">
      <c r="A297" s="28" t="s">
        <v>109</v>
      </c>
      <c r="B297" s="34">
        <v>5</v>
      </c>
    </row>
    <row r="298" spans="1:2" x14ac:dyDescent="0.2">
      <c r="A298" s="28" t="s">
        <v>42</v>
      </c>
      <c r="B298" s="34">
        <v>3</v>
      </c>
    </row>
    <row r="299" spans="1:2" x14ac:dyDescent="0.2">
      <c r="A299" s="28" t="s">
        <v>56</v>
      </c>
      <c r="B299" s="34">
        <v>2</v>
      </c>
    </row>
    <row r="300" spans="1:2" x14ac:dyDescent="0.2">
      <c r="A300" s="28" t="s">
        <v>190</v>
      </c>
      <c r="B300" s="34">
        <v>1</v>
      </c>
    </row>
    <row r="301" spans="1:2" x14ac:dyDescent="0.2">
      <c r="A301" s="28" t="s">
        <v>138</v>
      </c>
      <c r="B301" s="34">
        <v>1</v>
      </c>
    </row>
    <row r="302" spans="1:2" x14ac:dyDescent="0.2">
      <c r="A302" s="28" t="s">
        <v>285</v>
      </c>
      <c r="B302" s="34">
        <v>2</v>
      </c>
    </row>
    <row r="303" spans="1:2" x14ac:dyDescent="0.2">
      <c r="A303" s="28" t="s">
        <v>56</v>
      </c>
      <c r="B303" s="34">
        <v>0</v>
      </c>
    </row>
    <row r="304" spans="1:2" x14ac:dyDescent="0.2">
      <c r="A304" s="28" t="s">
        <v>109</v>
      </c>
      <c r="B304" s="34">
        <v>2</v>
      </c>
    </row>
    <row r="305" spans="1:2" x14ac:dyDescent="0.2">
      <c r="A305" s="28" t="s">
        <v>91</v>
      </c>
      <c r="B305" s="34">
        <v>3</v>
      </c>
    </row>
    <row r="306" spans="1:2" x14ac:dyDescent="0.2">
      <c r="A306" s="28" t="s">
        <v>42</v>
      </c>
      <c r="B306" s="34">
        <v>3</v>
      </c>
    </row>
    <row r="307" spans="1:2" x14ac:dyDescent="0.2">
      <c r="A307" s="28" t="s">
        <v>56</v>
      </c>
      <c r="B307" s="34">
        <v>6</v>
      </c>
    </row>
    <row r="308" spans="1:2" x14ac:dyDescent="0.2">
      <c r="A308" s="28" t="s">
        <v>42</v>
      </c>
      <c r="B308" s="34">
        <v>2</v>
      </c>
    </row>
    <row r="309" spans="1:2" x14ac:dyDescent="0.2">
      <c r="A309" s="28" t="s">
        <v>56</v>
      </c>
      <c r="B309" s="34">
        <v>3</v>
      </c>
    </row>
    <row r="310" spans="1:2" x14ac:dyDescent="0.2">
      <c r="A310" s="28" t="s">
        <v>56</v>
      </c>
      <c r="B310" s="34">
        <v>0</v>
      </c>
    </row>
    <row r="311" spans="1:2" x14ac:dyDescent="0.2">
      <c r="A311" s="28" t="s">
        <v>138</v>
      </c>
      <c r="B311" s="34">
        <v>0</v>
      </c>
    </row>
    <row r="312" spans="1:2" x14ac:dyDescent="0.2">
      <c r="A312" s="28" t="s">
        <v>42</v>
      </c>
      <c r="B312" s="34">
        <v>2</v>
      </c>
    </row>
    <row r="313" spans="1:2" x14ac:dyDescent="0.2">
      <c r="A313" s="28" t="s">
        <v>51</v>
      </c>
      <c r="B313" s="34">
        <v>0</v>
      </c>
    </row>
    <row r="314" spans="1:2" x14ac:dyDescent="0.2">
      <c r="A314" s="28" t="s">
        <v>99</v>
      </c>
      <c r="B314" s="34">
        <v>10</v>
      </c>
    </row>
    <row r="315" spans="1:2" x14ac:dyDescent="0.2">
      <c r="A315" s="28" t="s">
        <v>272</v>
      </c>
      <c r="B315" s="34">
        <v>5</v>
      </c>
    </row>
    <row r="316" spans="1:2" x14ac:dyDescent="0.2">
      <c r="A316" s="28" t="s">
        <v>285</v>
      </c>
      <c r="B316" s="34">
        <v>1</v>
      </c>
    </row>
    <row r="317" spans="1:2" x14ac:dyDescent="0.2">
      <c r="A317" s="28" t="s">
        <v>223</v>
      </c>
      <c r="B317" s="34">
        <v>3</v>
      </c>
    </row>
    <row r="318" spans="1:2" x14ac:dyDescent="0.2">
      <c r="A318" s="28" t="s">
        <v>131</v>
      </c>
      <c r="B318" s="34">
        <v>1</v>
      </c>
    </row>
    <row r="319" spans="1:2" x14ac:dyDescent="0.2">
      <c r="A319" s="28" t="s">
        <v>61</v>
      </c>
      <c r="B319" s="34">
        <v>0</v>
      </c>
    </row>
    <row r="320" spans="1:2" x14ac:dyDescent="0.2">
      <c r="A320" s="28" t="s">
        <v>145</v>
      </c>
      <c r="B320" s="34">
        <v>1</v>
      </c>
    </row>
    <row r="321" spans="1:2" x14ac:dyDescent="0.2">
      <c r="A321" s="28" t="s">
        <v>41</v>
      </c>
      <c r="B321" s="34">
        <v>0</v>
      </c>
    </row>
    <row r="322" spans="1:2" x14ac:dyDescent="0.2">
      <c r="A322" s="28" t="s">
        <v>138</v>
      </c>
      <c r="B322" s="34">
        <v>1</v>
      </c>
    </row>
    <row r="323" spans="1:2" x14ac:dyDescent="0.2">
      <c r="A323" s="28" t="s">
        <v>56</v>
      </c>
      <c r="B323" s="34">
        <v>4</v>
      </c>
    </row>
    <row r="324" spans="1:2" x14ac:dyDescent="0.2">
      <c r="A324" s="28" t="s">
        <v>42</v>
      </c>
      <c r="B324" s="34">
        <v>4</v>
      </c>
    </row>
    <row r="325" spans="1:2" x14ac:dyDescent="0.2">
      <c r="A325" s="28" t="s">
        <v>190</v>
      </c>
      <c r="B325" s="34">
        <v>0</v>
      </c>
    </row>
    <row r="326" spans="1:2" x14ac:dyDescent="0.2">
      <c r="A326" s="28" t="s">
        <v>34</v>
      </c>
      <c r="B326" s="34">
        <v>1</v>
      </c>
    </row>
    <row r="327" spans="1:2" x14ac:dyDescent="0.2">
      <c r="A327" s="28" t="s">
        <v>332</v>
      </c>
      <c r="B327" s="34">
        <v>3</v>
      </c>
    </row>
    <row r="328" spans="1:2" x14ac:dyDescent="0.2">
      <c r="A328" s="28" t="s">
        <v>285</v>
      </c>
      <c r="B328" s="34">
        <v>4</v>
      </c>
    </row>
    <row r="329" spans="1:2" x14ac:dyDescent="0.2">
      <c r="A329" s="28" t="s">
        <v>223</v>
      </c>
      <c r="B329" s="34">
        <v>2</v>
      </c>
    </row>
    <row r="330" spans="1:2" x14ac:dyDescent="0.2">
      <c r="A330" s="28" t="s">
        <v>131</v>
      </c>
      <c r="B330" s="34">
        <v>2</v>
      </c>
    </row>
    <row r="331" spans="1:2" x14ac:dyDescent="0.2">
      <c r="A331" s="28" t="s">
        <v>718</v>
      </c>
      <c r="B331" s="34">
        <v>0</v>
      </c>
    </row>
    <row r="332" spans="1:2" x14ac:dyDescent="0.2">
      <c r="A332" s="28" t="s">
        <v>24</v>
      </c>
      <c r="B332" s="34">
        <v>4</v>
      </c>
    </row>
    <row r="333" spans="1:2" x14ac:dyDescent="0.2">
      <c r="A333" s="28" t="s">
        <v>730</v>
      </c>
      <c r="B333" s="34">
        <v>1</v>
      </c>
    </row>
    <row r="334" spans="1:2" x14ac:dyDescent="0.2">
      <c r="A334" s="28" t="s">
        <v>190</v>
      </c>
      <c r="B334" s="34">
        <v>5</v>
      </c>
    </row>
    <row r="335" spans="1:2" x14ac:dyDescent="0.2">
      <c r="A335" s="28" t="s">
        <v>34</v>
      </c>
      <c r="B335" s="34">
        <v>1</v>
      </c>
    </row>
    <row r="336" spans="1:2" x14ac:dyDescent="0.2">
      <c r="A336" s="28" t="s">
        <v>332</v>
      </c>
      <c r="B336" s="34">
        <v>2</v>
      </c>
    </row>
    <row r="337" spans="1:2" x14ac:dyDescent="0.2">
      <c r="A337" s="28" t="s">
        <v>138</v>
      </c>
      <c r="B337" s="34">
        <v>1</v>
      </c>
    </row>
    <row r="338" spans="1:2" x14ac:dyDescent="0.2">
      <c r="A338" s="28" t="s">
        <v>56</v>
      </c>
      <c r="B338" s="34">
        <v>2</v>
      </c>
    </row>
    <row r="339" spans="1:2" x14ac:dyDescent="0.2">
      <c r="A339" s="28" t="s">
        <v>42</v>
      </c>
      <c r="B339" s="34">
        <v>4</v>
      </c>
    </row>
    <row r="340" spans="1:2" x14ac:dyDescent="0.2">
      <c r="A340" s="28" t="s">
        <v>718</v>
      </c>
      <c r="B340" s="34">
        <v>3</v>
      </c>
    </row>
    <row r="341" spans="1:2" x14ac:dyDescent="0.2">
      <c r="A341" s="28" t="s">
        <v>24</v>
      </c>
      <c r="B341" s="34">
        <v>1</v>
      </c>
    </row>
    <row r="342" spans="1:2" x14ac:dyDescent="0.2">
      <c r="A342" s="28" t="s">
        <v>730</v>
      </c>
      <c r="B342" s="34">
        <v>0</v>
      </c>
    </row>
    <row r="343" spans="1:2" x14ac:dyDescent="0.2">
      <c r="A343" s="28" t="s">
        <v>285</v>
      </c>
      <c r="B343" s="34">
        <v>1</v>
      </c>
    </row>
    <row r="344" spans="1:2" x14ac:dyDescent="0.2">
      <c r="A344" s="28" t="s">
        <v>223</v>
      </c>
      <c r="B344" s="34">
        <v>1</v>
      </c>
    </row>
    <row r="345" spans="1:2" x14ac:dyDescent="0.2">
      <c r="A345" s="28" t="s">
        <v>360</v>
      </c>
      <c r="B345" s="34">
        <v>1</v>
      </c>
    </row>
    <row r="346" spans="1:2" x14ac:dyDescent="0.2">
      <c r="A346" s="28" t="s">
        <v>91</v>
      </c>
      <c r="B346" s="34">
        <v>0</v>
      </c>
    </row>
    <row r="347" spans="1:2" x14ac:dyDescent="0.2">
      <c r="A347" s="28" t="s">
        <v>190</v>
      </c>
      <c r="B347" s="34">
        <v>3</v>
      </c>
    </row>
    <row r="348" spans="1:2" x14ac:dyDescent="0.2">
      <c r="A348" s="28" t="s">
        <v>138</v>
      </c>
      <c r="B348" s="34">
        <v>2</v>
      </c>
    </row>
    <row r="349" spans="1:2" x14ac:dyDescent="0.2">
      <c r="A349" s="28" t="s">
        <v>285</v>
      </c>
      <c r="B349" s="34">
        <v>0</v>
      </c>
    </row>
    <row r="350" spans="1:2" x14ac:dyDescent="0.2">
      <c r="A350" s="28" t="s">
        <v>91</v>
      </c>
      <c r="B350" s="34">
        <v>2</v>
      </c>
    </row>
    <row r="351" spans="1:2" x14ac:dyDescent="0.2">
      <c r="A351" s="28" t="s">
        <v>34</v>
      </c>
      <c r="B351" s="34">
        <v>0</v>
      </c>
    </row>
    <row r="352" spans="1:2" x14ac:dyDescent="0.2">
      <c r="A352" s="28" t="s">
        <v>56</v>
      </c>
      <c r="B352" s="34">
        <v>1</v>
      </c>
    </row>
    <row r="353" spans="1:2" x14ac:dyDescent="0.2">
      <c r="A353" s="28" t="s">
        <v>285</v>
      </c>
      <c r="B353" s="34">
        <v>2</v>
      </c>
    </row>
    <row r="354" spans="1:2" x14ac:dyDescent="0.2">
      <c r="A354" s="28" t="s">
        <v>24</v>
      </c>
      <c r="B354" s="34">
        <v>4</v>
      </c>
    </row>
    <row r="355" spans="1:2" x14ac:dyDescent="0.2">
      <c r="A355" s="28" t="s">
        <v>190</v>
      </c>
      <c r="B355" s="34">
        <v>0</v>
      </c>
    </row>
    <row r="356" spans="1:2" x14ac:dyDescent="0.2">
      <c r="A356" s="28" t="s">
        <v>138</v>
      </c>
      <c r="B356" s="34">
        <v>3</v>
      </c>
    </row>
    <row r="357" spans="1:2" x14ac:dyDescent="0.2">
      <c r="A357" s="28" t="s">
        <v>131</v>
      </c>
      <c r="B357" s="34">
        <v>0</v>
      </c>
    </row>
    <row r="358" spans="1:2" x14ac:dyDescent="0.2">
      <c r="A358" s="28" t="s">
        <v>190</v>
      </c>
      <c r="B358" s="34">
        <v>0</v>
      </c>
    </row>
    <row r="359" spans="1:2" x14ac:dyDescent="0.2">
      <c r="A359" s="28" t="s">
        <v>285</v>
      </c>
      <c r="B359" s="34">
        <v>3</v>
      </c>
    </row>
    <row r="360" spans="1:2" x14ac:dyDescent="0.2">
      <c r="A360" s="28" t="s">
        <v>190</v>
      </c>
      <c r="B360" s="34">
        <v>3</v>
      </c>
    </row>
    <row r="361" spans="1:2" x14ac:dyDescent="0.2">
      <c r="A361" s="28" t="s">
        <v>138</v>
      </c>
      <c r="B361" s="34">
        <v>3</v>
      </c>
    </row>
    <row r="362" spans="1:2" x14ac:dyDescent="0.2">
      <c r="A362" s="28" t="s">
        <v>401</v>
      </c>
      <c r="B362" s="34">
        <v>1</v>
      </c>
    </row>
    <row r="363" spans="1:2" x14ac:dyDescent="0.2">
      <c r="A363" s="28" t="s">
        <v>806</v>
      </c>
      <c r="B363" s="34">
        <v>0</v>
      </c>
    </row>
    <row r="364" spans="1:2" x14ac:dyDescent="0.2">
      <c r="A364" s="28" t="s">
        <v>131</v>
      </c>
      <c r="B364" s="34">
        <v>0</v>
      </c>
    </row>
    <row r="365" spans="1:2" x14ac:dyDescent="0.2">
      <c r="A365" s="28" t="s">
        <v>332</v>
      </c>
      <c r="B365" s="34">
        <v>6</v>
      </c>
    </row>
    <row r="366" spans="1:2" x14ac:dyDescent="0.2">
      <c r="A366" s="28" t="s">
        <v>56</v>
      </c>
      <c r="B366" s="34">
        <v>3</v>
      </c>
    </row>
    <row r="367" spans="1:2" x14ac:dyDescent="0.2">
      <c r="A367" s="28" t="s">
        <v>513</v>
      </c>
      <c r="B367" s="34">
        <v>0</v>
      </c>
    </row>
    <row r="368" spans="1:2" x14ac:dyDescent="0.2">
      <c r="A368" s="28" t="s">
        <v>718</v>
      </c>
      <c r="B368" s="34">
        <v>1</v>
      </c>
    </row>
    <row r="369" spans="1:2" x14ac:dyDescent="0.2">
      <c r="A369" s="28" t="s">
        <v>34</v>
      </c>
      <c r="B369" s="34">
        <v>1</v>
      </c>
    </row>
    <row r="370" spans="1:2" x14ac:dyDescent="0.2">
      <c r="A370" s="28" t="s">
        <v>458</v>
      </c>
      <c r="B370" s="34">
        <v>1</v>
      </c>
    </row>
    <row r="371" spans="1:2" x14ac:dyDescent="0.2">
      <c r="A371" s="28" t="s">
        <v>68</v>
      </c>
      <c r="B371" s="34">
        <v>1</v>
      </c>
    </row>
    <row r="372" spans="1:2" x14ac:dyDescent="0.2">
      <c r="A372" s="28" t="s">
        <v>272</v>
      </c>
      <c r="B372" s="34">
        <v>0</v>
      </c>
    </row>
    <row r="373" spans="1:2" x14ac:dyDescent="0.2">
      <c r="A373" s="28" t="s">
        <v>72</v>
      </c>
      <c r="B373" s="34">
        <v>1</v>
      </c>
    </row>
    <row r="374" spans="1:2" x14ac:dyDescent="0.2">
      <c r="A374" s="28" t="s">
        <v>138</v>
      </c>
      <c r="B374" s="34">
        <v>1</v>
      </c>
    </row>
    <row r="375" spans="1:2" x14ac:dyDescent="0.2">
      <c r="A375" s="28" t="s">
        <v>24</v>
      </c>
      <c r="B375" s="34">
        <v>1</v>
      </c>
    </row>
    <row r="376" spans="1:2" x14ac:dyDescent="0.2">
      <c r="A376" s="28" t="s">
        <v>291</v>
      </c>
      <c r="B376" s="34">
        <v>1</v>
      </c>
    </row>
    <row r="377" spans="1:2" x14ac:dyDescent="0.2">
      <c r="A377" s="28" t="s">
        <v>99</v>
      </c>
      <c r="B377" s="34">
        <v>2</v>
      </c>
    </row>
    <row r="378" spans="1:2" x14ac:dyDescent="0.2">
      <c r="A378" s="28" t="s">
        <v>42</v>
      </c>
      <c r="B378" s="34">
        <v>1</v>
      </c>
    </row>
    <row r="379" spans="1:2" x14ac:dyDescent="0.2">
      <c r="A379" s="28" t="s">
        <v>223</v>
      </c>
      <c r="B379" s="34">
        <v>0</v>
      </c>
    </row>
    <row r="380" spans="1:2" x14ac:dyDescent="0.2">
      <c r="A380" s="28" t="s">
        <v>360</v>
      </c>
      <c r="B380" s="34">
        <v>1</v>
      </c>
    </row>
    <row r="381" spans="1:2" x14ac:dyDescent="0.2">
      <c r="A381" s="28" t="s">
        <v>25</v>
      </c>
      <c r="B381" s="34">
        <v>1</v>
      </c>
    </row>
    <row r="382" spans="1:2" x14ac:dyDescent="0.2">
      <c r="A382" s="28" t="s">
        <v>190</v>
      </c>
      <c r="B382" s="34">
        <v>1</v>
      </c>
    </row>
    <row r="383" spans="1:2" x14ac:dyDescent="0.2">
      <c r="A383" s="28" t="s">
        <v>842</v>
      </c>
      <c r="B383" s="34">
        <v>1</v>
      </c>
    </row>
    <row r="384" spans="1:2" x14ac:dyDescent="0.2">
      <c r="A384" s="28" t="s">
        <v>849</v>
      </c>
      <c r="B384" s="34">
        <v>6</v>
      </c>
    </row>
    <row r="385" spans="1:2" x14ac:dyDescent="0.2">
      <c r="A385" s="28" t="s">
        <v>285</v>
      </c>
      <c r="B385" s="34">
        <v>2</v>
      </c>
    </row>
    <row r="386" spans="1:2" x14ac:dyDescent="0.2">
      <c r="A386" s="28" t="s">
        <v>99</v>
      </c>
      <c r="B386" s="34">
        <v>0</v>
      </c>
    </row>
    <row r="387" spans="1:2" x14ac:dyDescent="0.2">
      <c r="A387" s="28" t="s">
        <v>332</v>
      </c>
      <c r="B387" s="34">
        <v>2</v>
      </c>
    </row>
    <row r="388" spans="1:2" x14ac:dyDescent="0.2">
      <c r="A388" s="28" t="s">
        <v>291</v>
      </c>
      <c r="B388" s="34">
        <v>2</v>
      </c>
    </row>
    <row r="389" spans="1:2" x14ac:dyDescent="0.2">
      <c r="A389" s="28" t="s">
        <v>56</v>
      </c>
      <c r="B389" s="34">
        <v>2</v>
      </c>
    </row>
    <row r="390" spans="1:2" x14ac:dyDescent="0.2">
      <c r="A390" s="28" t="s">
        <v>68</v>
      </c>
      <c r="B390" s="34">
        <v>2</v>
      </c>
    </row>
    <row r="391" spans="1:2" x14ac:dyDescent="0.2">
      <c r="A391" s="28" t="s">
        <v>842</v>
      </c>
      <c r="B391" s="34">
        <v>0</v>
      </c>
    </row>
    <row r="392" spans="1:2" x14ac:dyDescent="0.2">
      <c r="A392" s="28" t="s">
        <v>458</v>
      </c>
      <c r="B392" s="34">
        <v>1</v>
      </c>
    </row>
    <row r="393" spans="1:2" x14ac:dyDescent="0.2">
      <c r="A393" s="28" t="s">
        <v>223</v>
      </c>
      <c r="B393" s="34">
        <v>3</v>
      </c>
    </row>
    <row r="394" spans="1:2" x14ac:dyDescent="0.2">
      <c r="A394" s="28" t="s">
        <v>360</v>
      </c>
      <c r="B394" s="34">
        <v>0</v>
      </c>
    </row>
    <row r="395" spans="1:2" x14ac:dyDescent="0.2">
      <c r="A395" s="28" t="s">
        <v>718</v>
      </c>
      <c r="B395" s="34">
        <v>0</v>
      </c>
    </row>
    <row r="396" spans="1:2" x14ac:dyDescent="0.2">
      <c r="A396" s="28" t="s">
        <v>272</v>
      </c>
      <c r="B396" s="34">
        <v>0</v>
      </c>
    </row>
    <row r="397" spans="1:2" x14ac:dyDescent="0.2">
      <c r="A397" s="28" t="s">
        <v>849</v>
      </c>
      <c r="B397" s="34">
        <v>2</v>
      </c>
    </row>
    <row r="398" spans="1:2" x14ac:dyDescent="0.2">
      <c r="A398" s="28" t="s">
        <v>332</v>
      </c>
      <c r="B398" s="34">
        <v>3</v>
      </c>
    </row>
    <row r="399" spans="1:2" x14ac:dyDescent="0.2">
      <c r="A399" s="28" t="s">
        <v>25</v>
      </c>
      <c r="B399" s="34">
        <v>2</v>
      </c>
    </row>
    <row r="400" spans="1:2" x14ac:dyDescent="0.2">
      <c r="A400" s="28" t="s">
        <v>56</v>
      </c>
      <c r="B400" s="34">
        <v>1</v>
      </c>
    </row>
    <row r="401" spans="1:2" x14ac:dyDescent="0.2">
      <c r="A401" s="28" t="s">
        <v>42</v>
      </c>
      <c r="B401" s="34">
        <v>4</v>
      </c>
    </row>
    <row r="402" spans="1:2" x14ac:dyDescent="0.2">
      <c r="A402" s="28" t="s">
        <v>138</v>
      </c>
      <c r="B402" s="34">
        <v>0</v>
      </c>
    </row>
    <row r="403" spans="1:2" x14ac:dyDescent="0.2">
      <c r="A403" s="28" t="s">
        <v>513</v>
      </c>
      <c r="B403" s="34">
        <v>0</v>
      </c>
    </row>
    <row r="404" spans="1:2" x14ac:dyDescent="0.2">
      <c r="A404" s="28" t="s">
        <v>223</v>
      </c>
      <c r="B404" s="34">
        <v>3</v>
      </c>
    </row>
    <row r="405" spans="1:2" x14ac:dyDescent="0.2">
      <c r="A405" s="28" t="s">
        <v>849</v>
      </c>
      <c r="B405" s="34">
        <v>1</v>
      </c>
    </row>
    <row r="406" spans="1:2" x14ac:dyDescent="0.2">
      <c r="A406" s="28" t="s">
        <v>42</v>
      </c>
      <c r="B406" s="34">
        <v>1</v>
      </c>
    </row>
    <row r="407" spans="1:2" x14ac:dyDescent="0.2">
      <c r="A407" s="28" t="s">
        <v>285</v>
      </c>
      <c r="B407" s="34">
        <v>0</v>
      </c>
    </row>
    <row r="408" spans="1:2" x14ac:dyDescent="0.2">
      <c r="A408" s="28" t="s">
        <v>131</v>
      </c>
      <c r="B408" s="34">
        <v>1</v>
      </c>
    </row>
    <row r="409" spans="1:2" x14ac:dyDescent="0.2">
      <c r="A409" s="28" t="s">
        <v>56</v>
      </c>
      <c r="B409" s="34">
        <v>2</v>
      </c>
    </row>
    <row r="410" spans="1:2" x14ac:dyDescent="0.2">
      <c r="A410" s="28" t="s">
        <v>24</v>
      </c>
      <c r="B410" s="34">
        <v>0</v>
      </c>
    </row>
    <row r="411" spans="1:2" x14ac:dyDescent="0.2">
      <c r="A411" s="28" t="s">
        <v>56</v>
      </c>
      <c r="B411" s="34">
        <v>2</v>
      </c>
    </row>
    <row r="412" spans="1:2" x14ac:dyDescent="0.2">
      <c r="A412" s="28" t="s">
        <v>24</v>
      </c>
      <c r="B412" s="34">
        <v>4</v>
      </c>
    </row>
    <row r="413" spans="1:2" x14ac:dyDescent="0.2">
      <c r="A413" s="28" t="s">
        <v>56</v>
      </c>
      <c r="B413" s="34">
        <v>3</v>
      </c>
    </row>
    <row r="414" spans="1:2" x14ac:dyDescent="0.2">
      <c r="A414" s="28" t="s">
        <v>56</v>
      </c>
      <c r="B414" s="34">
        <v>0</v>
      </c>
    </row>
    <row r="415" spans="1:2" x14ac:dyDescent="0.2">
      <c r="A415" s="28" t="s">
        <v>332</v>
      </c>
      <c r="B415" s="34">
        <v>0</v>
      </c>
    </row>
    <row r="416" spans="1:2" x14ac:dyDescent="0.2">
      <c r="A416" s="28" t="s">
        <v>907</v>
      </c>
      <c r="B416" s="34">
        <v>0</v>
      </c>
    </row>
    <row r="417" spans="1:2" x14ac:dyDescent="0.2">
      <c r="A417" s="28" t="s">
        <v>138</v>
      </c>
      <c r="B417" s="34">
        <v>1</v>
      </c>
    </row>
    <row r="418" spans="1:2" x14ac:dyDescent="0.2">
      <c r="A418" s="28" t="s">
        <v>33</v>
      </c>
      <c r="B418" s="34">
        <v>1</v>
      </c>
    </row>
    <row r="419" spans="1:2" x14ac:dyDescent="0.2">
      <c r="A419" s="28" t="s">
        <v>42</v>
      </c>
      <c r="B419" s="34">
        <v>2</v>
      </c>
    </row>
    <row r="420" spans="1:2" x14ac:dyDescent="0.2">
      <c r="A420" s="28" t="s">
        <v>285</v>
      </c>
      <c r="B420" s="34">
        <v>4</v>
      </c>
    </row>
    <row r="421" spans="1:2" x14ac:dyDescent="0.2">
      <c r="A421" s="28" t="s">
        <v>925</v>
      </c>
      <c r="B421" s="34">
        <v>1</v>
      </c>
    </row>
    <row r="422" spans="1:2" x14ac:dyDescent="0.2">
      <c r="A422" s="28" t="s">
        <v>223</v>
      </c>
      <c r="B422" s="34">
        <v>1</v>
      </c>
    </row>
    <row r="423" spans="1:2" x14ac:dyDescent="0.2">
      <c r="A423" s="28" t="s">
        <v>34</v>
      </c>
      <c r="B423" s="34">
        <v>2</v>
      </c>
    </row>
    <row r="424" spans="1:2" x14ac:dyDescent="0.2">
      <c r="A424" s="28" t="s">
        <v>109</v>
      </c>
      <c r="B424" s="34">
        <v>1</v>
      </c>
    </row>
    <row r="425" spans="1:2" x14ac:dyDescent="0.2">
      <c r="A425" s="28" t="s">
        <v>72</v>
      </c>
      <c r="B425" s="34">
        <v>0</v>
      </c>
    </row>
    <row r="426" spans="1:2" x14ac:dyDescent="0.2">
      <c r="A426" s="28" t="s">
        <v>56</v>
      </c>
      <c r="B426" s="34">
        <v>2</v>
      </c>
    </row>
    <row r="427" spans="1:2" x14ac:dyDescent="0.2">
      <c r="A427" s="28" t="s">
        <v>700</v>
      </c>
      <c r="B427" s="34">
        <v>2</v>
      </c>
    </row>
    <row r="428" spans="1:2" x14ac:dyDescent="0.2">
      <c r="A428" s="28" t="s">
        <v>41</v>
      </c>
      <c r="B428" s="34">
        <v>1</v>
      </c>
    </row>
    <row r="429" spans="1:2" x14ac:dyDescent="0.2">
      <c r="A429" s="28" t="s">
        <v>138</v>
      </c>
      <c r="B429" s="34">
        <v>1</v>
      </c>
    </row>
    <row r="430" spans="1:2" x14ac:dyDescent="0.2">
      <c r="A430" s="28" t="s">
        <v>91</v>
      </c>
      <c r="B430" s="34">
        <v>0</v>
      </c>
    </row>
    <row r="431" spans="1:2" x14ac:dyDescent="0.2">
      <c r="A431" s="28" t="s">
        <v>285</v>
      </c>
      <c r="B431" s="34">
        <v>5</v>
      </c>
    </row>
    <row r="432" spans="1:2" x14ac:dyDescent="0.2">
      <c r="A432" s="28" t="s">
        <v>42</v>
      </c>
      <c r="B432" s="34">
        <v>1</v>
      </c>
    </row>
    <row r="433" spans="1:2" x14ac:dyDescent="0.2">
      <c r="A433" s="28" t="s">
        <v>117</v>
      </c>
      <c r="B433" s="34">
        <v>1</v>
      </c>
    </row>
    <row r="434" spans="1:2" x14ac:dyDescent="0.2">
      <c r="A434" s="28" t="s">
        <v>223</v>
      </c>
      <c r="B434" s="34">
        <v>0</v>
      </c>
    </row>
    <row r="435" spans="1:2" x14ac:dyDescent="0.2">
      <c r="A435" s="28" t="s">
        <v>933</v>
      </c>
      <c r="B435" s="34">
        <v>0</v>
      </c>
    </row>
    <row r="436" spans="1:2" x14ac:dyDescent="0.2">
      <c r="A436" s="28" t="s">
        <v>291</v>
      </c>
      <c r="B436" s="34">
        <v>1</v>
      </c>
    </row>
    <row r="437" spans="1:2" x14ac:dyDescent="0.2">
      <c r="A437" s="28" t="s">
        <v>34</v>
      </c>
      <c r="B437" s="34">
        <v>3</v>
      </c>
    </row>
    <row r="438" spans="1:2" x14ac:dyDescent="0.2">
      <c r="A438" s="28" t="s">
        <v>56</v>
      </c>
      <c r="B438" s="34">
        <v>1</v>
      </c>
    </row>
    <row r="439" spans="1:2" x14ac:dyDescent="0.2">
      <c r="A439" s="28" t="s">
        <v>700</v>
      </c>
      <c r="B439" s="34">
        <v>0</v>
      </c>
    </row>
    <row r="440" spans="1:2" x14ac:dyDescent="0.2">
      <c r="A440" s="28" t="s">
        <v>285</v>
      </c>
      <c r="B440" s="34">
        <v>1</v>
      </c>
    </row>
    <row r="441" spans="1:2" x14ac:dyDescent="0.2">
      <c r="A441" s="28" t="s">
        <v>41</v>
      </c>
      <c r="B441" s="34">
        <v>4</v>
      </c>
    </row>
    <row r="442" spans="1:2" x14ac:dyDescent="0.2">
      <c r="A442" s="28" t="s">
        <v>138</v>
      </c>
      <c r="B442" s="34">
        <v>2</v>
      </c>
    </row>
    <row r="443" spans="1:2" x14ac:dyDescent="0.2">
      <c r="A443" s="28" t="s">
        <v>91</v>
      </c>
      <c r="B443" s="34">
        <v>2</v>
      </c>
    </row>
    <row r="444" spans="1:2" x14ac:dyDescent="0.2">
      <c r="A444" s="28" t="s">
        <v>42</v>
      </c>
      <c r="B444" s="34">
        <v>1</v>
      </c>
    </row>
    <row r="445" spans="1:2" x14ac:dyDescent="0.2">
      <c r="A445" s="28" t="s">
        <v>117</v>
      </c>
      <c r="B445" s="34">
        <v>1</v>
      </c>
    </row>
    <row r="446" spans="1:2" x14ac:dyDescent="0.2">
      <c r="A446" s="28" t="s">
        <v>291</v>
      </c>
      <c r="B446" s="34">
        <v>0</v>
      </c>
    </row>
    <row r="447" spans="1:2" x14ac:dyDescent="0.2">
      <c r="A447" s="28" t="s">
        <v>34</v>
      </c>
      <c r="B447" s="34">
        <v>1</v>
      </c>
    </row>
    <row r="448" spans="1:2" x14ac:dyDescent="0.2">
      <c r="A448" s="28" t="s">
        <v>933</v>
      </c>
      <c r="B448" s="34">
        <v>1</v>
      </c>
    </row>
    <row r="449" spans="1:2" x14ac:dyDescent="0.2">
      <c r="A449" s="28" t="s">
        <v>223</v>
      </c>
      <c r="B449" s="34">
        <v>1</v>
      </c>
    </row>
    <row r="450" spans="1:2" x14ac:dyDescent="0.2">
      <c r="A450" s="28" t="s">
        <v>700</v>
      </c>
      <c r="B450" s="34">
        <v>2</v>
      </c>
    </row>
    <row r="451" spans="1:2" x14ac:dyDescent="0.2">
      <c r="A451" s="28" t="s">
        <v>145</v>
      </c>
      <c r="B451" s="34">
        <v>4</v>
      </c>
    </row>
    <row r="452" spans="1:2" x14ac:dyDescent="0.2">
      <c r="A452" s="28" t="s">
        <v>42</v>
      </c>
      <c r="B452" s="34">
        <v>0</v>
      </c>
    </row>
    <row r="453" spans="1:2" x14ac:dyDescent="0.2">
      <c r="A453" s="28" t="s">
        <v>285</v>
      </c>
      <c r="B453" s="34">
        <v>2</v>
      </c>
    </row>
    <row r="454" spans="1:2" x14ac:dyDescent="0.2">
      <c r="A454" s="28" t="s">
        <v>933</v>
      </c>
      <c r="B454" s="34">
        <v>0</v>
      </c>
    </row>
    <row r="455" spans="1:2" x14ac:dyDescent="0.2">
      <c r="A455" s="28" t="s">
        <v>138</v>
      </c>
      <c r="B455" s="34">
        <v>2</v>
      </c>
    </row>
    <row r="456" spans="1:2" x14ac:dyDescent="0.2">
      <c r="A456" s="28" t="s">
        <v>131</v>
      </c>
      <c r="B456" s="34">
        <v>1</v>
      </c>
    </row>
    <row r="457" spans="1:2" x14ac:dyDescent="0.2">
      <c r="A457" s="28" t="s">
        <v>223</v>
      </c>
      <c r="B457" s="34">
        <v>1</v>
      </c>
    </row>
    <row r="458" spans="1:2" x14ac:dyDescent="0.2">
      <c r="A458" s="28" t="s">
        <v>41</v>
      </c>
      <c r="B458" s="34">
        <v>0</v>
      </c>
    </row>
    <row r="459" spans="1:2" x14ac:dyDescent="0.2">
      <c r="A459" s="28" t="s">
        <v>138</v>
      </c>
      <c r="B459" s="34">
        <v>1</v>
      </c>
    </row>
    <row r="460" spans="1:2" x14ac:dyDescent="0.2">
      <c r="A460" s="28" t="s">
        <v>285</v>
      </c>
      <c r="B460" s="34">
        <v>1</v>
      </c>
    </row>
    <row r="461" spans="1:2" x14ac:dyDescent="0.2">
      <c r="A461" s="28" t="s">
        <v>223</v>
      </c>
      <c r="B461" s="34">
        <v>3</v>
      </c>
    </row>
    <row r="462" spans="1:2" x14ac:dyDescent="0.2">
      <c r="A462" s="28" t="s">
        <v>138</v>
      </c>
      <c r="B462" s="34">
        <v>1</v>
      </c>
    </row>
    <row r="463" spans="1:2" x14ac:dyDescent="0.2">
      <c r="A463" s="28" t="s">
        <v>285</v>
      </c>
      <c r="B463" s="34">
        <v>1</v>
      </c>
    </row>
    <row r="464" spans="1:2" x14ac:dyDescent="0.2">
      <c r="A464" s="28" t="s">
        <v>138</v>
      </c>
      <c r="B464" s="34">
        <v>2</v>
      </c>
    </row>
    <row r="465" spans="1:2" x14ac:dyDescent="0.2">
      <c r="A465" s="28" t="s">
        <v>285</v>
      </c>
      <c r="B465" s="34">
        <v>1</v>
      </c>
    </row>
    <row r="466" spans="1:2" x14ac:dyDescent="0.2">
      <c r="A466" s="28" t="s">
        <v>131</v>
      </c>
      <c r="B466" s="34">
        <v>2</v>
      </c>
    </row>
    <row r="467" spans="1:2" x14ac:dyDescent="0.2">
      <c r="A467" s="28" t="s">
        <v>124</v>
      </c>
      <c r="B467" s="34">
        <v>1</v>
      </c>
    </row>
    <row r="468" spans="1:2" x14ac:dyDescent="0.2">
      <c r="A468" s="28" t="s">
        <v>33</v>
      </c>
      <c r="B468" s="34">
        <v>1</v>
      </c>
    </row>
    <row r="469" spans="1:2" x14ac:dyDescent="0.2">
      <c r="A469" s="28" t="s">
        <v>138</v>
      </c>
      <c r="B469" s="34">
        <v>0</v>
      </c>
    </row>
    <row r="470" spans="1:2" x14ac:dyDescent="0.2">
      <c r="A470" s="28" t="s">
        <v>390</v>
      </c>
      <c r="B470" s="34">
        <v>1</v>
      </c>
    </row>
    <row r="471" spans="1:2" x14ac:dyDescent="0.2">
      <c r="A471" s="28" t="s">
        <v>34</v>
      </c>
      <c r="B471" s="34">
        <v>1</v>
      </c>
    </row>
    <row r="472" spans="1:2" x14ac:dyDescent="0.2">
      <c r="A472" s="28" t="s">
        <v>183</v>
      </c>
      <c r="B472" s="34">
        <v>1</v>
      </c>
    </row>
    <row r="473" spans="1:2" x14ac:dyDescent="0.2">
      <c r="A473" s="28" t="s">
        <v>700</v>
      </c>
      <c r="B473" s="34">
        <v>2</v>
      </c>
    </row>
    <row r="474" spans="1:2" x14ac:dyDescent="0.2">
      <c r="A474" s="28" t="s">
        <v>109</v>
      </c>
      <c r="B474" s="34">
        <v>2</v>
      </c>
    </row>
    <row r="475" spans="1:2" x14ac:dyDescent="0.2">
      <c r="A475" s="28" t="s">
        <v>42</v>
      </c>
      <c r="B475" s="34">
        <v>2</v>
      </c>
    </row>
    <row r="476" spans="1:2" x14ac:dyDescent="0.2">
      <c r="A476" s="28" t="s">
        <v>56</v>
      </c>
      <c r="B476" s="34">
        <v>4</v>
      </c>
    </row>
    <row r="477" spans="1:2" x14ac:dyDescent="0.2">
      <c r="A477" s="28" t="s">
        <v>1055</v>
      </c>
      <c r="B477" s="34">
        <v>3</v>
      </c>
    </row>
    <row r="478" spans="1:2" x14ac:dyDescent="0.2">
      <c r="A478" s="28" t="s">
        <v>124</v>
      </c>
      <c r="B478" s="34">
        <v>1</v>
      </c>
    </row>
    <row r="479" spans="1:2" x14ac:dyDescent="0.2">
      <c r="A479" s="28" t="s">
        <v>50</v>
      </c>
      <c r="B479" s="34">
        <v>1</v>
      </c>
    </row>
    <row r="480" spans="1:2" x14ac:dyDescent="0.2">
      <c r="A480" s="28" t="s">
        <v>33</v>
      </c>
      <c r="B480" s="34">
        <v>2</v>
      </c>
    </row>
    <row r="481" spans="1:2" x14ac:dyDescent="0.2">
      <c r="A481" s="28" t="s">
        <v>138</v>
      </c>
      <c r="B481" s="34">
        <v>1</v>
      </c>
    </row>
    <row r="482" spans="1:2" x14ac:dyDescent="0.2">
      <c r="A482" s="28" t="s">
        <v>291</v>
      </c>
      <c r="B482" s="34">
        <v>0</v>
      </c>
    </row>
    <row r="483" spans="1:2" x14ac:dyDescent="0.2">
      <c r="A483" s="28" t="s">
        <v>25</v>
      </c>
      <c r="B483" s="34">
        <v>2</v>
      </c>
    </row>
    <row r="484" spans="1:2" x14ac:dyDescent="0.2">
      <c r="A484" s="28" t="s">
        <v>117</v>
      </c>
      <c r="B484" s="34">
        <v>3</v>
      </c>
    </row>
    <row r="485" spans="1:2" x14ac:dyDescent="0.2">
      <c r="A485" s="28" t="s">
        <v>42</v>
      </c>
      <c r="B485" s="34">
        <v>3</v>
      </c>
    </row>
    <row r="486" spans="1:2" x14ac:dyDescent="0.2">
      <c r="A486" s="28" t="s">
        <v>34</v>
      </c>
      <c r="B486" s="34">
        <v>1</v>
      </c>
    </row>
    <row r="487" spans="1:2" x14ac:dyDescent="0.2">
      <c r="A487" s="28" t="s">
        <v>1037</v>
      </c>
      <c r="B487" s="34">
        <v>2</v>
      </c>
    </row>
    <row r="488" spans="1:2" x14ac:dyDescent="0.2">
      <c r="A488" s="28" t="s">
        <v>56</v>
      </c>
      <c r="B488" s="34">
        <v>2</v>
      </c>
    </row>
    <row r="489" spans="1:2" x14ac:dyDescent="0.2">
      <c r="A489" s="28" t="s">
        <v>401</v>
      </c>
      <c r="B489" s="34">
        <v>4</v>
      </c>
    </row>
    <row r="490" spans="1:2" x14ac:dyDescent="0.2">
      <c r="A490" s="28" t="s">
        <v>33</v>
      </c>
      <c r="B490" s="34">
        <v>0</v>
      </c>
    </row>
    <row r="491" spans="1:2" x14ac:dyDescent="0.2">
      <c r="A491" s="28" t="s">
        <v>108</v>
      </c>
      <c r="B491" s="34">
        <v>0</v>
      </c>
    </row>
    <row r="492" spans="1:2" x14ac:dyDescent="0.2">
      <c r="A492" s="28" t="s">
        <v>124</v>
      </c>
      <c r="B492" s="34">
        <v>3</v>
      </c>
    </row>
    <row r="493" spans="1:2" x14ac:dyDescent="0.2">
      <c r="A493" s="28" t="s">
        <v>65</v>
      </c>
      <c r="B493" s="34">
        <v>1</v>
      </c>
    </row>
    <row r="494" spans="1:2" x14ac:dyDescent="0.2">
      <c r="A494" s="28" t="s">
        <v>933</v>
      </c>
      <c r="B494" s="34">
        <v>0</v>
      </c>
    </row>
    <row r="495" spans="1:2" x14ac:dyDescent="0.2">
      <c r="A495" s="28" t="s">
        <v>42</v>
      </c>
      <c r="B495" s="34">
        <v>1</v>
      </c>
    </row>
    <row r="496" spans="1:2" x14ac:dyDescent="0.2">
      <c r="A496" s="28" t="s">
        <v>138</v>
      </c>
      <c r="B496" s="34">
        <v>1</v>
      </c>
    </row>
    <row r="497" spans="1:2" x14ac:dyDescent="0.2">
      <c r="A497" s="28" t="s">
        <v>1043</v>
      </c>
      <c r="B497" s="34">
        <v>6</v>
      </c>
    </row>
    <row r="498" spans="1:2" x14ac:dyDescent="0.2">
      <c r="A498" s="28" t="s">
        <v>513</v>
      </c>
      <c r="B498" s="34">
        <v>1</v>
      </c>
    </row>
    <row r="499" spans="1:2" x14ac:dyDescent="0.2">
      <c r="A499" s="28" t="s">
        <v>34</v>
      </c>
      <c r="B499" s="34">
        <v>0</v>
      </c>
    </row>
    <row r="500" spans="1:2" x14ac:dyDescent="0.2">
      <c r="A500" s="28" t="s">
        <v>1051</v>
      </c>
      <c r="B500" s="34">
        <v>0</v>
      </c>
    </row>
    <row r="501" spans="1:2" x14ac:dyDescent="0.2">
      <c r="A501" s="28" t="s">
        <v>56</v>
      </c>
      <c r="B501" s="34">
        <v>0</v>
      </c>
    </row>
    <row r="502" spans="1:2" x14ac:dyDescent="0.2">
      <c r="A502" s="28" t="s">
        <v>124</v>
      </c>
      <c r="B502" s="34">
        <v>3</v>
      </c>
    </row>
    <row r="503" spans="1:2" x14ac:dyDescent="0.2">
      <c r="A503" s="28" t="s">
        <v>131</v>
      </c>
      <c r="B503" s="34">
        <v>3</v>
      </c>
    </row>
    <row r="504" spans="1:2" x14ac:dyDescent="0.2">
      <c r="A504" s="28" t="s">
        <v>1037</v>
      </c>
      <c r="B504" s="34">
        <v>1</v>
      </c>
    </row>
    <row r="505" spans="1:2" x14ac:dyDescent="0.2">
      <c r="A505" s="28" t="s">
        <v>50</v>
      </c>
      <c r="B505" s="34">
        <v>3</v>
      </c>
    </row>
    <row r="506" spans="1:2" x14ac:dyDescent="0.2">
      <c r="A506" s="28" t="s">
        <v>109</v>
      </c>
      <c r="B506" s="34">
        <v>2</v>
      </c>
    </row>
    <row r="507" spans="1:2" x14ac:dyDescent="0.2">
      <c r="A507" s="28" t="s">
        <v>42</v>
      </c>
      <c r="B507" s="34">
        <v>1</v>
      </c>
    </row>
    <row r="508" spans="1:2" x14ac:dyDescent="0.2">
      <c r="A508" s="28" t="s">
        <v>1055</v>
      </c>
      <c r="B508" s="34">
        <v>1</v>
      </c>
    </row>
    <row r="509" spans="1:2" x14ac:dyDescent="0.2">
      <c r="A509" s="28" t="s">
        <v>25</v>
      </c>
      <c r="B509" s="34">
        <v>1</v>
      </c>
    </row>
    <row r="510" spans="1:2" x14ac:dyDescent="0.2">
      <c r="A510" s="28" t="s">
        <v>138</v>
      </c>
      <c r="B510" s="34">
        <v>2</v>
      </c>
    </row>
    <row r="511" spans="1:2" x14ac:dyDescent="0.2">
      <c r="A511" s="28" t="s">
        <v>109</v>
      </c>
      <c r="B511" s="34">
        <v>2</v>
      </c>
    </row>
    <row r="512" spans="1:2" x14ac:dyDescent="0.2">
      <c r="A512" s="28" t="s">
        <v>401</v>
      </c>
      <c r="B512" s="34">
        <v>2</v>
      </c>
    </row>
    <row r="513" spans="1:2" x14ac:dyDescent="0.2">
      <c r="A513" s="28" t="s">
        <v>50</v>
      </c>
      <c r="B513" s="34">
        <v>2</v>
      </c>
    </row>
    <row r="514" spans="1:2" x14ac:dyDescent="0.2">
      <c r="A514" s="28" t="s">
        <v>401</v>
      </c>
      <c r="B514" s="34">
        <v>1</v>
      </c>
    </row>
    <row r="515" spans="1:2" x14ac:dyDescent="0.2">
      <c r="A515" s="28" t="s">
        <v>117</v>
      </c>
      <c r="B515" s="34">
        <v>0</v>
      </c>
    </row>
    <row r="516" spans="1:2" x14ac:dyDescent="0.2">
      <c r="A516" s="28" t="s">
        <v>117</v>
      </c>
      <c r="B516" s="34">
        <v>4</v>
      </c>
    </row>
    <row r="517" spans="1:2" x14ac:dyDescent="0.2">
      <c r="A517" s="28" t="s">
        <v>42</v>
      </c>
      <c r="B517" s="34">
        <v>0</v>
      </c>
    </row>
    <row r="518" spans="1:2" x14ac:dyDescent="0.2">
      <c r="A518" s="28" t="s">
        <v>42</v>
      </c>
      <c r="B518" s="34">
        <v>2</v>
      </c>
    </row>
    <row r="519" spans="1:2" x14ac:dyDescent="0.2">
      <c r="A519" s="28" t="s">
        <v>513</v>
      </c>
      <c r="B519" s="34">
        <v>2</v>
      </c>
    </row>
    <row r="520" spans="1:2" x14ac:dyDescent="0.2">
      <c r="A520" s="28" t="s">
        <v>138</v>
      </c>
      <c r="B520" s="34">
        <v>2</v>
      </c>
    </row>
    <row r="521" spans="1:2" x14ac:dyDescent="0.2">
      <c r="A521" s="28" t="s">
        <v>700</v>
      </c>
      <c r="B521" s="34">
        <v>1</v>
      </c>
    </row>
    <row r="522" spans="1:2" x14ac:dyDescent="0.2">
      <c r="A522" s="28" t="s">
        <v>68</v>
      </c>
      <c r="B522" s="34">
        <v>0</v>
      </c>
    </row>
    <row r="523" spans="1:2" x14ac:dyDescent="0.2">
      <c r="A523" s="28" t="s">
        <v>1037</v>
      </c>
      <c r="B523" s="34">
        <v>0</v>
      </c>
    </row>
    <row r="524" spans="1:2" x14ac:dyDescent="0.2">
      <c r="A524" s="28" t="s">
        <v>24</v>
      </c>
      <c r="B524" s="34">
        <v>3</v>
      </c>
    </row>
    <row r="525" spans="1:2" x14ac:dyDescent="0.2">
      <c r="A525" s="28" t="s">
        <v>131</v>
      </c>
      <c r="B525" s="34">
        <v>2</v>
      </c>
    </row>
    <row r="526" spans="1:2" x14ac:dyDescent="0.2">
      <c r="A526" s="28" t="s">
        <v>291</v>
      </c>
      <c r="B526" s="34">
        <v>1</v>
      </c>
    </row>
    <row r="527" spans="1:2" x14ac:dyDescent="0.2">
      <c r="A527" s="28" t="s">
        <v>109</v>
      </c>
      <c r="B527" s="34">
        <v>0</v>
      </c>
    </row>
    <row r="528" spans="1:2" x14ac:dyDescent="0.2">
      <c r="A528" s="28" t="s">
        <v>56</v>
      </c>
      <c r="B528" s="34">
        <v>1</v>
      </c>
    </row>
    <row r="529" spans="1:2" x14ac:dyDescent="0.2">
      <c r="A529" s="28" t="s">
        <v>41</v>
      </c>
      <c r="B529" s="34">
        <v>1</v>
      </c>
    </row>
    <row r="530" spans="1:2" x14ac:dyDescent="0.2">
      <c r="A530" s="28" t="s">
        <v>1171</v>
      </c>
      <c r="B530" s="34">
        <v>1</v>
      </c>
    </row>
    <row r="531" spans="1:2" x14ac:dyDescent="0.2">
      <c r="A531" s="28" t="s">
        <v>223</v>
      </c>
      <c r="B531" s="34">
        <v>2</v>
      </c>
    </row>
    <row r="532" spans="1:2" x14ac:dyDescent="0.2">
      <c r="A532" s="28" t="s">
        <v>50</v>
      </c>
      <c r="B532" s="34">
        <v>1</v>
      </c>
    </row>
    <row r="533" spans="1:2" x14ac:dyDescent="0.2">
      <c r="A533" s="28" t="s">
        <v>124</v>
      </c>
      <c r="B533" s="34">
        <v>2</v>
      </c>
    </row>
    <row r="534" spans="1:2" x14ac:dyDescent="0.2">
      <c r="A534" s="28" t="s">
        <v>272</v>
      </c>
      <c r="B534" s="34">
        <v>1</v>
      </c>
    </row>
    <row r="535" spans="1:2" x14ac:dyDescent="0.2">
      <c r="A535" s="28" t="s">
        <v>42</v>
      </c>
      <c r="B535" s="34">
        <v>3</v>
      </c>
    </row>
    <row r="536" spans="1:2" x14ac:dyDescent="0.2">
      <c r="A536" s="28" t="s">
        <v>61</v>
      </c>
      <c r="B536" s="34">
        <v>1</v>
      </c>
    </row>
    <row r="537" spans="1:2" x14ac:dyDescent="0.2">
      <c r="A537" s="28" t="s">
        <v>138</v>
      </c>
      <c r="B537" s="34">
        <v>3</v>
      </c>
    </row>
    <row r="538" spans="1:2" x14ac:dyDescent="0.2">
      <c r="A538" s="28" t="s">
        <v>1138</v>
      </c>
      <c r="B538" s="34">
        <v>1</v>
      </c>
    </row>
    <row r="539" spans="1:2" x14ac:dyDescent="0.2">
      <c r="A539" s="28" t="s">
        <v>24</v>
      </c>
      <c r="B539" s="34">
        <v>4</v>
      </c>
    </row>
    <row r="540" spans="1:2" x14ac:dyDescent="0.2">
      <c r="A540" s="28" t="s">
        <v>1055</v>
      </c>
      <c r="B540" s="34">
        <v>1</v>
      </c>
    </row>
    <row r="541" spans="1:2" x14ac:dyDescent="0.2">
      <c r="A541" s="28" t="s">
        <v>131</v>
      </c>
      <c r="B541" s="34">
        <v>0</v>
      </c>
    </row>
    <row r="542" spans="1:2" x14ac:dyDescent="0.2">
      <c r="A542" s="28" t="s">
        <v>1161</v>
      </c>
      <c r="B542" s="34">
        <v>0</v>
      </c>
    </row>
    <row r="543" spans="1:2" x14ac:dyDescent="0.2">
      <c r="A543" s="28" t="s">
        <v>34</v>
      </c>
      <c r="B543" s="34">
        <v>2</v>
      </c>
    </row>
    <row r="544" spans="1:2" x14ac:dyDescent="0.2">
      <c r="A544" s="28" t="s">
        <v>109</v>
      </c>
      <c r="B544" s="34">
        <v>5</v>
      </c>
    </row>
    <row r="545" spans="1:2" x14ac:dyDescent="0.2">
      <c r="A545" s="28" t="s">
        <v>124</v>
      </c>
      <c r="B545" s="34">
        <v>2</v>
      </c>
    </row>
    <row r="546" spans="1:2" x14ac:dyDescent="0.2">
      <c r="A546" s="28" t="s">
        <v>56</v>
      </c>
      <c r="B546" s="34">
        <v>5</v>
      </c>
    </row>
    <row r="547" spans="1:2" x14ac:dyDescent="0.2">
      <c r="A547" s="28" t="s">
        <v>33</v>
      </c>
      <c r="B547" s="34">
        <v>1</v>
      </c>
    </row>
    <row r="548" spans="1:2" x14ac:dyDescent="0.2">
      <c r="A548" s="28" t="s">
        <v>390</v>
      </c>
      <c r="B548" s="34">
        <v>1</v>
      </c>
    </row>
    <row r="549" spans="1:2" x14ac:dyDescent="0.2">
      <c r="A549" s="28" t="s">
        <v>50</v>
      </c>
      <c r="B549" s="34">
        <v>2</v>
      </c>
    </row>
    <row r="550" spans="1:2" x14ac:dyDescent="0.2">
      <c r="A550" s="28" t="s">
        <v>138</v>
      </c>
      <c r="B550" s="34">
        <v>2</v>
      </c>
    </row>
    <row r="551" spans="1:2" x14ac:dyDescent="0.2">
      <c r="A551" s="28" t="s">
        <v>61</v>
      </c>
      <c r="B551" s="34">
        <v>1</v>
      </c>
    </row>
    <row r="552" spans="1:2" x14ac:dyDescent="0.2">
      <c r="A552" s="28" t="s">
        <v>272</v>
      </c>
      <c r="B552" s="34">
        <v>0</v>
      </c>
    </row>
    <row r="553" spans="1:2" x14ac:dyDescent="0.2">
      <c r="A553" s="28" t="s">
        <v>42</v>
      </c>
      <c r="B553" s="34">
        <v>1</v>
      </c>
    </row>
    <row r="554" spans="1:2" x14ac:dyDescent="0.2">
      <c r="A554" s="28" t="s">
        <v>24</v>
      </c>
      <c r="B554" s="34">
        <v>2</v>
      </c>
    </row>
    <row r="555" spans="1:2" x14ac:dyDescent="0.2">
      <c r="A555" s="28" t="s">
        <v>1138</v>
      </c>
      <c r="B555" s="34">
        <v>2</v>
      </c>
    </row>
    <row r="556" spans="1:2" x14ac:dyDescent="0.2">
      <c r="A556" s="28" t="s">
        <v>131</v>
      </c>
      <c r="B556" s="34">
        <v>6</v>
      </c>
    </row>
    <row r="557" spans="1:2" x14ac:dyDescent="0.2">
      <c r="A557" s="28" t="s">
        <v>1055</v>
      </c>
      <c r="B557" s="34">
        <v>1</v>
      </c>
    </row>
    <row r="558" spans="1:2" x14ac:dyDescent="0.2">
      <c r="A558" s="28" t="s">
        <v>34</v>
      </c>
      <c r="B558" s="34">
        <v>1</v>
      </c>
    </row>
    <row r="559" spans="1:2" x14ac:dyDescent="0.2">
      <c r="A559" s="28" t="s">
        <v>109</v>
      </c>
      <c r="B559" s="34">
        <v>2</v>
      </c>
    </row>
    <row r="560" spans="1:2" x14ac:dyDescent="0.2">
      <c r="A560" s="28" t="s">
        <v>124</v>
      </c>
      <c r="B560" s="34">
        <v>2</v>
      </c>
    </row>
    <row r="561" spans="1:2" x14ac:dyDescent="0.2">
      <c r="A561" s="28" t="s">
        <v>33</v>
      </c>
      <c r="B561" s="34">
        <v>0</v>
      </c>
    </row>
    <row r="562" spans="1:2" x14ac:dyDescent="0.2">
      <c r="A562" s="28" t="s">
        <v>1161</v>
      </c>
      <c r="B562" s="34">
        <v>1</v>
      </c>
    </row>
    <row r="563" spans="1:2" x14ac:dyDescent="0.2">
      <c r="A563" s="28" t="s">
        <v>56</v>
      </c>
      <c r="B563" s="34">
        <v>1</v>
      </c>
    </row>
    <row r="564" spans="1:2" x14ac:dyDescent="0.2">
      <c r="A564" s="28" t="s">
        <v>50</v>
      </c>
      <c r="B564" s="34">
        <v>1</v>
      </c>
    </row>
    <row r="565" spans="1:2" x14ac:dyDescent="0.2">
      <c r="A565" s="28" t="s">
        <v>390</v>
      </c>
      <c r="B565" s="34">
        <v>0</v>
      </c>
    </row>
    <row r="566" spans="1:2" x14ac:dyDescent="0.2">
      <c r="A566" s="28" t="s">
        <v>138</v>
      </c>
      <c r="B566" s="34">
        <v>1</v>
      </c>
    </row>
    <row r="567" spans="1:2" x14ac:dyDescent="0.2">
      <c r="A567" s="28" t="s">
        <v>42</v>
      </c>
      <c r="B567" s="34">
        <v>4</v>
      </c>
    </row>
    <row r="568" spans="1:2" x14ac:dyDescent="0.2">
      <c r="A568" s="28" t="s">
        <v>24</v>
      </c>
      <c r="B568" s="34">
        <v>1</v>
      </c>
    </row>
    <row r="569" spans="1:2" x14ac:dyDescent="0.2">
      <c r="A569" s="28" t="s">
        <v>1055</v>
      </c>
      <c r="B569" s="34">
        <v>1</v>
      </c>
    </row>
    <row r="570" spans="1:2" x14ac:dyDescent="0.2">
      <c r="A570" s="28" t="s">
        <v>124</v>
      </c>
      <c r="B570" s="34">
        <v>2</v>
      </c>
    </row>
    <row r="571" spans="1:2" x14ac:dyDescent="0.2">
      <c r="A571" s="28" t="s">
        <v>109</v>
      </c>
      <c r="B571" s="34">
        <v>2</v>
      </c>
    </row>
    <row r="572" spans="1:2" x14ac:dyDescent="0.2">
      <c r="A572" s="28" t="s">
        <v>50</v>
      </c>
      <c r="B572" s="34">
        <v>0</v>
      </c>
    </row>
    <row r="573" spans="1:2" x14ac:dyDescent="0.2">
      <c r="A573" s="28" t="s">
        <v>56</v>
      </c>
      <c r="B573" s="34">
        <v>2</v>
      </c>
    </row>
    <row r="574" spans="1:2" x14ac:dyDescent="0.2">
      <c r="A574" s="28" t="s">
        <v>138</v>
      </c>
      <c r="B574" s="34">
        <v>0</v>
      </c>
    </row>
    <row r="575" spans="1:2" x14ac:dyDescent="0.2">
      <c r="A575" s="28" t="s">
        <v>42</v>
      </c>
      <c r="B575" s="34">
        <v>3</v>
      </c>
    </row>
    <row r="576" spans="1:2" x14ac:dyDescent="0.2">
      <c r="A576" s="28" t="s">
        <v>109</v>
      </c>
      <c r="B576" s="34">
        <v>2</v>
      </c>
    </row>
    <row r="577" spans="1:2" x14ac:dyDescent="0.2">
      <c r="A577" s="28" t="s">
        <v>124</v>
      </c>
      <c r="B577" s="34">
        <v>0</v>
      </c>
    </row>
    <row r="578" spans="1:2" x14ac:dyDescent="0.2">
      <c r="A578" s="28" t="s">
        <v>42</v>
      </c>
      <c r="B578" s="34">
        <v>1</v>
      </c>
    </row>
    <row r="579" spans="1:2" x14ac:dyDescent="0.2">
      <c r="A579" s="28" t="s">
        <v>24</v>
      </c>
      <c r="B579" s="34">
        <v>2</v>
      </c>
    </row>
    <row r="580" spans="1:2" x14ac:dyDescent="0.2">
      <c r="A580" s="28" t="s">
        <v>109</v>
      </c>
      <c r="B580" s="34">
        <v>1</v>
      </c>
    </row>
    <row r="581" spans="1:2" x14ac:dyDescent="0.2">
      <c r="A581" s="28" t="s">
        <v>42</v>
      </c>
      <c r="B581" s="34">
        <v>0</v>
      </c>
    </row>
    <row r="582" spans="1:2" x14ac:dyDescent="0.2">
      <c r="A582" s="28" t="s">
        <v>24</v>
      </c>
      <c r="B582" s="34">
        <v>0</v>
      </c>
    </row>
    <row r="583" spans="1:2" x14ac:dyDescent="0.2">
      <c r="A583" s="28" t="s">
        <v>72</v>
      </c>
      <c r="B583" s="34">
        <v>1</v>
      </c>
    </row>
    <row r="584" spans="1:2" x14ac:dyDescent="0.2">
      <c r="A584" s="28" t="s">
        <v>933</v>
      </c>
      <c r="B584" s="34">
        <v>1</v>
      </c>
    </row>
    <row r="585" spans="1:2" x14ac:dyDescent="0.2">
      <c r="A585" s="28" t="s">
        <v>124</v>
      </c>
      <c r="B585" s="34">
        <v>8</v>
      </c>
    </row>
    <row r="586" spans="1:2" x14ac:dyDescent="0.2">
      <c r="A586" s="28" t="s">
        <v>56</v>
      </c>
      <c r="B586" s="34">
        <v>1</v>
      </c>
    </row>
    <row r="587" spans="1:2" x14ac:dyDescent="0.2">
      <c r="A587" s="28" t="s">
        <v>68</v>
      </c>
      <c r="B587" s="34">
        <v>2</v>
      </c>
    </row>
    <row r="588" spans="1:2" x14ac:dyDescent="0.2">
      <c r="A588" s="28" t="s">
        <v>223</v>
      </c>
      <c r="B588" s="34">
        <v>1</v>
      </c>
    </row>
    <row r="589" spans="1:2" x14ac:dyDescent="0.2">
      <c r="A589" s="28" t="s">
        <v>131</v>
      </c>
      <c r="B589" s="34">
        <v>3</v>
      </c>
    </row>
    <row r="590" spans="1:2" x14ac:dyDescent="0.2">
      <c r="A590" s="28" t="s">
        <v>42</v>
      </c>
      <c r="B590" s="34">
        <v>2</v>
      </c>
    </row>
    <row r="591" spans="1:2" x14ac:dyDescent="0.2">
      <c r="A591" s="28" t="s">
        <v>138</v>
      </c>
      <c r="B591" s="34">
        <v>2</v>
      </c>
    </row>
    <row r="592" spans="1:2" x14ac:dyDescent="0.2">
      <c r="A592" s="28" t="s">
        <v>1172</v>
      </c>
      <c r="B592" s="34">
        <v>0</v>
      </c>
    </row>
    <row r="593" spans="1:2" x14ac:dyDescent="0.2">
      <c r="A593" s="28" t="s">
        <v>1313</v>
      </c>
      <c r="B593" s="34">
        <v>0</v>
      </c>
    </row>
    <row r="594" spans="1:2" x14ac:dyDescent="0.2">
      <c r="A594" s="28" t="s">
        <v>1161</v>
      </c>
      <c r="B594" s="34">
        <v>2</v>
      </c>
    </row>
    <row r="595" spans="1:2" x14ac:dyDescent="0.2">
      <c r="A595" s="28" t="s">
        <v>291</v>
      </c>
      <c r="B595" s="34">
        <v>2</v>
      </c>
    </row>
    <row r="596" spans="1:2" x14ac:dyDescent="0.2">
      <c r="A596" s="28" t="s">
        <v>1043</v>
      </c>
      <c r="B596" s="34">
        <v>2</v>
      </c>
    </row>
    <row r="597" spans="1:2" x14ac:dyDescent="0.2">
      <c r="A597" s="28" t="s">
        <v>33</v>
      </c>
      <c r="B597" s="34">
        <v>3</v>
      </c>
    </row>
    <row r="598" spans="1:2" x14ac:dyDescent="0.2">
      <c r="A598" s="28" t="s">
        <v>124</v>
      </c>
      <c r="B598" s="34">
        <v>1</v>
      </c>
    </row>
    <row r="599" spans="1:2" x14ac:dyDescent="0.2">
      <c r="A599" s="28" t="s">
        <v>849</v>
      </c>
      <c r="B599" s="34">
        <v>1</v>
      </c>
    </row>
    <row r="600" spans="1:2" x14ac:dyDescent="0.2">
      <c r="A600" s="28" t="s">
        <v>700</v>
      </c>
      <c r="B600" s="34">
        <v>1</v>
      </c>
    </row>
    <row r="601" spans="1:2" x14ac:dyDescent="0.2">
      <c r="A601" s="28" t="s">
        <v>24</v>
      </c>
      <c r="B601" s="34">
        <v>0</v>
      </c>
    </row>
    <row r="602" spans="1:2" x14ac:dyDescent="0.2">
      <c r="A602" s="28" t="s">
        <v>117</v>
      </c>
      <c r="B602" s="34">
        <v>2</v>
      </c>
    </row>
    <row r="603" spans="1:2" x14ac:dyDescent="0.2">
      <c r="A603" s="28" t="s">
        <v>56</v>
      </c>
      <c r="B603" s="34">
        <v>0</v>
      </c>
    </row>
    <row r="604" spans="1:2" x14ac:dyDescent="0.2">
      <c r="A604" s="28" t="s">
        <v>131</v>
      </c>
      <c r="B604" s="34">
        <v>3</v>
      </c>
    </row>
    <row r="605" spans="1:2" x14ac:dyDescent="0.2">
      <c r="A605" s="28" t="s">
        <v>1138</v>
      </c>
      <c r="B605" s="34">
        <v>1</v>
      </c>
    </row>
    <row r="606" spans="1:2" x14ac:dyDescent="0.2">
      <c r="A606" s="28" t="s">
        <v>42</v>
      </c>
      <c r="B606" s="34">
        <v>4</v>
      </c>
    </row>
    <row r="607" spans="1:2" x14ac:dyDescent="0.2">
      <c r="A607" s="28" t="s">
        <v>138</v>
      </c>
      <c r="B607" s="34">
        <v>1</v>
      </c>
    </row>
    <row r="608" spans="1:2" x14ac:dyDescent="0.2">
      <c r="A608" s="28" t="s">
        <v>925</v>
      </c>
      <c r="B608" s="34">
        <v>1</v>
      </c>
    </row>
    <row r="609" spans="1:2" x14ac:dyDescent="0.2">
      <c r="A609" s="28" t="s">
        <v>1161</v>
      </c>
      <c r="B609" s="34">
        <v>1</v>
      </c>
    </row>
    <row r="610" spans="1:2" x14ac:dyDescent="0.2">
      <c r="A610" s="28" t="s">
        <v>25</v>
      </c>
      <c r="B610" s="34">
        <v>2</v>
      </c>
    </row>
    <row r="611" spans="1:2" x14ac:dyDescent="0.2">
      <c r="A611" s="28" t="s">
        <v>291</v>
      </c>
      <c r="B611" s="34">
        <v>1</v>
      </c>
    </row>
    <row r="612" spans="1:2" x14ac:dyDescent="0.2">
      <c r="A612" s="28" t="s">
        <v>458</v>
      </c>
      <c r="B612" s="34">
        <v>4</v>
      </c>
    </row>
    <row r="613" spans="1:2" x14ac:dyDescent="0.2">
      <c r="A613" s="28" t="s">
        <v>628</v>
      </c>
      <c r="B613" s="34">
        <v>1</v>
      </c>
    </row>
    <row r="614" spans="1:2" x14ac:dyDescent="0.2">
      <c r="A614" s="28" t="s">
        <v>849</v>
      </c>
      <c r="B614" s="34">
        <v>2</v>
      </c>
    </row>
    <row r="615" spans="1:2" x14ac:dyDescent="0.2">
      <c r="A615" s="28" t="s">
        <v>1252</v>
      </c>
      <c r="B615" s="34">
        <v>3</v>
      </c>
    </row>
    <row r="616" spans="1:2" x14ac:dyDescent="0.2">
      <c r="A616" s="28" t="s">
        <v>1037</v>
      </c>
      <c r="B616" s="34">
        <v>0</v>
      </c>
    </row>
    <row r="617" spans="1:2" x14ac:dyDescent="0.2">
      <c r="A617" s="28" t="s">
        <v>700</v>
      </c>
      <c r="B617" s="34">
        <v>0</v>
      </c>
    </row>
    <row r="618" spans="1:2" x14ac:dyDescent="0.2">
      <c r="A618" s="28" t="s">
        <v>117</v>
      </c>
      <c r="B618" s="34">
        <v>1</v>
      </c>
    </row>
    <row r="619" spans="1:2" x14ac:dyDescent="0.2">
      <c r="A619" s="28" t="s">
        <v>1055</v>
      </c>
      <c r="B619" s="34">
        <v>0</v>
      </c>
    </row>
    <row r="620" spans="1:2" x14ac:dyDescent="0.2">
      <c r="A620" s="28" t="s">
        <v>1293</v>
      </c>
      <c r="B620" s="34">
        <v>1</v>
      </c>
    </row>
    <row r="621" spans="1:2" x14ac:dyDescent="0.2">
      <c r="A621" s="28" t="s">
        <v>1138</v>
      </c>
      <c r="B621" s="34">
        <v>2</v>
      </c>
    </row>
    <row r="622" spans="1:2" x14ac:dyDescent="0.2">
      <c r="A622" s="28" t="s">
        <v>925</v>
      </c>
      <c r="B622" s="34">
        <v>2</v>
      </c>
    </row>
    <row r="623" spans="1:2" x14ac:dyDescent="0.2">
      <c r="A623" s="28" t="s">
        <v>286</v>
      </c>
      <c r="B623" s="34">
        <v>3</v>
      </c>
    </row>
    <row r="624" spans="1:2" x14ac:dyDescent="0.2">
      <c r="A624" s="28" t="s">
        <v>1303</v>
      </c>
      <c r="B624" s="34">
        <v>1</v>
      </c>
    </row>
    <row r="625" spans="1:2" x14ac:dyDescent="0.2">
      <c r="A625" s="28" t="s">
        <v>25</v>
      </c>
      <c r="B625" s="34">
        <v>1</v>
      </c>
    </row>
    <row r="626" spans="1:2" x14ac:dyDescent="0.2">
      <c r="A626" s="28" t="s">
        <v>628</v>
      </c>
      <c r="B626" s="34">
        <v>0</v>
      </c>
    </row>
    <row r="627" spans="1:2" x14ac:dyDescent="0.2">
      <c r="A627" s="28" t="s">
        <v>458</v>
      </c>
      <c r="B627" s="34">
        <v>0</v>
      </c>
    </row>
    <row r="628" spans="1:2" x14ac:dyDescent="0.2">
      <c r="A628" s="28" t="s">
        <v>190</v>
      </c>
      <c r="B628" s="34">
        <v>3</v>
      </c>
    </row>
    <row r="629" spans="1:2" x14ac:dyDescent="0.2">
      <c r="A629" s="28" t="s">
        <v>34</v>
      </c>
      <c r="B629" s="34">
        <v>3</v>
      </c>
    </row>
    <row r="630" spans="1:2" x14ac:dyDescent="0.2">
      <c r="A630" s="28" t="s">
        <v>849</v>
      </c>
      <c r="B630" s="34">
        <v>0</v>
      </c>
    </row>
    <row r="631" spans="1:2" x14ac:dyDescent="0.2">
      <c r="A631" s="28" t="s">
        <v>124</v>
      </c>
      <c r="B631" s="34">
        <v>1</v>
      </c>
    </row>
    <row r="632" spans="1:2" x14ac:dyDescent="0.2">
      <c r="A632" s="28" t="s">
        <v>131</v>
      </c>
      <c r="B632" s="34">
        <v>1</v>
      </c>
    </row>
    <row r="633" spans="1:2" x14ac:dyDescent="0.2">
      <c r="A633" s="28" t="s">
        <v>117</v>
      </c>
      <c r="B633" s="34">
        <v>1</v>
      </c>
    </row>
    <row r="634" spans="1:2" x14ac:dyDescent="0.2">
      <c r="A634" s="28" t="s">
        <v>42</v>
      </c>
      <c r="B634" s="34">
        <v>2</v>
      </c>
    </row>
    <row r="635" spans="1:2" x14ac:dyDescent="0.2">
      <c r="A635" s="28" t="s">
        <v>25</v>
      </c>
      <c r="B635" s="34">
        <v>0</v>
      </c>
    </row>
    <row r="636" spans="1:2" x14ac:dyDescent="0.2">
      <c r="A636" s="28" t="s">
        <v>1161</v>
      </c>
      <c r="B636" s="34">
        <v>0</v>
      </c>
    </row>
    <row r="637" spans="1:2" x14ac:dyDescent="0.2">
      <c r="A637" s="28" t="s">
        <v>291</v>
      </c>
      <c r="B637" s="34">
        <v>2</v>
      </c>
    </row>
    <row r="638" spans="1:2" x14ac:dyDescent="0.2">
      <c r="A638" s="28" t="s">
        <v>223</v>
      </c>
      <c r="B638" s="34">
        <v>1</v>
      </c>
    </row>
    <row r="639" spans="1:2" x14ac:dyDescent="0.2">
      <c r="A639" s="28" t="s">
        <v>124</v>
      </c>
      <c r="B639" s="34">
        <v>1</v>
      </c>
    </row>
    <row r="640" spans="1:2" x14ac:dyDescent="0.2">
      <c r="A640" s="28" t="s">
        <v>1252</v>
      </c>
      <c r="B640" s="34">
        <v>0</v>
      </c>
    </row>
    <row r="641" spans="1:2" x14ac:dyDescent="0.2">
      <c r="A641" s="28" t="s">
        <v>131</v>
      </c>
      <c r="B641" s="34">
        <v>0</v>
      </c>
    </row>
    <row r="642" spans="1:2" x14ac:dyDescent="0.2">
      <c r="A642" s="28" t="s">
        <v>124</v>
      </c>
      <c r="B642" s="34">
        <v>1</v>
      </c>
    </row>
    <row r="643" spans="1:2" x14ac:dyDescent="0.2">
      <c r="A643" s="28" t="s">
        <v>42</v>
      </c>
      <c r="B643" s="34">
        <v>1</v>
      </c>
    </row>
    <row r="644" spans="1:2" x14ac:dyDescent="0.2">
      <c r="A644" s="28" t="s">
        <v>291</v>
      </c>
      <c r="B644" s="34">
        <v>2</v>
      </c>
    </row>
    <row r="645" spans="1:2" x14ac:dyDescent="0.2">
      <c r="A645" s="28" t="s">
        <v>124</v>
      </c>
      <c r="B645" s="34">
        <v>0</v>
      </c>
    </row>
    <row r="646" spans="1:2" x14ac:dyDescent="0.2">
      <c r="A646" s="28" t="s">
        <v>124</v>
      </c>
      <c r="B646" s="34">
        <v>4</v>
      </c>
    </row>
    <row r="647" spans="1:2" x14ac:dyDescent="0.2">
      <c r="A647" s="28" t="s">
        <v>190</v>
      </c>
      <c r="B647" s="34">
        <v>0</v>
      </c>
    </row>
    <row r="648" spans="1:2" x14ac:dyDescent="0.2">
      <c r="A648" s="28" t="s">
        <v>223</v>
      </c>
      <c r="B648" s="34">
        <v>1</v>
      </c>
    </row>
    <row r="649" spans="1:2" x14ac:dyDescent="0.2">
      <c r="A649" s="28" t="s">
        <v>1437</v>
      </c>
      <c r="B649" s="34">
        <v>0</v>
      </c>
    </row>
    <row r="650" spans="1:2" x14ac:dyDescent="0.2">
      <c r="A650" s="28" t="s">
        <v>56</v>
      </c>
      <c r="B650" s="34">
        <v>2</v>
      </c>
    </row>
    <row r="651" spans="1:2" x14ac:dyDescent="0.2">
      <c r="A651" s="28" t="s">
        <v>1452</v>
      </c>
      <c r="B651" s="34">
        <v>0</v>
      </c>
    </row>
    <row r="652" spans="1:2" x14ac:dyDescent="0.2">
      <c r="A652" s="28" t="s">
        <v>25</v>
      </c>
      <c r="B652" s="34">
        <v>3</v>
      </c>
    </row>
    <row r="653" spans="1:2" x14ac:dyDescent="0.2">
      <c r="A653" s="28" t="s">
        <v>1465</v>
      </c>
      <c r="B653" s="34">
        <v>0</v>
      </c>
    </row>
    <row r="654" spans="1:2" x14ac:dyDescent="0.2">
      <c r="A654" s="28" t="s">
        <v>556</v>
      </c>
      <c r="B654" s="34">
        <v>3</v>
      </c>
    </row>
    <row r="655" spans="1:2" x14ac:dyDescent="0.2">
      <c r="A655" s="28" t="s">
        <v>33</v>
      </c>
      <c r="B655" s="34">
        <v>0</v>
      </c>
    </row>
    <row r="656" spans="1:2" x14ac:dyDescent="0.2">
      <c r="A656" s="28" t="s">
        <v>138</v>
      </c>
      <c r="B656" s="34">
        <v>2</v>
      </c>
    </row>
    <row r="657" spans="1:2" x14ac:dyDescent="0.2">
      <c r="A657" s="28" t="s">
        <v>291</v>
      </c>
      <c r="B657" s="34">
        <v>2</v>
      </c>
    </row>
    <row r="658" spans="1:2" x14ac:dyDescent="0.2">
      <c r="A658" s="28" t="s">
        <v>24</v>
      </c>
      <c r="B658" s="34">
        <v>0</v>
      </c>
    </row>
    <row r="659" spans="1:2" x14ac:dyDescent="0.2">
      <c r="A659" s="28" t="s">
        <v>42</v>
      </c>
      <c r="B659" s="34">
        <v>1</v>
      </c>
    </row>
    <row r="660" spans="1:2" x14ac:dyDescent="0.2">
      <c r="A660" s="28" t="s">
        <v>131</v>
      </c>
      <c r="B660" s="34">
        <v>4</v>
      </c>
    </row>
    <row r="661" spans="1:2" x14ac:dyDescent="0.2">
      <c r="A661" s="28" t="s">
        <v>628</v>
      </c>
      <c r="B661" s="34">
        <v>2</v>
      </c>
    </row>
    <row r="662" spans="1:2" x14ac:dyDescent="0.2">
      <c r="A662" s="28" t="s">
        <v>124</v>
      </c>
      <c r="B662" s="34">
        <v>1</v>
      </c>
    </row>
    <row r="663" spans="1:2" x14ac:dyDescent="0.2">
      <c r="A663" s="28" t="s">
        <v>1303</v>
      </c>
      <c r="B663" s="34">
        <v>3</v>
      </c>
    </row>
    <row r="664" spans="1:2" x14ac:dyDescent="0.2">
      <c r="A664" s="28" t="s">
        <v>223</v>
      </c>
      <c r="B664" s="34">
        <v>2</v>
      </c>
    </row>
    <row r="665" spans="1:2" x14ac:dyDescent="0.2">
      <c r="A665" s="28" t="s">
        <v>117</v>
      </c>
      <c r="B665" s="34">
        <v>1</v>
      </c>
    </row>
    <row r="666" spans="1:2" x14ac:dyDescent="0.2">
      <c r="A666" s="28" t="s">
        <v>56</v>
      </c>
      <c r="B666" s="34">
        <v>6</v>
      </c>
    </row>
    <row r="667" spans="1:2" x14ac:dyDescent="0.2">
      <c r="A667" s="28" t="s">
        <v>109</v>
      </c>
      <c r="B667" s="34">
        <v>2</v>
      </c>
    </row>
    <row r="668" spans="1:2" x14ac:dyDescent="0.2">
      <c r="A668" s="28" t="s">
        <v>25</v>
      </c>
      <c r="B668" s="34">
        <v>0</v>
      </c>
    </row>
    <row r="669" spans="1:2" x14ac:dyDescent="0.2">
      <c r="A669" s="28" t="s">
        <v>458</v>
      </c>
      <c r="B669" s="34">
        <v>2</v>
      </c>
    </row>
    <row r="670" spans="1:2" x14ac:dyDescent="0.2">
      <c r="A670" s="28" t="s">
        <v>1476</v>
      </c>
      <c r="B670" s="34">
        <v>0</v>
      </c>
    </row>
    <row r="671" spans="1:2" x14ac:dyDescent="0.2">
      <c r="A671" s="28" t="s">
        <v>138</v>
      </c>
      <c r="B671" s="34">
        <v>1</v>
      </c>
    </row>
    <row r="672" spans="1:2" x14ac:dyDescent="0.2">
      <c r="A672" s="28" t="s">
        <v>1161</v>
      </c>
      <c r="B672" s="34">
        <v>0</v>
      </c>
    </row>
    <row r="673" spans="1:2" x14ac:dyDescent="0.2">
      <c r="A673" s="28" t="s">
        <v>42</v>
      </c>
      <c r="B673" s="34">
        <v>2</v>
      </c>
    </row>
    <row r="674" spans="1:2" x14ac:dyDescent="0.2">
      <c r="A674" s="28" t="s">
        <v>24</v>
      </c>
      <c r="B674" s="34">
        <v>1</v>
      </c>
    </row>
    <row r="675" spans="1:2" x14ac:dyDescent="0.2">
      <c r="A675" s="28" t="s">
        <v>1488</v>
      </c>
      <c r="B675" s="34">
        <v>0</v>
      </c>
    </row>
    <row r="676" spans="1:2" x14ac:dyDescent="0.2">
      <c r="A676" s="28" t="s">
        <v>1037</v>
      </c>
      <c r="B676" s="34">
        <v>0</v>
      </c>
    </row>
    <row r="677" spans="1:2" x14ac:dyDescent="0.2">
      <c r="A677" s="28" t="s">
        <v>131</v>
      </c>
      <c r="B677" s="34">
        <v>3</v>
      </c>
    </row>
    <row r="678" spans="1:2" x14ac:dyDescent="0.2">
      <c r="A678" s="28" t="s">
        <v>1303</v>
      </c>
      <c r="B678" s="34">
        <v>0</v>
      </c>
    </row>
    <row r="679" spans="1:2" x14ac:dyDescent="0.2">
      <c r="A679" s="28" t="s">
        <v>925</v>
      </c>
      <c r="B679" s="34">
        <v>1</v>
      </c>
    </row>
    <row r="680" spans="1:2" x14ac:dyDescent="0.2">
      <c r="A680" s="28" t="s">
        <v>117</v>
      </c>
      <c r="B680" s="34">
        <v>2</v>
      </c>
    </row>
    <row r="681" spans="1:2" x14ac:dyDescent="0.2">
      <c r="A681" s="28" t="s">
        <v>68</v>
      </c>
      <c r="B681" s="34">
        <v>2</v>
      </c>
    </row>
    <row r="682" spans="1:2" x14ac:dyDescent="0.2">
      <c r="A682" s="28" t="s">
        <v>669</v>
      </c>
      <c r="B682" s="34">
        <v>1</v>
      </c>
    </row>
    <row r="683" spans="1:2" x14ac:dyDescent="0.2">
      <c r="A683" s="28" t="s">
        <v>458</v>
      </c>
      <c r="B683" s="34">
        <v>2</v>
      </c>
    </row>
    <row r="684" spans="1:2" x14ac:dyDescent="0.2">
      <c r="A684" s="28" t="s">
        <v>109</v>
      </c>
      <c r="B684" s="34">
        <v>0</v>
      </c>
    </row>
    <row r="685" spans="1:2" x14ac:dyDescent="0.2">
      <c r="A685" s="28" t="s">
        <v>1444</v>
      </c>
      <c r="B685" s="34">
        <v>3</v>
      </c>
    </row>
    <row r="686" spans="1:2" x14ac:dyDescent="0.2">
      <c r="A686" s="28" t="s">
        <v>1476</v>
      </c>
      <c r="B686" s="34">
        <v>0</v>
      </c>
    </row>
    <row r="687" spans="1:2" x14ac:dyDescent="0.2">
      <c r="A687" s="28" t="s">
        <v>1483</v>
      </c>
      <c r="B687" s="34">
        <v>2</v>
      </c>
    </row>
    <row r="688" spans="1:2" x14ac:dyDescent="0.2">
      <c r="A688" s="28" t="s">
        <v>1161</v>
      </c>
      <c r="B688" s="34">
        <v>1</v>
      </c>
    </row>
    <row r="689" spans="1:2" x14ac:dyDescent="0.2">
      <c r="A689" s="28" t="s">
        <v>1172</v>
      </c>
      <c r="B689" s="34">
        <v>2</v>
      </c>
    </row>
    <row r="690" spans="1:2" x14ac:dyDescent="0.2">
      <c r="A690" s="28" t="s">
        <v>1500</v>
      </c>
      <c r="B690" s="34">
        <v>1</v>
      </c>
    </row>
    <row r="691" spans="1:2" x14ac:dyDescent="0.2">
      <c r="A691" s="28" t="s">
        <v>1037</v>
      </c>
      <c r="B691" s="34">
        <v>0</v>
      </c>
    </row>
    <row r="692" spans="1:2" x14ac:dyDescent="0.2">
      <c r="A692" s="28" t="s">
        <v>1488</v>
      </c>
      <c r="B692" s="34">
        <v>0</v>
      </c>
    </row>
    <row r="693" spans="1:2" x14ac:dyDescent="0.2">
      <c r="A693" s="28" t="s">
        <v>108</v>
      </c>
      <c r="B693" s="34">
        <v>2</v>
      </c>
    </row>
    <row r="694" spans="1:2" x14ac:dyDescent="0.2">
      <c r="A694" s="28" t="s">
        <v>124</v>
      </c>
      <c r="B694" s="34">
        <v>2</v>
      </c>
    </row>
    <row r="695" spans="1:2" x14ac:dyDescent="0.2">
      <c r="A695" s="28" t="s">
        <v>56</v>
      </c>
      <c r="B695" s="34">
        <v>2</v>
      </c>
    </row>
    <row r="696" spans="1:2" x14ac:dyDescent="0.2">
      <c r="A696" s="28" t="s">
        <v>223</v>
      </c>
      <c r="B696" s="34">
        <v>1</v>
      </c>
    </row>
    <row r="697" spans="1:2" x14ac:dyDescent="0.2">
      <c r="A697" s="28" t="s">
        <v>458</v>
      </c>
      <c r="B697" s="34">
        <v>1</v>
      </c>
    </row>
    <row r="698" spans="1:2" x14ac:dyDescent="0.2">
      <c r="A698" s="28" t="s">
        <v>138</v>
      </c>
      <c r="B698" s="34">
        <v>1</v>
      </c>
    </row>
    <row r="699" spans="1:2" x14ac:dyDescent="0.2">
      <c r="A699" s="28" t="s">
        <v>108</v>
      </c>
      <c r="B699" s="34">
        <v>0</v>
      </c>
    </row>
    <row r="700" spans="1:2" x14ac:dyDescent="0.2">
      <c r="A700" s="28" t="s">
        <v>42</v>
      </c>
      <c r="B700" s="34">
        <v>3</v>
      </c>
    </row>
    <row r="701" spans="1:2" x14ac:dyDescent="0.2">
      <c r="A701" s="28" t="s">
        <v>131</v>
      </c>
      <c r="B701" s="34">
        <v>1</v>
      </c>
    </row>
    <row r="702" spans="1:2" x14ac:dyDescent="0.2">
      <c r="A702" s="28" t="s">
        <v>124</v>
      </c>
      <c r="B702" s="34">
        <v>1</v>
      </c>
    </row>
    <row r="703" spans="1:2" x14ac:dyDescent="0.2">
      <c r="A703" s="28" t="s">
        <v>138</v>
      </c>
      <c r="B703" s="34">
        <v>3</v>
      </c>
    </row>
    <row r="704" spans="1:2" x14ac:dyDescent="0.2">
      <c r="A704" s="28" t="s">
        <v>223</v>
      </c>
      <c r="B704" s="34">
        <v>0</v>
      </c>
    </row>
    <row r="705" spans="1:2" x14ac:dyDescent="0.2">
      <c r="A705" s="28" t="s">
        <v>42</v>
      </c>
      <c r="B705" s="34">
        <v>0</v>
      </c>
    </row>
    <row r="706" spans="1:2" x14ac:dyDescent="0.2">
      <c r="A706" s="28" t="s">
        <v>124</v>
      </c>
      <c r="B706" s="34">
        <v>0</v>
      </c>
    </row>
    <row r="707" spans="1:2" x14ac:dyDescent="0.2">
      <c r="A707" s="28" t="s">
        <v>458</v>
      </c>
      <c r="B707" s="34">
        <v>0</v>
      </c>
    </row>
    <row r="708" spans="1:2" x14ac:dyDescent="0.2">
      <c r="A708" s="28" t="s">
        <v>124</v>
      </c>
      <c r="B708" s="34">
        <v>3</v>
      </c>
    </row>
    <row r="709" spans="1:2" x14ac:dyDescent="0.2">
      <c r="A709" s="28" t="s">
        <v>138</v>
      </c>
      <c r="B709" s="34">
        <v>1</v>
      </c>
    </row>
    <row r="710" spans="1:2" x14ac:dyDescent="0.2">
      <c r="A710" s="28" t="s">
        <v>1138</v>
      </c>
      <c r="B710" s="34">
        <v>1</v>
      </c>
    </row>
    <row r="711" spans="1:2" x14ac:dyDescent="0.2">
      <c r="A711" s="28" t="s">
        <v>72</v>
      </c>
      <c r="B711" s="34">
        <v>0</v>
      </c>
    </row>
    <row r="712" spans="1:2" x14ac:dyDescent="0.2">
      <c r="A712" s="28" t="s">
        <v>291</v>
      </c>
      <c r="B712" s="34">
        <v>2</v>
      </c>
    </row>
    <row r="713" spans="1:2" x14ac:dyDescent="0.2">
      <c r="A713" s="28" t="s">
        <v>56</v>
      </c>
      <c r="B713" s="34">
        <v>1</v>
      </c>
    </row>
    <row r="714" spans="1:2" x14ac:dyDescent="0.2">
      <c r="A714" s="28" t="s">
        <v>223</v>
      </c>
      <c r="B714" s="34">
        <v>1</v>
      </c>
    </row>
    <row r="715" spans="1:2" x14ac:dyDescent="0.2">
      <c r="A715" s="28" t="s">
        <v>718</v>
      </c>
      <c r="B715" s="34">
        <v>0</v>
      </c>
    </row>
    <row r="716" spans="1:2" x14ac:dyDescent="0.2">
      <c r="A716" s="28" t="s">
        <v>1598</v>
      </c>
      <c r="B716" s="34">
        <v>0</v>
      </c>
    </row>
    <row r="717" spans="1:2" x14ac:dyDescent="0.2">
      <c r="A717" s="28" t="s">
        <v>124</v>
      </c>
      <c r="B717" s="34">
        <v>4</v>
      </c>
    </row>
    <row r="718" spans="1:2" x14ac:dyDescent="0.2">
      <c r="A718" s="28" t="s">
        <v>109</v>
      </c>
      <c r="B718" s="34">
        <v>2</v>
      </c>
    </row>
    <row r="719" spans="1:2" x14ac:dyDescent="0.2">
      <c r="A719" s="28" t="s">
        <v>1161</v>
      </c>
      <c r="B719" s="34">
        <v>1</v>
      </c>
    </row>
    <row r="720" spans="1:2" x14ac:dyDescent="0.2">
      <c r="A720" s="28" t="s">
        <v>138</v>
      </c>
      <c r="B720" s="34">
        <v>1</v>
      </c>
    </row>
    <row r="721" spans="1:2" x14ac:dyDescent="0.2">
      <c r="A721" s="28" t="s">
        <v>710</v>
      </c>
      <c r="B721" s="34">
        <v>1</v>
      </c>
    </row>
    <row r="722" spans="1:2" x14ac:dyDescent="0.2">
      <c r="A722" s="28" t="s">
        <v>1444</v>
      </c>
      <c r="B722" s="34">
        <v>0</v>
      </c>
    </row>
    <row r="723" spans="1:2" x14ac:dyDescent="0.2">
      <c r="A723" s="28" t="s">
        <v>42</v>
      </c>
      <c r="B723" s="34">
        <v>2</v>
      </c>
    </row>
    <row r="724" spans="1:2" x14ac:dyDescent="0.2">
      <c r="A724" s="28" t="s">
        <v>730</v>
      </c>
      <c r="B724" s="34">
        <v>0</v>
      </c>
    </row>
    <row r="725" spans="1:2" x14ac:dyDescent="0.2">
      <c r="A725" s="28" t="s">
        <v>131</v>
      </c>
      <c r="B725" s="34">
        <v>0</v>
      </c>
    </row>
    <row r="726" spans="1:2" x14ac:dyDescent="0.2">
      <c r="A726" s="28" t="s">
        <v>1138</v>
      </c>
      <c r="B726" s="34">
        <v>0</v>
      </c>
    </row>
    <row r="727" spans="1:2" x14ac:dyDescent="0.2">
      <c r="A727" s="28" t="s">
        <v>56</v>
      </c>
      <c r="B727" s="34">
        <v>4</v>
      </c>
    </row>
    <row r="728" spans="1:2" x14ac:dyDescent="0.2">
      <c r="A728" s="28" t="s">
        <v>1051</v>
      </c>
      <c r="B728" s="34">
        <v>2</v>
      </c>
    </row>
    <row r="729" spans="1:2" x14ac:dyDescent="0.2">
      <c r="A729" s="28" t="s">
        <v>24</v>
      </c>
      <c r="B729" s="34">
        <v>0</v>
      </c>
    </row>
    <row r="730" spans="1:2" x14ac:dyDescent="0.2">
      <c r="A730" s="28" t="s">
        <v>124</v>
      </c>
      <c r="B730" s="34">
        <v>0</v>
      </c>
    </row>
    <row r="731" spans="1:2" x14ac:dyDescent="0.2">
      <c r="A731" s="28" t="s">
        <v>1293</v>
      </c>
      <c r="B731" s="34">
        <v>2</v>
      </c>
    </row>
    <row r="732" spans="1:2" x14ac:dyDescent="0.2">
      <c r="A732" s="28" t="s">
        <v>223</v>
      </c>
      <c r="B732" s="34">
        <v>0</v>
      </c>
    </row>
    <row r="733" spans="1:2" x14ac:dyDescent="0.2">
      <c r="A733" s="28" t="s">
        <v>109</v>
      </c>
      <c r="B733" s="34">
        <v>1</v>
      </c>
    </row>
    <row r="734" spans="1:2" x14ac:dyDescent="0.2">
      <c r="A734" s="28" t="s">
        <v>1483</v>
      </c>
      <c r="B734" s="34">
        <v>1</v>
      </c>
    </row>
    <row r="735" spans="1:2" x14ac:dyDescent="0.2">
      <c r="A735" s="28" t="s">
        <v>700</v>
      </c>
      <c r="B735" s="34">
        <v>1</v>
      </c>
    </row>
    <row r="736" spans="1:2" x14ac:dyDescent="0.2">
      <c r="A736" s="28" t="s">
        <v>1620</v>
      </c>
      <c r="B736" s="34">
        <v>0</v>
      </c>
    </row>
    <row r="737" spans="1:2" x14ac:dyDescent="0.2">
      <c r="A737" s="28" t="s">
        <v>138</v>
      </c>
      <c r="B737" s="34">
        <v>1</v>
      </c>
    </row>
    <row r="738" spans="1:2" x14ac:dyDescent="0.2">
      <c r="A738" s="28" t="s">
        <v>42</v>
      </c>
      <c r="B738" s="34">
        <v>3</v>
      </c>
    </row>
    <row r="739" spans="1:2" x14ac:dyDescent="0.2">
      <c r="A739" s="28" t="s">
        <v>458</v>
      </c>
      <c r="B739" s="34">
        <v>7</v>
      </c>
    </row>
    <row r="740" spans="1:2" x14ac:dyDescent="0.2">
      <c r="A740" s="28" t="s">
        <v>61</v>
      </c>
      <c r="B740" s="34">
        <v>1</v>
      </c>
    </row>
    <row r="741" spans="1:2" x14ac:dyDescent="0.2">
      <c r="A741" s="28" t="s">
        <v>131</v>
      </c>
      <c r="B741" s="34">
        <v>2</v>
      </c>
    </row>
    <row r="742" spans="1:2" x14ac:dyDescent="0.2">
      <c r="A742" s="28" t="s">
        <v>25</v>
      </c>
      <c r="B742" s="34">
        <v>0</v>
      </c>
    </row>
    <row r="743" spans="1:2" x14ac:dyDescent="0.2">
      <c r="A743" s="28" t="s">
        <v>24</v>
      </c>
      <c r="B743" s="34">
        <v>1</v>
      </c>
    </row>
    <row r="744" spans="1:2" x14ac:dyDescent="0.2">
      <c r="A744" s="28" t="s">
        <v>1055</v>
      </c>
      <c r="B744" s="34">
        <v>2</v>
      </c>
    </row>
    <row r="745" spans="1:2" x14ac:dyDescent="0.2">
      <c r="A745" s="28" t="s">
        <v>1051</v>
      </c>
      <c r="B745" s="34">
        <v>0</v>
      </c>
    </row>
    <row r="746" spans="1:2" x14ac:dyDescent="0.2">
      <c r="A746" s="28" t="s">
        <v>1293</v>
      </c>
      <c r="B746" s="34">
        <v>0</v>
      </c>
    </row>
    <row r="747" spans="1:2" x14ac:dyDescent="0.2">
      <c r="A747" s="28" t="s">
        <v>33</v>
      </c>
      <c r="B747" s="34">
        <v>1</v>
      </c>
    </row>
    <row r="748" spans="1:2" x14ac:dyDescent="0.2">
      <c r="A748" s="28" t="s">
        <v>1483</v>
      </c>
      <c r="B748" s="34">
        <v>0</v>
      </c>
    </row>
    <row r="749" spans="1:2" x14ac:dyDescent="0.2">
      <c r="A749" s="28" t="s">
        <v>556</v>
      </c>
      <c r="B749" s="34">
        <v>2</v>
      </c>
    </row>
    <row r="750" spans="1:2" x14ac:dyDescent="0.2">
      <c r="A750" s="28" t="s">
        <v>1620</v>
      </c>
      <c r="B750" s="34">
        <v>3</v>
      </c>
    </row>
    <row r="751" spans="1:2" x14ac:dyDescent="0.2">
      <c r="A751" s="28" t="s">
        <v>68</v>
      </c>
      <c r="B751" s="34">
        <v>0</v>
      </c>
    </row>
    <row r="752" spans="1:2" x14ac:dyDescent="0.2">
      <c r="A752" s="28" t="s">
        <v>849</v>
      </c>
      <c r="B752" s="34">
        <v>1</v>
      </c>
    </row>
    <row r="753" spans="1:2" x14ac:dyDescent="0.2">
      <c r="A753" s="28" t="s">
        <v>700</v>
      </c>
      <c r="B753" s="34">
        <v>1</v>
      </c>
    </row>
    <row r="754" spans="1:2" x14ac:dyDescent="0.2">
      <c r="A754" s="28" t="s">
        <v>458</v>
      </c>
      <c r="B754" s="34">
        <v>0</v>
      </c>
    </row>
    <row r="755" spans="1:2" x14ac:dyDescent="0.2">
      <c r="A755" s="28" t="s">
        <v>451</v>
      </c>
      <c r="B755" s="34">
        <v>0</v>
      </c>
    </row>
    <row r="756" spans="1:2" x14ac:dyDescent="0.2">
      <c r="A756" s="28" t="s">
        <v>61</v>
      </c>
      <c r="B756" s="34">
        <v>1</v>
      </c>
    </row>
    <row r="757" spans="1:2" x14ac:dyDescent="0.2">
      <c r="A757" s="28" t="s">
        <v>108</v>
      </c>
      <c r="B757" s="34">
        <v>0</v>
      </c>
    </row>
    <row r="758" spans="1:2" x14ac:dyDescent="0.2">
      <c r="A758" s="28" t="s">
        <v>72</v>
      </c>
      <c r="B758" s="34">
        <v>2</v>
      </c>
    </row>
    <row r="759" spans="1:2" x14ac:dyDescent="0.2">
      <c r="A759" s="28" t="s">
        <v>33</v>
      </c>
      <c r="B759" s="34">
        <v>1</v>
      </c>
    </row>
    <row r="760" spans="1:2" x14ac:dyDescent="0.2">
      <c r="A760" s="28" t="s">
        <v>124</v>
      </c>
      <c r="B760" s="34">
        <v>4</v>
      </c>
    </row>
    <row r="761" spans="1:2" x14ac:dyDescent="0.2">
      <c r="A761" s="28" t="s">
        <v>56</v>
      </c>
      <c r="B761" s="34">
        <v>3</v>
      </c>
    </row>
    <row r="762" spans="1:2" x14ac:dyDescent="0.2">
      <c r="A762" s="28" t="s">
        <v>109</v>
      </c>
      <c r="B762" s="34">
        <v>2</v>
      </c>
    </row>
    <row r="763" spans="1:2" x14ac:dyDescent="0.2">
      <c r="A763" s="28" t="s">
        <v>42</v>
      </c>
      <c r="B763" s="34">
        <v>3</v>
      </c>
    </row>
    <row r="764" spans="1:2" x14ac:dyDescent="0.2">
      <c r="A764" s="28" t="s">
        <v>68</v>
      </c>
      <c r="B764" s="34">
        <v>0</v>
      </c>
    </row>
    <row r="765" spans="1:2" x14ac:dyDescent="0.2">
      <c r="A765" s="28" t="s">
        <v>131</v>
      </c>
      <c r="B765" s="34">
        <v>1</v>
      </c>
    </row>
    <row r="766" spans="1:2" x14ac:dyDescent="0.2">
      <c r="A766" s="28" t="s">
        <v>109</v>
      </c>
      <c r="B766" s="34">
        <v>2</v>
      </c>
    </row>
    <row r="767" spans="1:2" x14ac:dyDescent="0.2">
      <c r="A767" s="28" t="s">
        <v>72</v>
      </c>
      <c r="B767" s="34">
        <v>1</v>
      </c>
    </row>
    <row r="768" spans="1:2" x14ac:dyDescent="0.2">
      <c r="A768" s="28" t="s">
        <v>56</v>
      </c>
      <c r="B768" s="34">
        <v>0</v>
      </c>
    </row>
    <row r="769" spans="1:2" x14ac:dyDescent="0.2">
      <c r="A769" s="28" t="s">
        <v>68</v>
      </c>
      <c r="B769" s="34">
        <v>0</v>
      </c>
    </row>
    <row r="770" spans="1:2" x14ac:dyDescent="0.2">
      <c r="A770" s="28" t="s">
        <v>72</v>
      </c>
      <c r="B770" s="34">
        <v>2</v>
      </c>
    </row>
    <row r="771" spans="1:2" x14ac:dyDescent="0.2">
      <c r="A771" s="28" t="s">
        <v>124</v>
      </c>
      <c r="B771" s="34">
        <v>0</v>
      </c>
    </row>
    <row r="772" spans="1:2" x14ac:dyDescent="0.2">
      <c r="A772" s="28" t="s">
        <v>72</v>
      </c>
      <c r="B772" s="34">
        <v>2</v>
      </c>
    </row>
    <row r="773" spans="1:2" x14ac:dyDescent="0.2">
      <c r="A773" s="28" t="s">
        <v>109</v>
      </c>
      <c r="B773" s="34">
        <v>0</v>
      </c>
    </row>
    <row r="774" spans="1:2" x14ac:dyDescent="0.2">
      <c r="A774" s="28" t="s">
        <v>42</v>
      </c>
      <c r="B774" s="34">
        <v>3</v>
      </c>
    </row>
    <row r="775" spans="1:2" x14ac:dyDescent="0.2">
      <c r="A775" s="28" t="s">
        <v>25</v>
      </c>
      <c r="B775" s="34">
        <v>1</v>
      </c>
    </row>
    <row r="776" spans="1:2" x14ac:dyDescent="0.2">
      <c r="A776" s="28" t="s">
        <v>131</v>
      </c>
      <c r="B776" s="34">
        <v>1</v>
      </c>
    </row>
    <row r="777" spans="1:2" x14ac:dyDescent="0.2">
      <c r="A777" s="28" t="s">
        <v>61</v>
      </c>
      <c r="B777" s="34">
        <v>3</v>
      </c>
    </row>
    <row r="778" spans="1:2" x14ac:dyDescent="0.2">
      <c r="A778" s="28" t="s">
        <v>390</v>
      </c>
      <c r="B778" s="34">
        <v>3</v>
      </c>
    </row>
    <row r="779" spans="1:2" x14ac:dyDescent="0.2">
      <c r="A779" s="28" t="s">
        <v>72</v>
      </c>
      <c r="B779" s="34">
        <v>1</v>
      </c>
    </row>
    <row r="780" spans="1:2" x14ac:dyDescent="0.2">
      <c r="A780" s="28" t="s">
        <v>223</v>
      </c>
      <c r="B780" s="34">
        <v>1</v>
      </c>
    </row>
    <row r="781" spans="1:2" x14ac:dyDescent="0.2">
      <c r="A781" s="28" t="s">
        <v>1444</v>
      </c>
      <c r="B781" s="34">
        <v>2</v>
      </c>
    </row>
    <row r="782" spans="1:2" x14ac:dyDescent="0.2">
      <c r="A782" s="28" t="s">
        <v>108</v>
      </c>
      <c r="B782" s="34">
        <v>2</v>
      </c>
    </row>
    <row r="783" spans="1:2" x14ac:dyDescent="0.2">
      <c r="A783" s="28" t="s">
        <v>24</v>
      </c>
      <c r="B783" s="34">
        <v>3</v>
      </c>
    </row>
    <row r="784" spans="1:2" x14ac:dyDescent="0.2">
      <c r="A784" s="28" t="s">
        <v>56</v>
      </c>
      <c r="B784" s="34">
        <v>2</v>
      </c>
    </row>
    <row r="785" spans="1:2" x14ac:dyDescent="0.2">
      <c r="A785" s="28" t="s">
        <v>124</v>
      </c>
      <c r="B785" s="34">
        <v>4</v>
      </c>
    </row>
    <row r="786" spans="1:2" x14ac:dyDescent="0.2">
      <c r="A786" s="28" t="s">
        <v>648</v>
      </c>
      <c r="B786" s="34">
        <v>0</v>
      </c>
    </row>
    <row r="787" spans="1:2" x14ac:dyDescent="0.2">
      <c r="A787" s="28" t="s">
        <v>1483</v>
      </c>
      <c r="B787" s="34">
        <v>1</v>
      </c>
    </row>
    <row r="788" spans="1:2" x14ac:dyDescent="0.2">
      <c r="A788" s="28" t="s">
        <v>34</v>
      </c>
      <c r="B788" s="34">
        <v>2</v>
      </c>
    </row>
    <row r="789" spans="1:2" x14ac:dyDescent="0.2">
      <c r="A789" s="28" t="s">
        <v>42</v>
      </c>
      <c r="B789" s="34">
        <v>0</v>
      </c>
    </row>
    <row r="790" spans="1:2" x14ac:dyDescent="0.2">
      <c r="A790" s="28" t="s">
        <v>1043</v>
      </c>
      <c r="B790" s="34">
        <v>1</v>
      </c>
    </row>
    <row r="791" spans="1:2" x14ac:dyDescent="0.2">
      <c r="A791" s="28" t="s">
        <v>556</v>
      </c>
      <c r="B791" s="34">
        <v>2</v>
      </c>
    </row>
    <row r="792" spans="1:2" x14ac:dyDescent="0.2">
      <c r="A792" s="28" t="s">
        <v>131</v>
      </c>
      <c r="B792" s="34">
        <v>0</v>
      </c>
    </row>
    <row r="793" spans="1:2" x14ac:dyDescent="0.2">
      <c r="A793" s="28" t="s">
        <v>700</v>
      </c>
      <c r="B793" s="34">
        <v>0</v>
      </c>
    </row>
    <row r="794" spans="1:2" x14ac:dyDescent="0.2">
      <c r="A794" s="28" t="s">
        <v>390</v>
      </c>
      <c r="B794" s="34">
        <v>2</v>
      </c>
    </row>
    <row r="795" spans="1:2" x14ac:dyDescent="0.2">
      <c r="A795" s="28" t="s">
        <v>72</v>
      </c>
      <c r="B795" s="34">
        <v>2</v>
      </c>
    </row>
    <row r="796" spans="1:2" x14ac:dyDescent="0.2">
      <c r="A796" s="28" t="s">
        <v>1161</v>
      </c>
      <c r="B796" s="34">
        <v>0</v>
      </c>
    </row>
    <row r="797" spans="1:2" x14ac:dyDescent="0.2">
      <c r="A797" s="28" t="s">
        <v>138</v>
      </c>
      <c r="B797" s="34">
        <v>0</v>
      </c>
    </row>
    <row r="798" spans="1:2" x14ac:dyDescent="0.2">
      <c r="A798" s="28" t="s">
        <v>108</v>
      </c>
      <c r="B798" s="34">
        <v>2</v>
      </c>
    </row>
    <row r="799" spans="1:2" x14ac:dyDescent="0.2">
      <c r="A799" s="28" t="s">
        <v>730</v>
      </c>
      <c r="B799" s="34">
        <v>1</v>
      </c>
    </row>
    <row r="800" spans="1:2" x14ac:dyDescent="0.2">
      <c r="A800" s="28" t="s">
        <v>56</v>
      </c>
      <c r="B800" s="34">
        <v>1</v>
      </c>
    </row>
    <row r="801" spans="1:2" x14ac:dyDescent="0.2">
      <c r="A801" s="28" t="s">
        <v>124</v>
      </c>
      <c r="B801" s="34">
        <v>2</v>
      </c>
    </row>
    <row r="802" spans="1:2" x14ac:dyDescent="0.2">
      <c r="A802" s="28" t="s">
        <v>1055</v>
      </c>
      <c r="B802" s="34">
        <v>1</v>
      </c>
    </row>
    <row r="803" spans="1:2" x14ac:dyDescent="0.2">
      <c r="A803" s="28" t="s">
        <v>34</v>
      </c>
      <c r="B803" s="34">
        <v>1</v>
      </c>
    </row>
    <row r="804" spans="1:2" x14ac:dyDescent="0.2">
      <c r="A804" s="28" t="s">
        <v>291</v>
      </c>
      <c r="B804" s="34">
        <v>2</v>
      </c>
    </row>
    <row r="805" spans="1:2" x14ac:dyDescent="0.2">
      <c r="A805" s="28" t="s">
        <v>33</v>
      </c>
      <c r="B805" s="34">
        <v>2</v>
      </c>
    </row>
    <row r="806" spans="1:2" x14ac:dyDescent="0.2">
      <c r="A806" s="28" t="s">
        <v>556</v>
      </c>
      <c r="B806" s="34">
        <v>0</v>
      </c>
    </row>
    <row r="807" spans="1:2" x14ac:dyDescent="0.2">
      <c r="A807" s="28" t="s">
        <v>109</v>
      </c>
      <c r="B807" s="34">
        <v>2</v>
      </c>
    </row>
    <row r="808" spans="1:2" x14ac:dyDescent="0.2">
      <c r="A808" s="28" t="s">
        <v>700</v>
      </c>
      <c r="B808" s="34">
        <v>1</v>
      </c>
    </row>
    <row r="809" spans="1:2" x14ac:dyDescent="0.2">
      <c r="A809" s="28" t="s">
        <v>1172</v>
      </c>
      <c r="B809" s="34">
        <v>1</v>
      </c>
    </row>
    <row r="810" spans="1:2" x14ac:dyDescent="0.2">
      <c r="A810" s="28" t="s">
        <v>138</v>
      </c>
      <c r="B810" s="34">
        <v>0</v>
      </c>
    </row>
    <row r="811" spans="1:2" x14ac:dyDescent="0.2">
      <c r="A811" s="28" t="s">
        <v>925</v>
      </c>
      <c r="B811" s="34">
        <v>0</v>
      </c>
    </row>
    <row r="812" spans="1:2" x14ac:dyDescent="0.2">
      <c r="A812" s="28" t="s">
        <v>1161</v>
      </c>
      <c r="B812" s="34">
        <v>1</v>
      </c>
    </row>
    <row r="813" spans="1:2" x14ac:dyDescent="0.2">
      <c r="A813" s="28" t="s">
        <v>1051</v>
      </c>
      <c r="B813" s="34">
        <v>2</v>
      </c>
    </row>
    <row r="814" spans="1:2" x14ac:dyDescent="0.2">
      <c r="A814" s="28" t="s">
        <v>1055</v>
      </c>
      <c r="B814" s="34">
        <v>2</v>
      </c>
    </row>
    <row r="815" spans="1:2" x14ac:dyDescent="0.2">
      <c r="A815" s="28" t="s">
        <v>1753</v>
      </c>
      <c r="B815" s="34">
        <v>3</v>
      </c>
    </row>
    <row r="816" spans="1:2" x14ac:dyDescent="0.2">
      <c r="A816" s="28" t="s">
        <v>730</v>
      </c>
      <c r="B816" s="34">
        <v>0</v>
      </c>
    </row>
    <row r="817" spans="1:2" x14ac:dyDescent="0.2">
      <c r="A817" s="28" t="s">
        <v>1303</v>
      </c>
      <c r="B817" s="34">
        <v>0</v>
      </c>
    </row>
    <row r="818" spans="1:2" x14ac:dyDescent="0.2">
      <c r="A818" s="28" t="s">
        <v>33</v>
      </c>
      <c r="B818" s="34">
        <v>0</v>
      </c>
    </row>
    <row r="819" spans="1:2" x14ac:dyDescent="0.2">
      <c r="A819" s="28" t="s">
        <v>458</v>
      </c>
      <c r="B819" s="34">
        <v>2</v>
      </c>
    </row>
    <row r="820" spans="1:2" x14ac:dyDescent="0.2">
      <c r="A820" s="28" t="s">
        <v>291</v>
      </c>
      <c r="B820" s="34">
        <v>0</v>
      </c>
    </row>
    <row r="821" spans="1:2" x14ac:dyDescent="0.2">
      <c r="A821" s="28" t="s">
        <v>718</v>
      </c>
      <c r="B821" s="34">
        <v>1</v>
      </c>
    </row>
    <row r="822" spans="1:2" x14ac:dyDescent="0.2">
      <c r="A822" s="28" t="s">
        <v>42</v>
      </c>
      <c r="B822" s="34">
        <v>1</v>
      </c>
    </row>
    <row r="823" spans="1:2" x14ac:dyDescent="0.2">
      <c r="A823" s="28" t="s">
        <v>390</v>
      </c>
      <c r="B823" s="34">
        <v>2</v>
      </c>
    </row>
    <row r="824" spans="1:2" x14ac:dyDescent="0.2">
      <c r="A824" s="28" t="s">
        <v>24</v>
      </c>
      <c r="B824" s="34">
        <v>2</v>
      </c>
    </row>
    <row r="825" spans="1:2" x14ac:dyDescent="0.2">
      <c r="A825" s="28" t="s">
        <v>124</v>
      </c>
      <c r="B825" s="34">
        <v>2</v>
      </c>
    </row>
    <row r="826" spans="1:2" x14ac:dyDescent="0.2">
      <c r="A826" s="28" t="s">
        <v>42</v>
      </c>
      <c r="B826" s="34">
        <v>2</v>
      </c>
    </row>
    <row r="827" spans="1:2" x14ac:dyDescent="0.2">
      <c r="A827" s="28" t="s">
        <v>24</v>
      </c>
      <c r="B827" s="34">
        <v>0</v>
      </c>
    </row>
    <row r="828" spans="1:2" x14ac:dyDescent="0.2">
      <c r="A828" s="28" t="s">
        <v>42</v>
      </c>
      <c r="B828" s="34">
        <v>1</v>
      </c>
    </row>
    <row r="829" spans="1:2" x14ac:dyDescent="0.2">
      <c r="A829" s="28" t="s">
        <v>42</v>
      </c>
      <c r="B829" s="34">
        <v>0</v>
      </c>
    </row>
    <row r="830" spans="1:2" x14ac:dyDescent="0.2">
      <c r="A830" s="28" t="s">
        <v>124</v>
      </c>
      <c r="B830" s="34">
        <v>1</v>
      </c>
    </row>
    <row r="831" spans="1:2" x14ac:dyDescent="0.2">
      <c r="A831" s="28" t="s">
        <v>109</v>
      </c>
      <c r="B831" s="34">
        <v>0</v>
      </c>
    </row>
    <row r="832" spans="1:2" x14ac:dyDescent="0.2">
      <c r="A832" s="28" t="s">
        <v>109</v>
      </c>
      <c r="B832" s="34">
        <v>0</v>
      </c>
    </row>
    <row r="833" spans="1:2" x14ac:dyDescent="0.2">
      <c r="A833" s="28" t="s">
        <v>56</v>
      </c>
      <c r="B833" s="34">
        <v>1</v>
      </c>
    </row>
    <row r="834" spans="1:2" x14ac:dyDescent="0.2">
      <c r="A834" s="28" t="s">
        <v>109</v>
      </c>
      <c r="B834" s="34">
        <v>2</v>
      </c>
    </row>
    <row r="835" spans="1:2" x14ac:dyDescent="0.2">
      <c r="A835" s="28" t="s">
        <v>925</v>
      </c>
      <c r="B835" s="34">
        <v>1</v>
      </c>
    </row>
    <row r="836" spans="1:2" x14ac:dyDescent="0.2">
      <c r="A836" s="28" t="s">
        <v>56</v>
      </c>
      <c r="B836" s="34">
        <v>1</v>
      </c>
    </row>
    <row r="837" spans="1:2" x14ac:dyDescent="0.2">
      <c r="A837" s="28" t="s">
        <v>34</v>
      </c>
      <c r="B837" s="34">
        <v>2</v>
      </c>
    </row>
    <row r="838" spans="1:2" x14ac:dyDescent="0.2">
      <c r="A838" s="28" t="s">
        <v>42</v>
      </c>
      <c r="B838" s="34">
        <v>1</v>
      </c>
    </row>
    <row r="839" spans="1:2" x14ac:dyDescent="0.2">
      <c r="A839" s="28" t="s">
        <v>390</v>
      </c>
      <c r="B839" s="34">
        <v>2</v>
      </c>
    </row>
    <row r="840" spans="1:2" x14ac:dyDescent="0.2">
      <c r="A840" s="28" t="s">
        <v>109</v>
      </c>
      <c r="B840" s="34">
        <v>2</v>
      </c>
    </row>
    <row r="841" spans="1:2" x14ac:dyDescent="0.2">
      <c r="A841" s="28" t="s">
        <v>925</v>
      </c>
      <c r="B841" s="34">
        <v>1</v>
      </c>
    </row>
    <row r="842" spans="1:2" x14ac:dyDescent="0.2">
      <c r="A842" s="28" t="s">
        <v>24</v>
      </c>
      <c r="B842" s="34">
        <v>2</v>
      </c>
    </row>
    <row r="843" spans="1:2" x14ac:dyDescent="0.2">
      <c r="A843" s="28" t="s">
        <v>124</v>
      </c>
      <c r="B843" s="34">
        <v>2</v>
      </c>
    </row>
    <row r="844" spans="1:2" x14ac:dyDescent="0.2">
      <c r="A844" s="28" t="s">
        <v>56</v>
      </c>
      <c r="B844" s="34">
        <v>1</v>
      </c>
    </row>
    <row r="845" spans="1:2" x14ac:dyDescent="0.2">
      <c r="A845" s="28" t="s">
        <v>34</v>
      </c>
      <c r="B845" s="34">
        <v>2</v>
      </c>
    </row>
    <row r="846" spans="1:2" x14ac:dyDescent="0.2">
      <c r="A846" s="28" t="s">
        <v>24</v>
      </c>
      <c r="B846" s="34">
        <v>0</v>
      </c>
    </row>
    <row r="847" spans="1:2" x14ac:dyDescent="0.2">
      <c r="A847" s="28" t="s">
        <v>42</v>
      </c>
      <c r="B847" s="34">
        <v>2</v>
      </c>
    </row>
    <row r="848" spans="1:2" x14ac:dyDescent="0.2">
      <c r="A848" s="28" t="s">
        <v>56</v>
      </c>
      <c r="B848" s="34">
        <v>1</v>
      </c>
    </row>
    <row r="849" spans="1:2" x14ac:dyDescent="0.2">
      <c r="A849" s="28" t="s">
        <v>109</v>
      </c>
      <c r="B849" s="34">
        <v>0</v>
      </c>
    </row>
    <row r="850" spans="1:2" x14ac:dyDescent="0.2">
      <c r="A850" s="28" t="s">
        <v>42</v>
      </c>
      <c r="B850" s="34">
        <v>1</v>
      </c>
    </row>
    <row r="851" spans="1:2" x14ac:dyDescent="0.2">
      <c r="A851" s="28" t="s">
        <v>109</v>
      </c>
      <c r="B851" s="34">
        <v>0</v>
      </c>
    </row>
    <row r="852" spans="1:2" x14ac:dyDescent="0.2">
      <c r="A852" s="28" t="s">
        <v>42</v>
      </c>
      <c r="B852" s="34">
        <v>0</v>
      </c>
    </row>
    <row r="853" spans="1:2" x14ac:dyDescent="0.2">
      <c r="A853" s="6" t="s">
        <v>124</v>
      </c>
      <c r="B853" s="35">
        <v>1</v>
      </c>
    </row>
    <row r="854" spans="1:2" x14ac:dyDescent="0.2">
      <c r="A854" s="28" t="s">
        <v>25</v>
      </c>
      <c r="B854" s="21">
        <f>COUNTBLANK(World_Cup_Matches[Home Team Goals])</f>
        <v>0</v>
      </c>
    </row>
    <row r="855" spans="1:2" x14ac:dyDescent="0.2">
      <c r="A855" s="28" t="s">
        <v>34</v>
      </c>
      <c r="B855" s="34">
        <v>1</v>
      </c>
    </row>
    <row r="856" spans="1:2" x14ac:dyDescent="0.2">
      <c r="A856" s="28" t="s">
        <v>42</v>
      </c>
      <c r="B856" s="34">
        <v>0</v>
      </c>
    </row>
    <row r="857" spans="1:2" x14ac:dyDescent="0.2">
      <c r="A857" s="28" t="s">
        <v>51</v>
      </c>
      <c r="B857" s="34">
        <v>1</v>
      </c>
    </row>
    <row r="858" spans="1:2" x14ac:dyDescent="0.2">
      <c r="A858" s="28" t="s">
        <v>24</v>
      </c>
      <c r="B858" s="34">
        <v>1</v>
      </c>
    </row>
    <row r="859" spans="1:2" x14ac:dyDescent="0.2">
      <c r="A859" s="28" t="s">
        <v>25</v>
      </c>
      <c r="B859" s="34">
        <v>0</v>
      </c>
    </row>
    <row r="860" spans="1:2" x14ac:dyDescent="0.2">
      <c r="A860" s="28" t="s">
        <v>65</v>
      </c>
      <c r="B860" s="34">
        <v>0</v>
      </c>
    </row>
    <row r="861" spans="1:2" x14ac:dyDescent="0.2">
      <c r="A861" s="28" t="s">
        <v>68</v>
      </c>
      <c r="B861" s="34">
        <v>0</v>
      </c>
    </row>
    <row r="862" spans="1:2" x14ac:dyDescent="0.2">
      <c r="A862" s="28" t="s">
        <v>51</v>
      </c>
      <c r="B862" s="34">
        <v>0</v>
      </c>
    </row>
    <row r="863" spans="1:2" x14ac:dyDescent="0.2">
      <c r="A863" s="28" t="s">
        <v>24</v>
      </c>
      <c r="B863" s="34">
        <v>0</v>
      </c>
    </row>
    <row r="864" spans="1:2" x14ac:dyDescent="0.2">
      <c r="A864" s="28" t="s">
        <v>25</v>
      </c>
      <c r="B864" s="34">
        <v>0</v>
      </c>
    </row>
    <row r="865" spans="1:2" x14ac:dyDescent="0.2">
      <c r="A865" s="28" t="s">
        <v>65</v>
      </c>
      <c r="B865" s="34">
        <v>3</v>
      </c>
    </row>
    <row r="866" spans="1:2" x14ac:dyDescent="0.2">
      <c r="A866" s="28" t="s">
        <v>34</v>
      </c>
      <c r="B866" s="34">
        <v>0</v>
      </c>
    </row>
    <row r="867" spans="1:2" x14ac:dyDescent="0.2">
      <c r="A867" s="28" t="s">
        <v>50</v>
      </c>
      <c r="B867" s="34">
        <v>0</v>
      </c>
    </row>
    <row r="868" spans="1:2" x14ac:dyDescent="0.2">
      <c r="A868" s="28" t="s">
        <v>61</v>
      </c>
      <c r="B868" s="34">
        <v>0</v>
      </c>
    </row>
    <row r="869" spans="1:2" x14ac:dyDescent="0.2">
      <c r="A869" s="28" t="s">
        <v>33</v>
      </c>
      <c r="B869" s="34">
        <v>1</v>
      </c>
    </row>
    <row r="870" spans="1:2" x14ac:dyDescent="0.2">
      <c r="A870" s="28" t="s">
        <v>41</v>
      </c>
      <c r="B870" s="34">
        <v>1</v>
      </c>
    </row>
    <row r="871" spans="1:2" x14ac:dyDescent="0.2">
      <c r="A871" s="28" t="s">
        <v>56</v>
      </c>
      <c r="B871" s="34">
        <v>1</v>
      </c>
    </row>
    <row r="872" spans="1:2" x14ac:dyDescent="0.2">
      <c r="A872" s="28" t="s">
        <v>24</v>
      </c>
      <c r="B872" s="34">
        <v>2</v>
      </c>
    </row>
    <row r="873" spans="1:2" x14ac:dyDescent="0.2">
      <c r="A873" s="28" t="s">
        <v>100</v>
      </c>
      <c r="B873" s="34">
        <v>2</v>
      </c>
    </row>
    <row r="874" spans="1:2" x14ac:dyDescent="0.2">
      <c r="A874" s="28" t="s">
        <v>109</v>
      </c>
      <c r="B874" s="34">
        <v>2</v>
      </c>
    </row>
    <row r="875" spans="1:2" x14ac:dyDescent="0.2">
      <c r="A875" s="28" t="s">
        <v>56</v>
      </c>
      <c r="B875" s="34">
        <v>2</v>
      </c>
    </row>
    <row r="876" spans="1:2" x14ac:dyDescent="0.2">
      <c r="A876" s="28" t="s">
        <v>34</v>
      </c>
      <c r="B876" s="34">
        <v>2</v>
      </c>
    </row>
    <row r="877" spans="1:2" x14ac:dyDescent="0.2">
      <c r="A877" s="28" t="s">
        <v>42</v>
      </c>
      <c r="B877" s="34">
        <v>2</v>
      </c>
    </row>
    <row r="878" spans="1:2" x14ac:dyDescent="0.2">
      <c r="A878" s="28" t="s">
        <v>33</v>
      </c>
      <c r="B878" s="34">
        <v>1</v>
      </c>
    </row>
    <row r="879" spans="1:2" x14ac:dyDescent="0.2">
      <c r="A879" s="28" t="s">
        <v>50</v>
      </c>
      <c r="B879" s="34">
        <v>1</v>
      </c>
    </row>
    <row r="880" spans="1:2" x14ac:dyDescent="0.2">
      <c r="A880" s="28" t="s">
        <v>108</v>
      </c>
      <c r="B880" s="34">
        <v>1</v>
      </c>
    </row>
    <row r="881" spans="1:2" x14ac:dyDescent="0.2">
      <c r="A881" s="28" t="s">
        <v>117</v>
      </c>
      <c r="B881" s="34">
        <v>2</v>
      </c>
    </row>
    <row r="882" spans="1:2" x14ac:dyDescent="0.2">
      <c r="A882" s="28" t="s">
        <v>131</v>
      </c>
      <c r="B882" s="34">
        <v>1</v>
      </c>
    </row>
    <row r="883" spans="1:2" x14ac:dyDescent="0.2">
      <c r="A883" s="28" t="s">
        <v>99</v>
      </c>
      <c r="B883" s="34">
        <v>1</v>
      </c>
    </row>
    <row r="884" spans="1:2" x14ac:dyDescent="0.2">
      <c r="A884" s="28" t="s">
        <v>131</v>
      </c>
      <c r="B884" s="34">
        <v>1</v>
      </c>
    </row>
    <row r="885" spans="1:2" x14ac:dyDescent="0.2">
      <c r="A885" s="28" t="s">
        <v>91</v>
      </c>
      <c r="B885" s="34">
        <v>0</v>
      </c>
    </row>
    <row r="886" spans="1:2" x14ac:dyDescent="0.2">
      <c r="A886" s="28" t="s">
        <v>124</v>
      </c>
      <c r="B886" s="34">
        <v>0</v>
      </c>
    </row>
    <row r="887" spans="1:2" x14ac:dyDescent="0.2">
      <c r="A887" s="28" t="s">
        <v>91</v>
      </c>
      <c r="B887" s="34">
        <v>1</v>
      </c>
    </row>
    <row r="888" spans="1:2" x14ac:dyDescent="0.2">
      <c r="A888" s="28" t="s">
        <v>145</v>
      </c>
      <c r="B888" s="34">
        <v>2</v>
      </c>
    </row>
    <row r="889" spans="1:2" x14ac:dyDescent="0.2">
      <c r="A889" s="28" t="s">
        <v>124</v>
      </c>
      <c r="B889" s="34">
        <v>1</v>
      </c>
    </row>
    <row r="890" spans="1:2" x14ac:dyDescent="0.2">
      <c r="A890" s="28" t="s">
        <v>166</v>
      </c>
      <c r="B890" s="34">
        <v>1</v>
      </c>
    </row>
    <row r="891" spans="1:2" x14ac:dyDescent="0.2">
      <c r="A891" s="28" t="s">
        <v>34</v>
      </c>
      <c r="B891" s="34">
        <v>0</v>
      </c>
    </row>
    <row r="892" spans="1:2" x14ac:dyDescent="0.2">
      <c r="A892" s="28" t="s">
        <v>50</v>
      </c>
      <c r="B892" s="34">
        <v>1</v>
      </c>
    </row>
    <row r="893" spans="1:2" x14ac:dyDescent="0.2">
      <c r="A893" s="28" t="s">
        <v>183</v>
      </c>
      <c r="B893" s="34">
        <v>3</v>
      </c>
    </row>
    <row r="894" spans="1:2" x14ac:dyDescent="0.2">
      <c r="A894" s="28" t="s">
        <v>190</v>
      </c>
      <c r="B894" s="34">
        <v>1</v>
      </c>
    </row>
    <row r="895" spans="1:2" x14ac:dyDescent="0.2">
      <c r="A895" s="28" t="s">
        <v>109</v>
      </c>
      <c r="B895" s="34">
        <v>5</v>
      </c>
    </row>
    <row r="896" spans="1:2" x14ac:dyDescent="0.2">
      <c r="A896" s="28" t="s">
        <v>50</v>
      </c>
      <c r="B896" s="34">
        <v>0</v>
      </c>
    </row>
    <row r="897" spans="1:2" x14ac:dyDescent="0.2">
      <c r="A897" s="28" t="s">
        <v>124</v>
      </c>
      <c r="B897" s="34">
        <v>1</v>
      </c>
    </row>
    <row r="898" spans="1:2" x14ac:dyDescent="0.2">
      <c r="A898" s="28" t="s">
        <v>145</v>
      </c>
      <c r="B898" s="34">
        <v>2</v>
      </c>
    </row>
    <row r="899" spans="1:2" x14ac:dyDescent="0.2">
      <c r="A899" s="28" t="s">
        <v>108</v>
      </c>
      <c r="B899" s="34">
        <v>1</v>
      </c>
    </row>
    <row r="900" spans="1:2" x14ac:dyDescent="0.2">
      <c r="A900" s="28" t="s">
        <v>177</v>
      </c>
      <c r="B900" s="34">
        <v>0</v>
      </c>
    </row>
    <row r="901" spans="1:2" x14ac:dyDescent="0.2">
      <c r="A901" s="28" t="s">
        <v>24</v>
      </c>
      <c r="B901" s="34">
        <v>0</v>
      </c>
    </row>
    <row r="902" spans="1:2" x14ac:dyDescent="0.2">
      <c r="A902" s="28" t="s">
        <v>145</v>
      </c>
      <c r="B902" s="34">
        <v>1</v>
      </c>
    </row>
    <row r="903" spans="1:2" x14ac:dyDescent="0.2">
      <c r="A903" s="28" t="s">
        <v>117</v>
      </c>
      <c r="B903" s="34">
        <v>1</v>
      </c>
    </row>
    <row r="904" spans="1:2" x14ac:dyDescent="0.2">
      <c r="A904" s="28" t="s">
        <v>42</v>
      </c>
      <c r="B904" s="34">
        <v>1</v>
      </c>
    </row>
    <row r="905" spans="1:2" x14ac:dyDescent="0.2">
      <c r="A905" s="28" t="s">
        <v>117</v>
      </c>
      <c r="B905" s="34">
        <v>1</v>
      </c>
    </row>
    <row r="906" spans="1:2" x14ac:dyDescent="0.2">
      <c r="A906" s="28" t="s">
        <v>99</v>
      </c>
      <c r="B906" s="34">
        <v>2</v>
      </c>
    </row>
    <row r="907" spans="1:2" x14ac:dyDescent="0.2">
      <c r="A907" s="28" t="s">
        <v>25</v>
      </c>
      <c r="B907" s="34">
        <v>2</v>
      </c>
    </row>
    <row r="908" spans="1:2" x14ac:dyDescent="0.2">
      <c r="A908" s="28" t="s">
        <v>61</v>
      </c>
      <c r="B908" s="34">
        <v>0</v>
      </c>
    </row>
    <row r="909" spans="1:2" x14ac:dyDescent="0.2">
      <c r="A909" s="28" t="s">
        <v>33</v>
      </c>
      <c r="B909" s="34">
        <v>0</v>
      </c>
    </row>
    <row r="910" spans="1:2" x14ac:dyDescent="0.2">
      <c r="A910" s="28" t="s">
        <v>138</v>
      </c>
      <c r="B910" s="34">
        <v>1</v>
      </c>
    </row>
    <row r="911" spans="1:2" x14ac:dyDescent="0.2">
      <c r="A911" s="28" t="s">
        <v>108</v>
      </c>
      <c r="B911" s="34">
        <v>2</v>
      </c>
    </row>
    <row r="912" spans="1:2" x14ac:dyDescent="0.2">
      <c r="A912" s="28" t="s">
        <v>108</v>
      </c>
      <c r="B912" s="34">
        <v>0</v>
      </c>
    </row>
    <row r="913" spans="1:2" x14ac:dyDescent="0.2">
      <c r="A913" s="28" t="s">
        <v>25</v>
      </c>
      <c r="B913" s="34">
        <v>2</v>
      </c>
    </row>
    <row r="914" spans="1:2" x14ac:dyDescent="0.2">
      <c r="A914" s="28" t="s">
        <v>61</v>
      </c>
      <c r="B914" s="34">
        <v>1</v>
      </c>
    </row>
    <row r="915" spans="1:2" x14ac:dyDescent="0.2">
      <c r="A915" s="28" t="s">
        <v>68</v>
      </c>
      <c r="B915" s="34">
        <v>0</v>
      </c>
    </row>
    <row r="916" spans="1:2" x14ac:dyDescent="0.2">
      <c r="A916" s="28" t="s">
        <v>223</v>
      </c>
      <c r="B916" s="34">
        <v>2</v>
      </c>
    </row>
    <row r="917" spans="1:2" x14ac:dyDescent="0.2">
      <c r="A917" s="28" t="s">
        <v>41</v>
      </c>
      <c r="B917" s="34">
        <v>0</v>
      </c>
    </row>
    <row r="918" spans="1:2" x14ac:dyDescent="0.2">
      <c r="A918" s="28" t="s">
        <v>223</v>
      </c>
      <c r="B918" s="34">
        <v>0</v>
      </c>
    </row>
    <row r="919" spans="1:2" x14ac:dyDescent="0.2">
      <c r="A919" s="28" t="s">
        <v>68</v>
      </c>
      <c r="B919" s="34">
        <v>0</v>
      </c>
    </row>
    <row r="920" spans="1:2" x14ac:dyDescent="0.2">
      <c r="A920" s="28" t="s">
        <v>65</v>
      </c>
      <c r="B920" s="34">
        <v>0</v>
      </c>
    </row>
    <row r="921" spans="1:2" x14ac:dyDescent="0.2">
      <c r="A921" s="28" t="s">
        <v>25</v>
      </c>
      <c r="B921" s="34">
        <v>0</v>
      </c>
    </row>
    <row r="922" spans="1:2" x14ac:dyDescent="0.2">
      <c r="A922" s="28" t="s">
        <v>33</v>
      </c>
      <c r="B922" s="34">
        <v>1</v>
      </c>
    </row>
    <row r="923" spans="1:2" x14ac:dyDescent="0.2">
      <c r="A923" s="28" t="s">
        <v>131</v>
      </c>
      <c r="B923" s="34">
        <v>2</v>
      </c>
    </row>
    <row r="924" spans="1:2" x14ac:dyDescent="0.2">
      <c r="A924" s="28" t="s">
        <v>117</v>
      </c>
      <c r="B924" s="34">
        <v>2</v>
      </c>
    </row>
    <row r="925" spans="1:2" x14ac:dyDescent="0.2">
      <c r="A925" s="28" t="s">
        <v>131</v>
      </c>
      <c r="B925" s="34">
        <v>1</v>
      </c>
    </row>
    <row r="926" spans="1:2" x14ac:dyDescent="0.2">
      <c r="A926" s="28" t="s">
        <v>117</v>
      </c>
      <c r="B926" s="34">
        <v>1</v>
      </c>
    </row>
    <row r="927" spans="1:2" x14ac:dyDescent="0.2">
      <c r="A927" s="28" t="s">
        <v>131</v>
      </c>
      <c r="B927" s="34">
        <v>2</v>
      </c>
    </row>
    <row r="928" spans="1:2" x14ac:dyDescent="0.2">
      <c r="A928" s="28" t="s">
        <v>42</v>
      </c>
      <c r="B928" s="34">
        <v>1</v>
      </c>
    </row>
    <row r="929" spans="1:2" x14ac:dyDescent="0.2">
      <c r="A929" s="28" t="s">
        <v>145</v>
      </c>
      <c r="B929" s="34">
        <v>1</v>
      </c>
    </row>
    <row r="930" spans="1:2" x14ac:dyDescent="0.2">
      <c r="A930" s="28" t="s">
        <v>272</v>
      </c>
      <c r="B930" s="34">
        <v>0</v>
      </c>
    </row>
    <row r="931" spans="1:2" x14ac:dyDescent="0.2">
      <c r="A931" s="28" t="s">
        <v>25</v>
      </c>
      <c r="B931" s="34">
        <v>0</v>
      </c>
    </row>
    <row r="932" spans="1:2" x14ac:dyDescent="0.2">
      <c r="A932" s="28" t="s">
        <v>24</v>
      </c>
      <c r="B932" s="34">
        <v>0</v>
      </c>
    </row>
    <row r="933" spans="1:2" x14ac:dyDescent="0.2">
      <c r="A933" s="28" t="s">
        <v>286</v>
      </c>
      <c r="B933" s="34">
        <v>0</v>
      </c>
    </row>
    <row r="934" spans="1:2" x14ac:dyDescent="0.2">
      <c r="A934" s="28" t="s">
        <v>291</v>
      </c>
      <c r="B934" s="34">
        <v>1</v>
      </c>
    </row>
    <row r="935" spans="1:2" x14ac:dyDescent="0.2">
      <c r="A935" s="28" t="s">
        <v>34</v>
      </c>
      <c r="B935" s="34">
        <v>0</v>
      </c>
    </row>
    <row r="936" spans="1:2" x14ac:dyDescent="0.2">
      <c r="A936" s="28" t="s">
        <v>138</v>
      </c>
      <c r="B936" s="34">
        <v>4</v>
      </c>
    </row>
    <row r="937" spans="1:2" x14ac:dyDescent="0.2">
      <c r="A937" s="28" t="s">
        <v>272</v>
      </c>
      <c r="B937" s="34">
        <v>1</v>
      </c>
    </row>
    <row r="938" spans="1:2" x14ac:dyDescent="0.2">
      <c r="A938" s="28" t="s">
        <v>145</v>
      </c>
      <c r="B938" s="34">
        <v>0</v>
      </c>
    </row>
    <row r="939" spans="1:2" x14ac:dyDescent="0.2">
      <c r="A939" s="28" t="s">
        <v>25</v>
      </c>
      <c r="B939" s="34">
        <v>0</v>
      </c>
    </row>
    <row r="940" spans="1:2" x14ac:dyDescent="0.2">
      <c r="A940" s="28" t="s">
        <v>41</v>
      </c>
      <c r="B940" s="34">
        <v>2</v>
      </c>
    </row>
    <row r="941" spans="1:2" x14ac:dyDescent="0.2">
      <c r="A941" s="28" t="s">
        <v>285</v>
      </c>
      <c r="B941" s="34">
        <v>1</v>
      </c>
    </row>
    <row r="942" spans="1:2" x14ac:dyDescent="0.2">
      <c r="A942" s="28" t="s">
        <v>291</v>
      </c>
      <c r="B942" s="34">
        <v>3</v>
      </c>
    </row>
    <row r="943" spans="1:2" x14ac:dyDescent="0.2">
      <c r="A943" s="28" t="s">
        <v>108</v>
      </c>
      <c r="B943" s="34">
        <v>0</v>
      </c>
    </row>
    <row r="944" spans="1:2" x14ac:dyDescent="0.2">
      <c r="A944" s="28" t="s">
        <v>34</v>
      </c>
      <c r="B944" s="34">
        <v>0</v>
      </c>
    </row>
    <row r="945" spans="1:2" x14ac:dyDescent="0.2">
      <c r="A945" s="28" t="s">
        <v>286</v>
      </c>
      <c r="B945" s="34">
        <v>1</v>
      </c>
    </row>
    <row r="946" spans="1:2" x14ac:dyDescent="0.2">
      <c r="A946" s="28" t="s">
        <v>138</v>
      </c>
      <c r="B946" s="34">
        <v>2</v>
      </c>
    </row>
    <row r="947" spans="1:2" x14ac:dyDescent="0.2">
      <c r="A947" s="28" t="s">
        <v>223</v>
      </c>
      <c r="B947" s="34">
        <v>1</v>
      </c>
    </row>
    <row r="948" spans="1:2" x14ac:dyDescent="0.2">
      <c r="A948" s="28" t="s">
        <v>108</v>
      </c>
      <c r="B948" s="34">
        <v>2</v>
      </c>
    </row>
    <row r="949" spans="1:2" x14ac:dyDescent="0.2">
      <c r="A949" s="28" t="s">
        <v>41</v>
      </c>
      <c r="B949" s="34">
        <v>5</v>
      </c>
    </row>
    <row r="950" spans="1:2" x14ac:dyDescent="0.2">
      <c r="A950" s="28" t="s">
        <v>42</v>
      </c>
      <c r="B950" s="34">
        <v>0</v>
      </c>
    </row>
    <row r="951" spans="1:2" x14ac:dyDescent="0.2">
      <c r="A951" s="28" t="s">
        <v>91</v>
      </c>
      <c r="B951" s="34">
        <v>2</v>
      </c>
    </row>
    <row r="952" spans="1:2" x14ac:dyDescent="0.2">
      <c r="A952" s="28" t="s">
        <v>72</v>
      </c>
      <c r="B952" s="34">
        <v>1</v>
      </c>
    </row>
    <row r="953" spans="1:2" x14ac:dyDescent="0.2">
      <c r="A953" s="28" t="s">
        <v>72</v>
      </c>
      <c r="B953" s="34">
        <v>2</v>
      </c>
    </row>
    <row r="954" spans="1:2" x14ac:dyDescent="0.2">
      <c r="A954" s="28" t="s">
        <v>99</v>
      </c>
      <c r="B954" s="34">
        <v>1</v>
      </c>
    </row>
    <row r="955" spans="1:2" x14ac:dyDescent="0.2">
      <c r="A955" s="28" t="s">
        <v>25</v>
      </c>
      <c r="B955" s="34">
        <v>2</v>
      </c>
    </row>
    <row r="956" spans="1:2" x14ac:dyDescent="0.2">
      <c r="A956" s="28" t="s">
        <v>223</v>
      </c>
      <c r="B956" s="34">
        <v>0</v>
      </c>
    </row>
    <row r="957" spans="1:2" x14ac:dyDescent="0.2">
      <c r="A957" s="28" t="s">
        <v>285</v>
      </c>
      <c r="B957" s="34">
        <v>2</v>
      </c>
    </row>
    <row r="958" spans="1:2" x14ac:dyDescent="0.2">
      <c r="A958" s="28" t="s">
        <v>342</v>
      </c>
      <c r="B958" s="34">
        <v>3</v>
      </c>
    </row>
    <row r="959" spans="1:2" x14ac:dyDescent="0.2">
      <c r="A959" s="28" t="s">
        <v>68</v>
      </c>
      <c r="B959" s="34">
        <v>1</v>
      </c>
    </row>
    <row r="960" spans="1:2" x14ac:dyDescent="0.2">
      <c r="A960" s="28" t="s">
        <v>272</v>
      </c>
      <c r="B960" s="34">
        <v>3</v>
      </c>
    </row>
    <row r="961" spans="1:2" x14ac:dyDescent="0.2">
      <c r="A961" s="28" t="s">
        <v>91</v>
      </c>
      <c r="B961" s="34">
        <v>1</v>
      </c>
    </row>
    <row r="962" spans="1:2" x14ac:dyDescent="0.2">
      <c r="A962" s="28" t="s">
        <v>145</v>
      </c>
      <c r="B962" s="34">
        <v>0</v>
      </c>
    </row>
    <row r="963" spans="1:2" x14ac:dyDescent="0.2">
      <c r="A963" s="28" t="s">
        <v>223</v>
      </c>
      <c r="B963" s="34">
        <v>0</v>
      </c>
    </row>
    <row r="964" spans="1:2" x14ac:dyDescent="0.2">
      <c r="A964" s="28" t="s">
        <v>342</v>
      </c>
      <c r="B964" s="34">
        <v>0</v>
      </c>
    </row>
    <row r="965" spans="1:2" x14ac:dyDescent="0.2">
      <c r="A965" s="28" t="s">
        <v>272</v>
      </c>
      <c r="B965" s="34">
        <v>1</v>
      </c>
    </row>
    <row r="966" spans="1:2" x14ac:dyDescent="0.2">
      <c r="A966" s="28" t="s">
        <v>24</v>
      </c>
      <c r="B966" s="34">
        <v>2</v>
      </c>
    </row>
    <row r="967" spans="1:2" x14ac:dyDescent="0.2">
      <c r="A967" s="28" t="s">
        <v>91</v>
      </c>
      <c r="B967" s="34">
        <v>2</v>
      </c>
    </row>
    <row r="968" spans="1:2" x14ac:dyDescent="0.2">
      <c r="A968" s="28" t="s">
        <v>145</v>
      </c>
      <c r="B968" s="34">
        <v>0</v>
      </c>
    </row>
    <row r="969" spans="1:2" x14ac:dyDescent="0.2">
      <c r="A969" s="28" t="s">
        <v>360</v>
      </c>
      <c r="B969" s="34">
        <v>2</v>
      </c>
    </row>
    <row r="970" spans="1:2" x14ac:dyDescent="0.2">
      <c r="A970" s="28" t="s">
        <v>99</v>
      </c>
      <c r="B970" s="34">
        <v>1</v>
      </c>
    </row>
    <row r="971" spans="1:2" x14ac:dyDescent="0.2">
      <c r="A971" s="28" t="s">
        <v>342</v>
      </c>
      <c r="B971" s="34">
        <v>1</v>
      </c>
    </row>
    <row r="972" spans="1:2" x14ac:dyDescent="0.2">
      <c r="A972" s="28" t="s">
        <v>332</v>
      </c>
      <c r="B972" s="34">
        <v>0</v>
      </c>
    </row>
    <row r="973" spans="1:2" x14ac:dyDescent="0.2">
      <c r="A973" s="28" t="s">
        <v>360</v>
      </c>
      <c r="B973" s="34">
        <v>0</v>
      </c>
    </row>
    <row r="974" spans="1:2" x14ac:dyDescent="0.2">
      <c r="A974" s="28" t="s">
        <v>25</v>
      </c>
      <c r="B974" s="34">
        <v>2</v>
      </c>
    </row>
    <row r="975" spans="1:2" x14ac:dyDescent="0.2">
      <c r="A975" s="28" t="s">
        <v>41</v>
      </c>
      <c r="B975" s="34">
        <v>0</v>
      </c>
    </row>
    <row r="976" spans="1:2" x14ac:dyDescent="0.2">
      <c r="A976" s="28" t="s">
        <v>272</v>
      </c>
      <c r="B976" s="34">
        <v>3</v>
      </c>
    </row>
    <row r="977" spans="1:2" x14ac:dyDescent="0.2">
      <c r="A977" s="28" t="s">
        <v>91</v>
      </c>
      <c r="B977" s="34">
        <v>1</v>
      </c>
    </row>
    <row r="978" spans="1:2" x14ac:dyDescent="0.2">
      <c r="A978" s="28" t="s">
        <v>56</v>
      </c>
      <c r="B978" s="34">
        <v>2</v>
      </c>
    </row>
    <row r="979" spans="1:2" x14ac:dyDescent="0.2">
      <c r="A979" s="28" t="s">
        <v>223</v>
      </c>
      <c r="B979" s="34">
        <v>1</v>
      </c>
    </row>
    <row r="980" spans="1:2" x14ac:dyDescent="0.2">
      <c r="A980" s="28" t="s">
        <v>145</v>
      </c>
      <c r="B980" s="34">
        <v>0</v>
      </c>
    </row>
    <row r="981" spans="1:2" x14ac:dyDescent="0.2">
      <c r="A981" s="28" t="s">
        <v>99</v>
      </c>
      <c r="B981" s="34">
        <v>1</v>
      </c>
    </row>
    <row r="982" spans="1:2" x14ac:dyDescent="0.2">
      <c r="A982" s="28" t="s">
        <v>342</v>
      </c>
      <c r="B982" s="34">
        <v>1</v>
      </c>
    </row>
    <row r="983" spans="1:2" x14ac:dyDescent="0.2">
      <c r="A983" s="28" t="s">
        <v>41</v>
      </c>
      <c r="B983" s="34">
        <v>0</v>
      </c>
    </row>
    <row r="984" spans="1:2" x14ac:dyDescent="0.2">
      <c r="A984" s="28" t="s">
        <v>332</v>
      </c>
      <c r="B984" s="34">
        <v>0</v>
      </c>
    </row>
    <row r="985" spans="1:2" x14ac:dyDescent="0.2">
      <c r="A985" s="28" t="s">
        <v>360</v>
      </c>
      <c r="B985" s="34">
        <v>0</v>
      </c>
    </row>
    <row r="986" spans="1:2" x14ac:dyDescent="0.2">
      <c r="A986" s="28" t="s">
        <v>285</v>
      </c>
      <c r="B986" s="34">
        <v>0</v>
      </c>
    </row>
    <row r="987" spans="1:2" x14ac:dyDescent="0.2">
      <c r="A987" s="28" t="s">
        <v>24</v>
      </c>
      <c r="B987" s="34">
        <v>1</v>
      </c>
    </row>
    <row r="988" spans="1:2" x14ac:dyDescent="0.2">
      <c r="A988" s="28" t="s">
        <v>285</v>
      </c>
      <c r="B988" s="34">
        <v>2</v>
      </c>
    </row>
    <row r="989" spans="1:2" x14ac:dyDescent="0.2">
      <c r="A989" s="28" t="s">
        <v>117</v>
      </c>
      <c r="B989" s="34">
        <v>3</v>
      </c>
    </row>
    <row r="990" spans="1:2" x14ac:dyDescent="0.2">
      <c r="A990" s="28" t="s">
        <v>390</v>
      </c>
      <c r="B990" s="34">
        <v>2</v>
      </c>
    </row>
    <row r="991" spans="1:2" x14ac:dyDescent="0.2">
      <c r="A991" s="28" t="s">
        <v>25</v>
      </c>
      <c r="B991" s="34">
        <v>1</v>
      </c>
    </row>
    <row r="992" spans="1:2" x14ac:dyDescent="0.2">
      <c r="A992" s="28" t="s">
        <v>401</v>
      </c>
      <c r="B992" s="34">
        <v>0</v>
      </c>
    </row>
    <row r="993" spans="1:2" x14ac:dyDescent="0.2">
      <c r="A993" s="28" t="s">
        <v>108</v>
      </c>
      <c r="B993" s="34">
        <v>0</v>
      </c>
    </row>
    <row r="994" spans="1:2" x14ac:dyDescent="0.2">
      <c r="A994" s="28" t="s">
        <v>41</v>
      </c>
      <c r="B994" s="34">
        <v>1</v>
      </c>
    </row>
    <row r="995" spans="1:2" x14ac:dyDescent="0.2">
      <c r="A995" s="28" t="s">
        <v>131</v>
      </c>
      <c r="B995" s="34">
        <v>0</v>
      </c>
    </row>
    <row r="996" spans="1:2" x14ac:dyDescent="0.2">
      <c r="A996" s="28" t="s">
        <v>223</v>
      </c>
      <c r="B996" s="34">
        <v>0</v>
      </c>
    </row>
    <row r="997" spans="1:2" x14ac:dyDescent="0.2">
      <c r="A997" s="28" t="s">
        <v>138</v>
      </c>
      <c r="B997" s="34">
        <v>1</v>
      </c>
    </row>
    <row r="998" spans="1:2" x14ac:dyDescent="0.2">
      <c r="A998" s="28" t="s">
        <v>72</v>
      </c>
      <c r="B998" s="34">
        <v>0</v>
      </c>
    </row>
    <row r="999" spans="1:2" x14ac:dyDescent="0.2">
      <c r="A999" s="28" t="s">
        <v>145</v>
      </c>
      <c r="B999" s="34">
        <v>1</v>
      </c>
    </row>
    <row r="1000" spans="1:2" x14ac:dyDescent="0.2">
      <c r="A1000" s="28" t="s">
        <v>56</v>
      </c>
      <c r="B1000" s="34">
        <v>0</v>
      </c>
    </row>
    <row r="1001" spans="1:2" x14ac:dyDescent="0.2">
      <c r="A1001" s="28" t="s">
        <v>138</v>
      </c>
      <c r="B1001" s="34">
        <v>1</v>
      </c>
    </row>
    <row r="1002" spans="1:2" x14ac:dyDescent="0.2">
      <c r="A1002" s="28" t="s">
        <v>390</v>
      </c>
      <c r="B1002" s="34">
        <v>0</v>
      </c>
    </row>
    <row r="1003" spans="1:2" x14ac:dyDescent="0.2">
      <c r="A1003" s="28" t="s">
        <v>25</v>
      </c>
      <c r="B1003" s="34">
        <v>4</v>
      </c>
    </row>
    <row r="1004" spans="1:2" x14ac:dyDescent="0.2">
      <c r="A1004" s="28" t="s">
        <v>401</v>
      </c>
      <c r="B1004" s="34">
        <v>0</v>
      </c>
    </row>
    <row r="1005" spans="1:2" x14ac:dyDescent="0.2">
      <c r="A1005" s="28" t="s">
        <v>108</v>
      </c>
      <c r="B1005" s="34">
        <v>1</v>
      </c>
    </row>
    <row r="1006" spans="1:2" x14ac:dyDescent="0.2">
      <c r="A1006" s="28" t="s">
        <v>72</v>
      </c>
      <c r="B1006" s="34">
        <v>1</v>
      </c>
    </row>
    <row r="1007" spans="1:2" x14ac:dyDescent="0.2">
      <c r="A1007" s="28" t="s">
        <v>131</v>
      </c>
      <c r="B1007" s="34">
        <v>1</v>
      </c>
    </row>
    <row r="1008" spans="1:2" x14ac:dyDescent="0.2">
      <c r="A1008" s="28" t="s">
        <v>56</v>
      </c>
      <c r="B1008" s="34">
        <v>1</v>
      </c>
    </row>
    <row r="1009" spans="1:2" x14ac:dyDescent="0.2">
      <c r="A1009" s="28" t="s">
        <v>61</v>
      </c>
      <c r="B1009" s="34">
        <v>0</v>
      </c>
    </row>
    <row r="1010" spans="1:2" x14ac:dyDescent="0.2">
      <c r="A1010" s="28" t="s">
        <v>390</v>
      </c>
      <c r="B1010" s="34">
        <v>0</v>
      </c>
    </row>
    <row r="1011" spans="1:2" x14ac:dyDescent="0.2">
      <c r="A1011" s="28" t="s">
        <v>145</v>
      </c>
      <c r="B1011" s="34">
        <v>0</v>
      </c>
    </row>
    <row r="1012" spans="1:2" x14ac:dyDescent="0.2">
      <c r="A1012" s="28" t="s">
        <v>401</v>
      </c>
      <c r="B1012" s="34">
        <v>1</v>
      </c>
    </row>
    <row r="1013" spans="1:2" x14ac:dyDescent="0.2">
      <c r="A1013" s="28" t="s">
        <v>108</v>
      </c>
      <c r="B1013" s="34">
        <v>0</v>
      </c>
    </row>
    <row r="1014" spans="1:2" x14ac:dyDescent="0.2">
      <c r="A1014" s="28" t="s">
        <v>332</v>
      </c>
      <c r="B1014" s="34">
        <v>0</v>
      </c>
    </row>
    <row r="1015" spans="1:2" x14ac:dyDescent="0.2">
      <c r="A1015" s="28" t="s">
        <v>223</v>
      </c>
      <c r="B1015" s="34">
        <v>1</v>
      </c>
    </row>
    <row r="1016" spans="1:2" x14ac:dyDescent="0.2">
      <c r="A1016" s="28" t="s">
        <v>99</v>
      </c>
      <c r="B1016" s="34">
        <v>1</v>
      </c>
    </row>
    <row r="1017" spans="1:2" x14ac:dyDescent="0.2">
      <c r="A1017" s="28" t="s">
        <v>285</v>
      </c>
      <c r="B1017" s="34">
        <v>0</v>
      </c>
    </row>
    <row r="1018" spans="1:2" x14ac:dyDescent="0.2">
      <c r="A1018" s="28" t="s">
        <v>41</v>
      </c>
      <c r="B1018" s="34">
        <v>0</v>
      </c>
    </row>
    <row r="1019" spans="1:2" x14ac:dyDescent="0.2">
      <c r="A1019" s="28" t="s">
        <v>61</v>
      </c>
      <c r="B1019" s="34">
        <v>1</v>
      </c>
    </row>
    <row r="1020" spans="1:2" x14ac:dyDescent="0.2">
      <c r="A1020" s="28" t="s">
        <v>41</v>
      </c>
      <c r="B1020" s="34">
        <v>2</v>
      </c>
    </row>
    <row r="1021" spans="1:2" x14ac:dyDescent="0.2">
      <c r="A1021" s="28" t="s">
        <v>145</v>
      </c>
      <c r="B1021" s="34">
        <v>0</v>
      </c>
    </row>
    <row r="1022" spans="1:2" x14ac:dyDescent="0.2">
      <c r="A1022" s="28" t="s">
        <v>72</v>
      </c>
      <c r="B1022" s="34">
        <v>1</v>
      </c>
    </row>
    <row r="1023" spans="1:2" x14ac:dyDescent="0.2">
      <c r="A1023" s="28" t="s">
        <v>108</v>
      </c>
      <c r="B1023" s="34">
        <v>0</v>
      </c>
    </row>
    <row r="1024" spans="1:2" x14ac:dyDescent="0.2">
      <c r="A1024" s="28" t="s">
        <v>401</v>
      </c>
      <c r="B1024" s="34">
        <v>0</v>
      </c>
    </row>
    <row r="1025" spans="1:2" x14ac:dyDescent="0.2">
      <c r="A1025" s="28" t="s">
        <v>451</v>
      </c>
      <c r="B1025" s="34">
        <v>0</v>
      </c>
    </row>
    <row r="1026" spans="1:2" x14ac:dyDescent="0.2">
      <c r="A1026" s="28" t="s">
        <v>25</v>
      </c>
      <c r="B1026" s="34">
        <v>0</v>
      </c>
    </row>
    <row r="1027" spans="1:2" x14ac:dyDescent="0.2">
      <c r="A1027" s="28" t="s">
        <v>99</v>
      </c>
      <c r="B1027" s="34">
        <v>1</v>
      </c>
    </row>
    <row r="1028" spans="1:2" x14ac:dyDescent="0.2">
      <c r="A1028" s="28" t="s">
        <v>131</v>
      </c>
      <c r="B1028" s="34">
        <v>1</v>
      </c>
    </row>
    <row r="1029" spans="1:2" x14ac:dyDescent="0.2">
      <c r="A1029" s="28" t="s">
        <v>61</v>
      </c>
      <c r="B1029" s="34">
        <v>1</v>
      </c>
    </row>
    <row r="1030" spans="1:2" x14ac:dyDescent="0.2">
      <c r="A1030" s="28" t="s">
        <v>24</v>
      </c>
      <c r="B1030" s="34">
        <v>0</v>
      </c>
    </row>
    <row r="1031" spans="1:2" x14ac:dyDescent="0.2">
      <c r="A1031" s="28" t="s">
        <v>108</v>
      </c>
      <c r="B1031" s="34">
        <v>1</v>
      </c>
    </row>
    <row r="1032" spans="1:2" x14ac:dyDescent="0.2">
      <c r="A1032" s="28" t="s">
        <v>42</v>
      </c>
      <c r="B1032" s="34">
        <v>1</v>
      </c>
    </row>
    <row r="1033" spans="1:2" x14ac:dyDescent="0.2">
      <c r="A1033" s="28" t="s">
        <v>61</v>
      </c>
      <c r="B1033" s="34">
        <v>1</v>
      </c>
    </row>
    <row r="1034" spans="1:2" x14ac:dyDescent="0.2">
      <c r="A1034" s="28" t="s">
        <v>401</v>
      </c>
      <c r="B1034" s="34">
        <v>1</v>
      </c>
    </row>
    <row r="1035" spans="1:2" x14ac:dyDescent="0.2">
      <c r="A1035" s="28" t="s">
        <v>56</v>
      </c>
      <c r="B1035" s="34">
        <v>0</v>
      </c>
    </row>
    <row r="1036" spans="1:2" x14ac:dyDescent="0.2">
      <c r="A1036" s="28" t="s">
        <v>138</v>
      </c>
      <c r="B1036" s="34">
        <v>0</v>
      </c>
    </row>
    <row r="1037" spans="1:2" x14ac:dyDescent="0.2">
      <c r="A1037" s="28" t="s">
        <v>25</v>
      </c>
      <c r="B1037" s="34">
        <v>0</v>
      </c>
    </row>
    <row r="1038" spans="1:2" x14ac:dyDescent="0.2">
      <c r="A1038" s="28" t="s">
        <v>25</v>
      </c>
      <c r="B1038" s="34">
        <v>0</v>
      </c>
    </row>
    <row r="1039" spans="1:2" x14ac:dyDescent="0.2">
      <c r="A1039" s="28" t="s">
        <v>108</v>
      </c>
      <c r="B1039" s="34">
        <v>0</v>
      </c>
    </row>
    <row r="1040" spans="1:2" x14ac:dyDescent="0.2">
      <c r="A1040" s="28" t="s">
        <v>42</v>
      </c>
      <c r="B1040" s="34">
        <v>0</v>
      </c>
    </row>
    <row r="1041" spans="1:2" x14ac:dyDescent="0.2">
      <c r="A1041" s="28" t="s">
        <v>138</v>
      </c>
      <c r="B1041" s="34">
        <v>1</v>
      </c>
    </row>
    <row r="1042" spans="1:2" x14ac:dyDescent="0.2">
      <c r="A1042" s="28" t="s">
        <v>24</v>
      </c>
      <c r="B1042" s="34">
        <v>0</v>
      </c>
    </row>
    <row r="1043" spans="1:2" x14ac:dyDescent="0.2">
      <c r="A1043" s="28" t="s">
        <v>401</v>
      </c>
      <c r="B1043" s="34">
        <v>0</v>
      </c>
    </row>
    <row r="1044" spans="1:2" x14ac:dyDescent="0.2">
      <c r="A1044" s="28" t="s">
        <v>131</v>
      </c>
      <c r="B1044" s="34">
        <v>1</v>
      </c>
    </row>
    <row r="1045" spans="1:2" x14ac:dyDescent="0.2">
      <c r="A1045" s="28" t="s">
        <v>61</v>
      </c>
      <c r="B1045" s="34">
        <v>1</v>
      </c>
    </row>
    <row r="1046" spans="1:2" x14ac:dyDescent="0.2">
      <c r="A1046" s="28" t="s">
        <v>56</v>
      </c>
      <c r="B1046" s="34">
        <v>1</v>
      </c>
    </row>
    <row r="1047" spans="1:2" x14ac:dyDescent="0.2">
      <c r="A1047" s="28" t="s">
        <v>72</v>
      </c>
      <c r="B1047" s="34">
        <v>0</v>
      </c>
    </row>
    <row r="1048" spans="1:2" x14ac:dyDescent="0.2">
      <c r="A1048" s="28" t="s">
        <v>99</v>
      </c>
      <c r="B1048" s="34">
        <v>0</v>
      </c>
    </row>
    <row r="1049" spans="1:2" x14ac:dyDescent="0.2">
      <c r="A1049" s="28" t="s">
        <v>451</v>
      </c>
      <c r="B1049" s="34">
        <v>1</v>
      </c>
    </row>
    <row r="1050" spans="1:2" x14ac:dyDescent="0.2">
      <c r="A1050" s="28" t="s">
        <v>332</v>
      </c>
      <c r="B1050" s="34">
        <v>3</v>
      </c>
    </row>
    <row r="1051" spans="1:2" x14ac:dyDescent="0.2">
      <c r="A1051" s="28" t="s">
        <v>458</v>
      </c>
      <c r="B1051" s="34">
        <v>1</v>
      </c>
    </row>
    <row r="1052" spans="1:2" x14ac:dyDescent="0.2">
      <c r="A1052" s="28" t="s">
        <v>332</v>
      </c>
      <c r="B1052" s="34">
        <v>1</v>
      </c>
    </row>
    <row r="1053" spans="1:2" x14ac:dyDescent="0.2">
      <c r="A1053" s="28" t="s">
        <v>285</v>
      </c>
      <c r="B1053" s="34">
        <v>1</v>
      </c>
    </row>
    <row r="1054" spans="1:2" x14ac:dyDescent="0.2">
      <c r="A1054" s="28" t="s">
        <v>332</v>
      </c>
      <c r="B1054" s="34">
        <v>2</v>
      </c>
    </row>
    <row r="1055" spans="1:2" x14ac:dyDescent="0.2">
      <c r="A1055" s="28" t="s">
        <v>496</v>
      </c>
      <c r="B1055" s="34">
        <v>0</v>
      </c>
    </row>
    <row r="1056" spans="1:2" x14ac:dyDescent="0.2">
      <c r="A1056" s="28" t="s">
        <v>401</v>
      </c>
      <c r="B1056" s="34">
        <v>0</v>
      </c>
    </row>
    <row r="1057" spans="1:2" x14ac:dyDescent="0.2">
      <c r="A1057" s="28" t="s">
        <v>50</v>
      </c>
      <c r="B1057" s="34">
        <v>2</v>
      </c>
    </row>
    <row r="1058" spans="1:2" x14ac:dyDescent="0.2">
      <c r="A1058" s="28" t="s">
        <v>117</v>
      </c>
      <c r="B1058" s="34">
        <v>0</v>
      </c>
    </row>
    <row r="1059" spans="1:2" x14ac:dyDescent="0.2">
      <c r="A1059" s="28" t="s">
        <v>513</v>
      </c>
      <c r="B1059" s="34">
        <v>0</v>
      </c>
    </row>
    <row r="1060" spans="1:2" x14ac:dyDescent="0.2">
      <c r="A1060" s="28" t="s">
        <v>145</v>
      </c>
      <c r="B1060" s="34">
        <v>1</v>
      </c>
    </row>
    <row r="1061" spans="1:2" x14ac:dyDescent="0.2">
      <c r="A1061" s="28" t="s">
        <v>520</v>
      </c>
      <c r="B1061" s="34">
        <v>1</v>
      </c>
    </row>
    <row r="1062" spans="1:2" x14ac:dyDescent="0.2">
      <c r="A1062" s="28" t="s">
        <v>138</v>
      </c>
      <c r="B1062" s="34">
        <v>0</v>
      </c>
    </row>
    <row r="1063" spans="1:2" x14ac:dyDescent="0.2">
      <c r="A1063" s="28" t="s">
        <v>513</v>
      </c>
      <c r="B1063" s="34">
        <v>0</v>
      </c>
    </row>
    <row r="1064" spans="1:2" x14ac:dyDescent="0.2">
      <c r="A1064" s="28" t="s">
        <v>145</v>
      </c>
      <c r="B1064" s="34">
        <v>0</v>
      </c>
    </row>
    <row r="1065" spans="1:2" x14ac:dyDescent="0.2">
      <c r="A1065" s="28" t="s">
        <v>34</v>
      </c>
      <c r="B1065" s="34">
        <v>1</v>
      </c>
    </row>
    <row r="1066" spans="1:2" x14ac:dyDescent="0.2">
      <c r="A1066" s="28" t="s">
        <v>496</v>
      </c>
      <c r="B1066" s="34">
        <v>1</v>
      </c>
    </row>
    <row r="1067" spans="1:2" x14ac:dyDescent="0.2">
      <c r="A1067" s="28" t="s">
        <v>401</v>
      </c>
      <c r="B1067" s="34">
        <v>1</v>
      </c>
    </row>
    <row r="1068" spans="1:2" x14ac:dyDescent="0.2">
      <c r="A1068" s="28" t="s">
        <v>223</v>
      </c>
      <c r="B1068" s="34">
        <v>2</v>
      </c>
    </row>
    <row r="1069" spans="1:2" x14ac:dyDescent="0.2">
      <c r="A1069" s="28" t="s">
        <v>520</v>
      </c>
      <c r="B1069" s="34">
        <v>0</v>
      </c>
    </row>
    <row r="1070" spans="1:2" x14ac:dyDescent="0.2">
      <c r="A1070" s="28" t="s">
        <v>72</v>
      </c>
      <c r="B1070" s="34">
        <v>0</v>
      </c>
    </row>
    <row r="1071" spans="1:2" x14ac:dyDescent="0.2">
      <c r="A1071" s="28" t="s">
        <v>51</v>
      </c>
      <c r="B1071" s="34">
        <v>0</v>
      </c>
    </row>
    <row r="1072" spans="1:2" x14ac:dyDescent="0.2">
      <c r="A1072" s="28" t="s">
        <v>50</v>
      </c>
      <c r="B1072" s="34">
        <v>1</v>
      </c>
    </row>
    <row r="1073" spans="1:2" x14ac:dyDescent="0.2">
      <c r="A1073" s="28" t="s">
        <v>520</v>
      </c>
      <c r="B1073" s="34">
        <v>2</v>
      </c>
    </row>
    <row r="1074" spans="1:2" x14ac:dyDescent="0.2">
      <c r="A1074" s="28" t="s">
        <v>496</v>
      </c>
      <c r="B1074" s="34">
        <v>0</v>
      </c>
    </row>
    <row r="1075" spans="1:2" x14ac:dyDescent="0.2">
      <c r="A1075" s="28" t="s">
        <v>513</v>
      </c>
      <c r="B1075" s="34">
        <v>0</v>
      </c>
    </row>
    <row r="1076" spans="1:2" x14ac:dyDescent="0.2">
      <c r="A1076" s="28" t="s">
        <v>145</v>
      </c>
      <c r="B1076" s="34">
        <v>1</v>
      </c>
    </row>
    <row r="1077" spans="1:2" x14ac:dyDescent="0.2">
      <c r="A1077" s="28" t="s">
        <v>34</v>
      </c>
      <c r="B1077" s="34">
        <v>0</v>
      </c>
    </row>
    <row r="1078" spans="1:2" x14ac:dyDescent="0.2">
      <c r="A1078" s="28" t="s">
        <v>25</v>
      </c>
      <c r="B1078" s="34">
        <v>0</v>
      </c>
    </row>
    <row r="1079" spans="1:2" x14ac:dyDescent="0.2">
      <c r="A1079" s="28" t="s">
        <v>223</v>
      </c>
      <c r="B1079" s="34">
        <v>1</v>
      </c>
    </row>
    <row r="1080" spans="1:2" x14ac:dyDescent="0.2">
      <c r="A1080" s="28" t="s">
        <v>51</v>
      </c>
      <c r="B1080" s="34">
        <v>2</v>
      </c>
    </row>
    <row r="1081" spans="1:2" x14ac:dyDescent="0.2">
      <c r="A1081" s="28" t="s">
        <v>332</v>
      </c>
      <c r="B1081" s="34">
        <v>2</v>
      </c>
    </row>
    <row r="1082" spans="1:2" x14ac:dyDescent="0.2">
      <c r="A1082" s="28" t="s">
        <v>72</v>
      </c>
      <c r="B1082" s="34">
        <v>0</v>
      </c>
    </row>
    <row r="1083" spans="1:2" x14ac:dyDescent="0.2">
      <c r="A1083" s="28" t="s">
        <v>285</v>
      </c>
      <c r="B1083" s="34">
        <v>1</v>
      </c>
    </row>
    <row r="1084" spans="1:2" x14ac:dyDescent="0.2">
      <c r="A1084" s="28" t="s">
        <v>72</v>
      </c>
      <c r="B1084" s="34">
        <v>3</v>
      </c>
    </row>
    <row r="1085" spans="1:2" x14ac:dyDescent="0.2">
      <c r="A1085" s="28" t="s">
        <v>138</v>
      </c>
      <c r="B1085" s="34">
        <v>0</v>
      </c>
    </row>
    <row r="1086" spans="1:2" x14ac:dyDescent="0.2">
      <c r="A1086" s="28" t="s">
        <v>41</v>
      </c>
      <c r="B1086" s="34">
        <v>1</v>
      </c>
    </row>
    <row r="1087" spans="1:2" x14ac:dyDescent="0.2">
      <c r="A1087" s="28" t="s">
        <v>61</v>
      </c>
      <c r="B1087" s="34">
        <v>0</v>
      </c>
    </row>
    <row r="1088" spans="1:2" x14ac:dyDescent="0.2">
      <c r="A1088" s="28" t="s">
        <v>556</v>
      </c>
      <c r="B1088" s="34">
        <v>0</v>
      </c>
    </row>
    <row r="1089" spans="1:2" x14ac:dyDescent="0.2">
      <c r="A1089" s="28" t="s">
        <v>272</v>
      </c>
      <c r="B1089" s="34">
        <v>0</v>
      </c>
    </row>
    <row r="1090" spans="1:2" x14ac:dyDescent="0.2">
      <c r="A1090" s="28" t="s">
        <v>109</v>
      </c>
      <c r="B1090" s="34">
        <v>2</v>
      </c>
    </row>
    <row r="1091" spans="1:2" x14ac:dyDescent="0.2">
      <c r="A1091" s="28" t="s">
        <v>401</v>
      </c>
      <c r="B1091" s="34">
        <v>2</v>
      </c>
    </row>
    <row r="1092" spans="1:2" x14ac:dyDescent="0.2">
      <c r="A1092" s="28" t="s">
        <v>582</v>
      </c>
      <c r="B1092" s="34">
        <v>0</v>
      </c>
    </row>
    <row r="1093" spans="1:2" x14ac:dyDescent="0.2">
      <c r="A1093" s="28" t="s">
        <v>56</v>
      </c>
      <c r="B1093" s="34">
        <v>1</v>
      </c>
    </row>
    <row r="1094" spans="1:2" x14ac:dyDescent="0.2">
      <c r="A1094" s="28" t="s">
        <v>285</v>
      </c>
      <c r="B1094" s="34">
        <v>2</v>
      </c>
    </row>
    <row r="1095" spans="1:2" x14ac:dyDescent="0.2">
      <c r="A1095" s="28" t="s">
        <v>42</v>
      </c>
      <c r="B1095" s="34">
        <v>3</v>
      </c>
    </row>
    <row r="1096" spans="1:2" x14ac:dyDescent="0.2">
      <c r="A1096" s="28" t="s">
        <v>555</v>
      </c>
      <c r="B1096" s="34">
        <v>0</v>
      </c>
    </row>
    <row r="1097" spans="1:2" x14ac:dyDescent="0.2">
      <c r="A1097" s="28" t="s">
        <v>564</v>
      </c>
      <c r="B1097" s="34">
        <v>1</v>
      </c>
    </row>
    <row r="1098" spans="1:2" x14ac:dyDescent="0.2">
      <c r="A1098" s="28" t="s">
        <v>117</v>
      </c>
      <c r="B1098" s="34">
        <v>0</v>
      </c>
    </row>
    <row r="1099" spans="1:2" x14ac:dyDescent="0.2">
      <c r="A1099" s="28" t="s">
        <v>72</v>
      </c>
      <c r="B1099" s="34">
        <v>0</v>
      </c>
    </row>
    <row r="1100" spans="1:2" x14ac:dyDescent="0.2">
      <c r="A1100" s="28" t="s">
        <v>190</v>
      </c>
      <c r="B1100" s="34">
        <v>1</v>
      </c>
    </row>
    <row r="1101" spans="1:2" x14ac:dyDescent="0.2">
      <c r="A1101" s="28" t="s">
        <v>138</v>
      </c>
      <c r="B1101" s="34">
        <v>7</v>
      </c>
    </row>
    <row r="1102" spans="1:2" x14ac:dyDescent="0.2">
      <c r="A1102" s="28" t="s">
        <v>41</v>
      </c>
      <c r="B1102" s="34">
        <v>1</v>
      </c>
    </row>
    <row r="1103" spans="1:2" x14ac:dyDescent="0.2">
      <c r="A1103" s="28" t="s">
        <v>61</v>
      </c>
      <c r="B1103" s="34">
        <v>1</v>
      </c>
    </row>
    <row r="1104" spans="1:2" x14ac:dyDescent="0.2">
      <c r="A1104" s="28" t="s">
        <v>42</v>
      </c>
      <c r="B1104" s="34">
        <v>0</v>
      </c>
    </row>
    <row r="1105" spans="1:2" x14ac:dyDescent="0.2">
      <c r="A1105" s="28" t="s">
        <v>285</v>
      </c>
      <c r="B1105" s="34">
        <v>3</v>
      </c>
    </row>
    <row r="1106" spans="1:2" x14ac:dyDescent="0.2">
      <c r="A1106" s="28" t="s">
        <v>109</v>
      </c>
      <c r="B1106" s="34">
        <v>0</v>
      </c>
    </row>
    <row r="1107" spans="1:2" x14ac:dyDescent="0.2">
      <c r="A1107" s="28" t="s">
        <v>582</v>
      </c>
      <c r="B1107" s="34">
        <v>4</v>
      </c>
    </row>
    <row r="1108" spans="1:2" x14ac:dyDescent="0.2">
      <c r="A1108" s="28" t="s">
        <v>72</v>
      </c>
      <c r="B1108" s="34">
        <v>1</v>
      </c>
    </row>
    <row r="1109" spans="1:2" x14ac:dyDescent="0.2">
      <c r="A1109" s="28" t="s">
        <v>138</v>
      </c>
      <c r="B1109" s="34">
        <v>0</v>
      </c>
    </row>
    <row r="1110" spans="1:2" x14ac:dyDescent="0.2">
      <c r="A1110" s="28" t="s">
        <v>285</v>
      </c>
      <c r="B1110" s="34">
        <v>1</v>
      </c>
    </row>
    <row r="1111" spans="1:2" x14ac:dyDescent="0.2">
      <c r="A1111" s="28" t="s">
        <v>555</v>
      </c>
      <c r="B1111" s="34">
        <v>2</v>
      </c>
    </row>
    <row r="1112" spans="1:2" x14ac:dyDescent="0.2">
      <c r="A1112" s="28" t="s">
        <v>56</v>
      </c>
      <c r="B1112" s="34">
        <v>0</v>
      </c>
    </row>
    <row r="1113" spans="1:2" x14ac:dyDescent="0.2">
      <c r="A1113" s="28" t="s">
        <v>190</v>
      </c>
      <c r="B1113" s="34">
        <v>0</v>
      </c>
    </row>
    <row r="1114" spans="1:2" x14ac:dyDescent="0.2">
      <c r="A1114" s="28" t="s">
        <v>42</v>
      </c>
      <c r="B1114" s="34">
        <v>1</v>
      </c>
    </row>
    <row r="1115" spans="1:2" x14ac:dyDescent="0.2">
      <c r="A1115" s="28" t="s">
        <v>41</v>
      </c>
      <c r="B1115" s="34">
        <v>2</v>
      </c>
    </row>
    <row r="1116" spans="1:2" x14ac:dyDescent="0.2">
      <c r="A1116" s="28" t="s">
        <v>109</v>
      </c>
      <c r="B1116" s="34">
        <v>1</v>
      </c>
    </row>
    <row r="1117" spans="1:2" x14ac:dyDescent="0.2">
      <c r="A1117" s="28" t="s">
        <v>117</v>
      </c>
      <c r="B1117" s="34">
        <v>2</v>
      </c>
    </row>
    <row r="1118" spans="1:2" x14ac:dyDescent="0.2">
      <c r="A1118" s="28" t="s">
        <v>285</v>
      </c>
      <c r="B1118" s="34">
        <v>2</v>
      </c>
    </row>
    <row r="1119" spans="1:2" x14ac:dyDescent="0.2">
      <c r="A1119" s="28" t="s">
        <v>42</v>
      </c>
      <c r="B1119" s="34">
        <v>1</v>
      </c>
    </row>
    <row r="1120" spans="1:2" x14ac:dyDescent="0.2">
      <c r="A1120" s="28" t="s">
        <v>555</v>
      </c>
      <c r="B1120" s="34">
        <v>0</v>
      </c>
    </row>
    <row r="1121" spans="1:2" x14ac:dyDescent="0.2">
      <c r="A1121" s="28" t="s">
        <v>41</v>
      </c>
      <c r="B1121" s="34">
        <v>1</v>
      </c>
    </row>
    <row r="1122" spans="1:2" x14ac:dyDescent="0.2">
      <c r="A1122" s="28" t="s">
        <v>190</v>
      </c>
      <c r="B1122" s="34">
        <v>1</v>
      </c>
    </row>
    <row r="1123" spans="1:2" x14ac:dyDescent="0.2">
      <c r="A1123" s="28" t="s">
        <v>285</v>
      </c>
      <c r="B1123" s="34">
        <v>1</v>
      </c>
    </row>
    <row r="1124" spans="1:2" x14ac:dyDescent="0.2">
      <c r="A1124" s="28" t="s">
        <v>190</v>
      </c>
      <c r="B1124" s="34">
        <v>2</v>
      </c>
    </row>
    <row r="1125" spans="1:2" x14ac:dyDescent="0.2">
      <c r="A1125" s="28" t="s">
        <v>24</v>
      </c>
      <c r="B1125" s="34">
        <v>0</v>
      </c>
    </row>
    <row r="1126" spans="1:2" x14ac:dyDescent="0.2">
      <c r="A1126" s="28" t="s">
        <v>25</v>
      </c>
      <c r="B1126" s="34">
        <v>1</v>
      </c>
    </row>
    <row r="1127" spans="1:2" x14ac:dyDescent="0.2">
      <c r="A1127" s="28" t="s">
        <v>99</v>
      </c>
      <c r="B1127" s="34">
        <v>1</v>
      </c>
    </row>
    <row r="1128" spans="1:2" x14ac:dyDescent="0.2">
      <c r="A1128" s="28" t="s">
        <v>42</v>
      </c>
      <c r="B1128" s="34">
        <v>1</v>
      </c>
    </row>
    <row r="1129" spans="1:2" x14ac:dyDescent="0.2">
      <c r="A1129" s="28" t="s">
        <v>131</v>
      </c>
      <c r="B1129" s="34">
        <v>1</v>
      </c>
    </row>
    <row r="1130" spans="1:2" x14ac:dyDescent="0.2">
      <c r="A1130" s="28" t="s">
        <v>272</v>
      </c>
      <c r="B1130" s="34">
        <v>1</v>
      </c>
    </row>
    <row r="1131" spans="1:2" x14ac:dyDescent="0.2">
      <c r="A1131" s="28" t="s">
        <v>648</v>
      </c>
      <c r="B1131" s="34">
        <v>1</v>
      </c>
    </row>
    <row r="1132" spans="1:2" x14ac:dyDescent="0.2">
      <c r="A1132" s="28" t="s">
        <v>99</v>
      </c>
      <c r="B1132" s="34">
        <v>0</v>
      </c>
    </row>
    <row r="1133" spans="1:2" x14ac:dyDescent="0.2">
      <c r="A1133" s="28" t="s">
        <v>628</v>
      </c>
      <c r="B1133" s="34">
        <v>1</v>
      </c>
    </row>
    <row r="1134" spans="1:2" x14ac:dyDescent="0.2">
      <c r="A1134" s="28" t="s">
        <v>25</v>
      </c>
      <c r="B1134" s="34">
        <v>0</v>
      </c>
    </row>
    <row r="1135" spans="1:2" x14ac:dyDescent="0.2">
      <c r="A1135" s="28" t="s">
        <v>24</v>
      </c>
      <c r="B1135" s="34">
        <v>0</v>
      </c>
    </row>
    <row r="1136" spans="1:2" x14ac:dyDescent="0.2">
      <c r="A1136" s="28" t="s">
        <v>131</v>
      </c>
      <c r="B1136" s="34">
        <v>1</v>
      </c>
    </row>
    <row r="1137" spans="1:2" x14ac:dyDescent="0.2">
      <c r="A1137" s="28" t="s">
        <v>117</v>
      </c>
      <c r="B1137" s="34">
        <v>0</v>
      </c>
    </row>
    <row r="1138" spans="1:2" x14ac:dyDescent="0.2">
      <c r="A1138" s="28" t="s">
        <v>648</v>
      </c>
      <c r="B1138" s="34">
        <v>0</v>
      </c>
    </row>
    <row r="1139" spans="1:2" x14ac:dyDescent="0.2">
      <c r="A1139" s="28" t="s">
        <v>51</v>
      </c>
      <c r="B1139" s="34">
        <v>1</v>
      </c>
    </row>
    <row r="1140" spans="1:2" x14ac:dyDescent="0.2">
      <c r="A1140" s="28" t="s">
        <v>99</v>
      </c>
      <c r="B1140" s="34">
        <v>0</v>
      </c>
    </row>
    <row r="1141" spans="1:2" x14ac:dyDescent="0.2">
      <c r="A1141" s="28" t="s">
        <v>25</v>
      </c>
      <c r="B1141" s="34">
        <v>1</v>
      </c>
    </row>
    <row r="1142" spans="1:2" x14ac:dyDescent="0.2">
      <c r="A1142" s="28" t="s">
        <v>628</v>
      </c>
      <c r="B1142" s="34">
        <v>1</v>
      </c>
    </row>
    <row r="1143" spans="1:2" x14ac:dyDescent="0.2">
      <c r="A1143" s="28" t="s">
        <v>56</v>
      </c>
      <c r="B1143" s="34">
        <v>0</v>
      </c>
    </row>
    <row r="1144" spans="1:2" x14ac:dyDescent="0.2">
      <c r="A1144" s="28" t="s">
        <v>91</v>
      </c>
      <c r="B1144" s="34">
        <v>0</v>
      </c>
    </row>
    <row r="1145" spans="1:2" x14ac:dyDescent="0.2">
      <c r="A1145" s="28" t="s">
        <v>117</v>
      </c>
      <c r="B1145" s="34">
        <v>0</v>
      </c>
    </row>
    <row r="1146" spans="1:2" x14ac:dyDescent="0.2">
      <c r="A1146" s="28" t="s">
        <v>669</v>
      </c>
      <c r="B1146" s="34">
        <v>0</v>
      </c>
    </row>
    <row r="1147" spans="1:2" x14ac:dyDescent="0.2">
      <c r="A1147" s="28" t="s">
        <v>109</v>
      </c>
      <c r="B1147" s="34">
        <v>1</v>
      </c>
    </row>
    <row r="1148" spans="1:2" x14ac:dyDescent="0.2">
      <c r="A1148" s="28" t="s">
        <v>138</v>
      </c>
      <c r="B1148" s="34">
        <v>2</v>
      </c>
    </row>
    <row r="1149" spans="1:2" x14ac:dyDescent="0.2">
      <c r="A1149" s="28" t="s">
        <v>91</v>
      </c>
      <c r="B1149" s="34">
        <v>0</v>
      </c>
    </row>
    <row r="1150" spans="1:2" x14ac:dyDescent="0.2">
      <c r="A1150" s="28" t="s">
        <v>51</v>
      </c>
      <c r="B1150" s="34">
        <v>1</v>
      </c>
    </row>
    <row r="1151" spans="1:2" x14ac:dyDescent="0.2">
      <c r="A1151" s="28" t="s">
        <v>190</v>
      </c>
      <c r="B1151" s="34">
        <v>0</v>
      </c>
    </row>
    <row r="1152" spans="1:2" x14ac:dyDescent="0.2">
      <c r="A1152" s="28" t="s">
        <v>51</v>
      </c>
      <c r="B1152" s="34">
        <v>0</v>
      </c>
    </row>
    <row r="1153" spans="1:2" x14ac:dyDescent="0.2">
      <c r="A1153" s="28" t="s">
        <v>91</v>
      </c>
      <c r="B1153" s="34">
        <v>0</v>
      </c>
    </row>
    <row r="1154" spans="1:2" x14ac:dyDescent="0.2">
      <c r="A1154" s="28" t="s">
        <v>109</v>
      </c>
      <c r="B1154" s="34">
        <v>0</v>
      </c>
    </row>
    <row r="1155" spans="1:2" x14ac:dyDescent="0.2">
      <c r="A1155" s="28" t="s">
        <v>42</v>
      </c>
      <c r="B1155" s="34">
        <v>2</v>
      </c>
    </row>
    <row r="1156" spans="1:2" x14ac:dyDescent="0.2">
      <c r="A1156" s="28" t="s">
        <v>138</v>
      </c>
      <c r="B1156" s="34">
        <v>0</v>
      </c>
    </row>
    <row r="1157" spans="1:2" x14ac:dyDescent="0.2">
      <c r="A1157" s="28" t="s">
        <v>285</v>
      </c>
      <c r="B1157" s="34">
        <v>1</v>
      </c>
    </row>
    <row r="1158" spans="1:2" x14ac:dyDescent="0.2">
      <c r="A1158" s="28" t="s">
        <v>190</v>
      </c>
      <c r="B1158" s="34">
        <v>2</v>
      </c>
    </row>
    <row r="1159" spans="1:2" x14ac:dyDescent="0.2">
      <c r="A1159" s="28" t="s">
        <v>51</v>
      </c>
      <c r="B1159" s="34">
        <v>1</v>
      </c>
    </row>
    <row r="1160" spans="1:2" x14ac:dyDescent="0.2">
      <c r="A1160" s="28" t="s">
        <v>138</v>
      </c>
      <c r="B1160" s="34">
        <v>0</v>
      </c>
    </row>
    <row r="1161" spans="1:2" x14ac:dyDescent="0.2">
      <c r="A1161" s="28" t="s">
        <v>109</v>
      </c>
      <c r="B1161" s="34">
        <v>1</v>
      </c>
    </row>
    <row r="1162" spans="1:2" x14ac:dyDescent="0.2">
      <c r="A1162" s="28" t="s">
        <v>34</v>
      </c>
      <c r="B1162" s="34">
        <v>1</v>
      </c>
    </row>
    <row r="1163" spans="1:2" x14ac:dyDescent="0.2">
      <c r="A1163" s="28" t="s">
        <v>190</v>
      </c>
      <c r="B1163" s="34">
        <v>1</v>
      </c>
    </row>
    <row r="1164" spans="1:2" x14ac:dyDescent="0.2">
      <c r="A1164" s="28" t="s">
        <v>332</v>
      </c>
      <c r="B1164" s="34">
        <v>0</v>
      </c>
    </row>
    <row r="1165" spans="1:2" x14ac:dyDescent="0.2">
      <c r="A1165" s="28" t="s">
        <v>700</v>
      </c>
      <c r="B1165" s="34">
        <v>1</v>
      </c>
    </row>
    <row r="1166" spans="1:2" x14ac:dyDescent="0.2">
      <c r="A1166" s="28" t="s">
        <v>520</v>
      </c>
      <c r="B1166" s="34">
        <v>0</v>
      </c>
    </row>
    <row r="1167" spans="1:2" x14ac:dyDescent="0.2">
      <c r="A1167" s="28" t="s">
        <v>710</v>
      </c>
      <c r="B1167" s="34">
        <v>1</v>
      </c>
    </row>
    <row r="1168" spans="1:2" x14ac:dyDescent="0.2">
      <c r="A1168" s="28" t="s">
        <v>718</v>
      </c>
      <c r="B1168" s="34">
        <v>2</v>
      </c>
    </row>
    <row r="1169" spans="1:2" x14ac:dyDescent="0.2">
      <c r="A1169" s="28" t="s">
        <v>24</v>
      </c>
      <c r="B1169" s="34">
        <v>2</v>
      </c>
    </row>
    <row r="1170" spans="1:2" x14ac:dyDescent="0.2">
      <c r="A1170" s="28" t="s">
        <v>730</v>
      </c>
      <c r="B1170" s="34">
        <v>1</v>
      </c>
    </row>
    <row r="1171" spans="1:2" x14ac:dyDescent="0.2">
      <c r="A1171" s="28" t="s">
        <v>91</v>
      </c>
      <c r="B1171" s="34">
        <v>1</v>
      </c>
    </row>
    <row r="1172" spans="1:2" x14ac:dyDescent="0.2">
      <c r="A1172" s="28" t="s">
        <v>741</v>
      </c>
      <c r="B1172" s="34">
        <v>1</v>
      </c>
    </row>
    <row r="1173" spans="1:2" x14ac:dyDescent="0.2">
      <c r="A1173" s="28" t="s">
        <v>360</v>
      </c>
      <c r="B1173" s="34">
        <v>1</v>
      </c>
    </row>
    <row r="1174" spans="1:2" x14ac:dyDescent="0.2">
      <c r="A1174" s="28" t="s">
        <v>51</v>
      </c>
      <c r="B1174" s="34">
        <v>0</v>
      </c>
    </row>
    <row r="1175" spans="1:2" x14ac:dyDescent="0.2">
      <c r="A1175" s="28" t="s">
        <v>99</v>
      </c>
      <c r="B1175" s="34">
        <v>1</v>
      </c>
    </row>
    <row r="1176" spans="1:2" x14ac:dyDescent="0.2">
      <c r="A1176" s="28" t="s">
        <v>272</v>
      </c>
      <c r="B1176" s="34">
        <v>1</v>
      </c>
    </row>
    <row r="1177" spans="1:2" x14ac:dyDescent="0.2">
      <c r="A1177" s="28" t="s">
        <v>700</v>
      </c>
      <c r="B1177" s="34">
        <v>1</v>
      </c>
    </row>
    <row r="1178" spans="1:2" x14ac:dyDescent="0.2">
      <c r="A1178" s="28" t="s">
        <v>520</v>
      </c>
      <c r="B1178" s="34">
        <v>0</v>
      </c>
    </row>
    <row r="1179" spans="1:2" x14ac:dyDescent="0.2">
      <c r="A1179" s="28" t="s">
        <v>710</v>
      </c>
      <c r="B1179" s="34">
        <v>0</v>
      </c>
    </row>
    <row r="1180" spans="1:2" x14ac:dyDescent="0.2">
      <c r="A1180" s="28" t="s">
        <v>61</v>
      </c>
      <c r="B1180" s="34">
        <v>0</v>
      </c>
    </row>
    <row r="1181" spans="1:2" x14ac:dyDescent="0.2">
      <c r="A1181" s="28" t="s">
        <v>145</v>
      </c>
      <c r="B1181" s="34">
        <v>1</v>
      </c>
    </row>
    <row r="1182" spans="1:2" x14ac:dyDescent="0.2">
      <c r="A1182" s="28" t="s">
        <v>41</v>
      </c>
      <c r="B1182" s="34">
        <v>0</v>
      </c>
    </row>
    <row r="1183" spans="1:2" x14ac:dyDescent="0.2">
      <c r="A1183" s="28" t="s">
        <v>91</v>
      </c>
      <c r="B1183" s="34">
        <v>1</v>
      </c>
    </row>
    <row r="1184" spans="1:2" x14ac:dyDescent="0.2">
      <c r="A1184" s="28" t="s">
        <v>741</v>
      </c>
      <c r="B1184" s="34">
        <v>2</v>
      </c>
    </row>
    <row r="1185" spans="1:2" x14ac:dyDescent="0.2">
      <c r="A1185" s="28" t="s">
        <v>360</v>
      </c>
      <c r="B1185" s="34">
        <v>1</v>
      </c>
    </row>
    <row r="1186" spans="1:2" x14ac:dyDescent="0.2">
      <c r="A1186" s="28" t="s">
        <v>51</v>
      </c>
      <c r="B1186" s="34">
        <v>1</v>
      </c>
    </row>
    <row r="1187" spans="1:2" x14ac:dyDescent="0.2">
      <c r="A1187" s="28" t="s">
        <v>99</v>
      </c>
      <c r="B1187" s="34">
        <v>1</v>
      </c>
    </row>
    <row r="1188" spans="1:2" x14ac:dyDescent="0.2">
      <c r="A1188" s="28" t="s">
        <v>272</v>
      </c>
      <c r="B1188" s="34">
        <v>1</v>
      </c>
    </row>
    <row r="1189" spans="1:2" x14ac:dyDescent="0.2">
      <c r="A1189" s="28" t="s">
        <v>700</v>
      </c>
      <c r="B1189" s="34">
        <v>2</v>
      </c>
    </row>
    <row r="1190" spans="1:2" x14ac:dyDescent="0.2">
      <c r="A1190" s="28" t="s">
        <v>520</v>
      </c>
      <c r="B1190" s="34">
        <v>1</v>
      </c>
    </row>
    <row r="1191" spans="1:2" x14ac:dyDescent="0.2">
      <c r="A1191" s="28" t="s">
        <v>710</v>
      </c>
      <c r="B1191" s="34">
        <v>0</v>
      </c>
    </row>
    <row r="1192" spans="1:2" x14ac:dyDescent="0.2">
      <c r="A1192" s="28" t="s">
        <v>61</v>
      </c>
      <c r="B1192" s="34">
        <v>0</v>
      </c>
    </row>
    <row r="1193" spans="1:2" x14ac:dyDescent="0.2">
      <c r="A1193" s="28" t="s">
        <v>145</v>
      </c>
      <c r="B1193" s="34">
        <v>2</v>
      </c>
    </row>
    <row r="1194" spans="1:2" x14ac:dyDescent="0.2">
      <c r="A1194" s="28" t="s">
        <v>41</v>
      </c>
      <c r="B1194" s="34">
        <v>1</v>
      </c>
    </row>
    <row r="1195" spans="1:2" x14ac:dyDescent="0.2">
      <c r="A1195" s="28" t="s">
        <v>91</v>
      </c>
      <c r="B1195" s="34">
        <v>1</v>
      </c>
    </row>
    <row r="1196" spans="1:2" x14ac:dyDescent="0.2">
      <c r="A1196" s="28" t="s">
        <v>741</v>
      </c>
      <c r="B1196" s="34">
        <v>0</v>
      </c>
    </row>
    <row r="1197" spans="1:2" x14ac:dyDescent="0.2">
      <c r="A1197" s="28" t="s">
        <v>131</v>
      </c>
      <c r="B1197" s="34">
        <v>0</v>
      </c>
    </row>
    <row r="1198" spans="1:2" x14ac:dyDescent="0.2">
      <c r="A1198" s="28" t="s">
        <v>24</v>
      </c>
      <c r="B1198" s="34">
        <v>0</v>
      </c>
    </row>
    <row r="1199" spans="1:2" x14ac:dyDescent="0.2">
      <c r="A1199" s="28" t="s">
        <v>34</v>
      </c>
      <c r="B1199" s="34">
        <v>1</v>
      </c>
    </row>
    <row r="1200" spans="1:2" x14ac:dyDescent="0.2">
      <c r="A1200" s="28" t="s">
        <v>56</v>
      </c>
      <c r="B1200" s="34">
        <v>0</v>
      </c>
    </row>
    <row r="1201" spans="1:2" x14ac:dyDescent="0.2">
      <c r="A1201" s="28" t="s">
        <v>223</v>
      </c>
      <c r="B1201" s="34">
        <v>1</v>
      </c>
    </row>
    <row r="1202" spans="1:2" x14ac:dyDescent="0.2">
      <c r="A1202" s="28" t="s">
        <v>360</v>
      </c>
      <c r="B1202" s="34">
        <v>0</v>
      </c>
    </row>
    <row r="1203" spans="1:2" x14ac:dyDescent="0.2">
      <c r="A1203" s="28" t="s">
        <v>332</v>
      </c>
      <c r="B1203" s="34">
        <v>2</v>
      </c>
    </row>
    <row r="1204" spans="1:2" x14ac:dyDescent="0.2">
      <c r="A1204" s="28" t="s">
        <v>42</v>
      </c>
      <c r="B1204" s="34">
        <v>1</v>
      </c>
    </row>
    <row r="1205" spans="1:2" x14ac:dyDescent="0.2">
      <c r="A1205" s="28" t="s">
        <v>131</v>
      </c>
      <c r="B1205" s="34">
        <v>3</v>
      </c>
    </row>
    <row r="1206" spans="1:2" x14ac:dyDescent="0.2">
      <c r="A1206" s="28" t="s">
        <v>360</v>
      </c>
      <c r="B1206" s="34">
        <v>1</v>
      </c>
    </row>
    <row r="1207" spans="1:2" x14ac:dyDescent="0.2">
      <c r="A1207" s="28" t="s">
        <v>332</v>
      </c>
      <c r="B1207" s="34">
        <v>1</v>
      </c>
    </row>
    <row r="1208" spans="1:2" x14ac:dyDescent="0.2">
      <c r="A1208" s="28" t="s">
        <v>42</v>
      </c>
      <c r="B1208" s="34">
        <v>0</v>
      </c>
    </row>
    <row r="1209" spans="1:2" x14ac:dyDescent="0.2">
      <c r="A1209" s="28" t="s">
        <v>223</v>
      </c>
      <c r="B1209" s="34">
        <v>2</v>
      </c>
    </row>
    <row r="1210" spans="1:2" x14ac:dyDescent="0.2">
      <c r="A1210" s="28" t="s">
        <v>138</v>
      </c>
      <c r="B1210" s="34">
        <v>0</v>
      </c>
    </row>
    <row r="1211" spans="1:2" x14ac:dyDescent="0.2">
      <c r="A1211" s="28" t="s">
        <v>24</v>
      </c>
      <c r="B1211" s="34">
        <v>2</v>
      </c>
    </row>
    <row r="1212" spans="1:2" x14ac:dyDescent="0.2">
      <c r="A1212" s="28" t="s">
        <v>24</v>
      </c>
      <c r="B1212" s="34">
        <v>3</v>
      </c>
    </row>
    <row r="1213" spans="1:2" x14ac:dyDescent="0.2">
      <c r="A1213" s="28" t="s">
        <v>285</v>
      </c>
      <c r="B1213" s="34">
        <v>2</v>
      </c>
    </row>
    <row r="1214" spans="1:2" x14ac:dyDescent="0.2">
      <c r="A1214" s="28" t="s">
        <v>138</v>
      </c>
      <c r="B1214" s="34">
        <v>1</v>
      </c>
    </row>
    <row r="1215" spans="1:2" x14ac:dyDescent="0.2">
      <c r="A1215" s="28" t="s">
        <v>24</v>
      </c>
      <c r="B1215" s="34">
        <v>1</v>
      </c>
    </row>
    <row r="1216" spans="1:2" x14ac:dyDescent="0.2">
      <c r="A1216" s="28" t="s">
        <v>42</v>
      </c>
      <c r="B1216" s="34">
        <v>1</v>
      </c>
    </row>
    <row r="1217" spans="1:2" x14ac:dyDescent="0.2">
      <c r="A1217" s="28" t="s">
        <v>99</v>
      </c>
      <c r="B1217" s="34">
        <v>1</v>
      </c>
    </row>
    <row r="1218" spans="1:2" x14ac:dyDescent="0.2">
      <c r="A1218" s="28" t="s">
        <v>291</v>
      </c>
      <c r="B1218" s="34">
        <v>0</v>
      </c>
    </row>
    <row r="1219" spans="1:2" x14ac:dyDescent="0.2">
      <c r="A1219" s="28" t="s">
        <v>190</v>
      </c>
      <c r="B1219" s="34">
        <v>1</v>
      </c>
    </row>
    <row r="1220" spans="1:2" x14ac:dyDescent="0.2">
      <c r="A1220" s="28" t="s">
        <v>360</v>
      </c>
      <c r="B1220" s="34">
        <v>0</v>
      </c>
    </row>
    <row r="1221" spans="1:2" x14ac:dyDescent="0.2">
      <c r="A1221" s="28" t="s">
        <v>25</v>
      </c>
      <c r="B1221" s="34">
        <v>1</v>
      </c>
    </row>
    <row r="1222" spans="1:2" x14ac:dyDescent="0.2">
      <c r="A1222" s="28" t="s">
        <v>223</v>
      </c>
      <c r="B1222" s="34">
        <v>2</v>
      </c>
    </row>
    <row r="1223" spans="1:2" x14ac:dyDescent="0.2">
      <c r="A1223" s="28" t="s">
        <v>842</v>
      </c>
      <c r="B1223" s="34">
        <v>0</v>
      </c>
    </row>
    <row r="1224" spans="1:2" x14ac:dyDescent="0.2">
      <c r="A1224" s="28" t="s">
        <v>849</v>
      </c>
      <c r="B1224" s="34">
        <v>0</v>
      </c>
    </row>
    <row r="1225" spans="1:2" x14ac:dyDescent="0.2">
      <c r="A1225" s="28" t="s">
        <v>285</v>
      </c>
      <c r="B1225" s="34">
        <v>1</v>
      </c>
    </row>
    <row r="1226" spans="1:2" x14ac:dyDescent="0.2">
      <c r="A1226" s="28" t="s">
        <v>56</v>
      </c>
      <c r="B1226" s="34">
        <v>1</v>
      </c>
    </row>
    <row r="1227" spans="1:2" x14ac:dyDescent="0.2">
      <c r="A1227" s="28" t="s">
        <v>332</v>
      </c>
      <c r="B1227" s="34">
        <v>1</v>
      </c>
    </row>
    <row r="1228" spans="1:2" x14ac:dyDescent="0.2">
      <c r="A1228" s="28" t="s">
        <v>401</v>
      </c>
      <c r="B1228" s="34">
        <v>1</v>
      </c>
    </row>
    <row r="1229" spans="1:2" x14ac:dyDescent="0.2">
      <c r="A1229" s="28" t="s">
        <v>806</v>
      </c>
      <c r="B1229" s="34">
        <v>1</v>
      </c>
    </row>
    <row r="1230" spans="1:2" x14ac:dyDescent="0.2">
      <c r="A1230" s="28" t="s">
        <v>718</v>
      </c>
      <c r="B1230" s="34">
        <v>0</v>
      </c>
    </row>
    <row r="1231" spans="1:2" x14ac:dyDescent="0.2">
      <c r="A1231" s="28" t="s">
        <v>513</v>
      </c>
      <c r="B1231" s="34">
        <v>0</v>
      </c>
    </row>
    <row r="1232" spans="1:2" x14ac:dyDescent="0.2">
      <c r="A1232" s="28" t="s">
        <v>131</v>
      </c>
      <c r="B1232" s="34">
        <v>0</v>
      </c>
    </row>
    <row r="1233" spans="1:2" x14ac:dyDescent="0.2">
      <c r="A1233" s="28" t="s">
        <v>68</v>
      </c>
      <c r="B1233" s="34">
        <v>2</v>
      </c>
    </row>
    <row r="1234" spans="1:2" x14ac:dyDescent="0.2">
      <c r="A1234" s="28" t="s">
        <v>458</v>
      </c>
      <c r="B1234" s="34">
        <v>1</v>
      </c>
    </row>
    <row r="1235" spans="1:2" x14ac:dyDescent="0.2">
      <c r="A1235" s="28" t="s">
        <v>34</v>
      </c>
      <c r="B1235" s="34">
        <v>0</v>
      </c>
    </row>
    <row r="1236" spans="1:2" x14ac:dyDescent="0.2">
      <c r="A1236" s="28" t="s">
        <v>72</v>
      </c>
      <c r="B1236" s="34">
        <v>2</v>
      </c>
    </row>
    <row r="1237" spans="1:2" x14ac:dyDescent="0.2">
      <c r="A1237" s="28" t="s">
        <v>272</v>
      </c>
      <c r="B1237" s="34">
        <v>1</v>
      </c>
    </row>
    <row r="1238" spans="1:2" x14ac:dyDescent="0.2">
      <c r="A1238" s="28" t="s">
        <v>24</v>
      </c>
      <c r="B1238" s="34">
        <v>1</v>
      </c>
    </row>
    <row r="1239" spans="1:2" x14ac:dyDescent="0.2">
      <c r="A1239" s="28" t="s">
        <v>806</v>
      </c>
      <c r="B1239" s="34">
        <v>3</v>
      </c>
    </row>
    <row r="1240" spans="1:2" x14ac:dyDescent="0.2">
      <c r="A1240" s="28" t="s">
        <v>138</v>
      </c>
      <c r="B1240" s="34">
        <v>0</v>
      </c>
    </row>
    <row r="1241" spans="1:2" x14ac:dyDescent="0.2">
      <c r="A1241" s="28" t="s">
        <v>401</v>
      </c>
      <c r="B1241" s="34">
        <v>3</v>
      </c>
    </row>
    <row r="1242" spans="1:2" x14ac:dyDescent="0.2">
      <c r="A1242" s="28" t="s">
        <v>34</v>
      </c>
      <c r="B1242" s="34">
        <v>0</v>
      </c>
    </row>
    <row r="1243" spans="1:2" x14ac:dyDescent="0.2">
      <c r="A1243" s="28" t="s">
        <v>25</v>
      </c>
      <c r="B1243" s="34">
        <v>2</v>
      </c>
    </row>
    <row r="1244" spans="1:2" x14ac:dyDescent="0.2">
      <c r="A1244" s="28" t="s">
        <v>513</v>
      </c>
      <c r="B1244" s="34">
        <v>1</v>
      </c>
    </row>
    <row r="1245" spans="1:2" x14ac:dyDescent="0.2">
      <c r="A1245" s="28" t="s">
        <v>190</v>
      </c>
      <c r="B1245" s="34">
        <v>3</v>
      </c>
    </row>
    <row r="1246" spans="1:2" x14ac:dyDescent="0.2">
      <c r="A1246" s="28" t="s">
        <v>42</v>
      </c>
      <c r="B1246" s="34">
        <v>0</v>
      </c>
    </row>
    <row r="1247" spans="1:2" x14ac:dyDescent="0.2">
      <c r="A1247" s="28" t="s">
        <v>131</v>
      </c>
      <c r="B1247" s="34">
        <v>3</v>
      </c>
    </row>
    <row r="1248" spans="1:2" x14ac:dyDescent="0.2">
      <c r="A1248" s="28" t="s">
        <v>72</v>
      </c>
      <c r="B1248" s="34">
        <v>3</v>
      </c>
    </row>
    <row r="1249" spans="1:2" x14ac:dyDescent="0.2">
      <c r="A1249" s="28" t="s">
        <v>285</v>
      </c>
      <c r="B1249" s="34">
        <v>0</v>
      </c>
    </row>
    <row r="1250" spans="1:2" x14ac:dyDescent="0.2">
      <c r="A1250" s="28" t="s">
        <v>34</v>
      </c>
      <c r="B1250" s="34">
        <v>0</v>
      </c>
    </row>
    <row r="1251" spans="1:2" x14ac:dyDescent="0.2">
      <c r="A1251" s="28" t="s">
        <v>401</v>
      </c>
      <c r="B1251" s="34">
        <v>4</v>
      </c>
    </row>
    <row r="1252" spans="1:2" x14ac:dyDescent="0.2">
      <c r="A1252" s="28" t="s">
        <v>72</v>
      </c>
      <c r="B1252" s="34">
        <v>0</v>
      </c>
    </row>
    <row r="1253" spans="1:2" x14ac:dyDescent="0.2">
      <c r="A1253" s="28" t="s">
        <v>190</v>
      </c>
      <c r="B1253" s="34">
        <v>0</v>
      </c>
    </row>
    <row r="1254" spans="1:2" x14ac:dyDescent="0.2">
      <c r="A1254" s="28" t="s">
        <v>24</v>
      </c>
      <c r="B1254" s="34">
        <v>0</v>
      </c>
    </row>
    <row r="1255" spans="1:2" x14ac:dyDescent="0.2">
      <c r="A1255" s="28" t="s">
        <v>285</v>
      </c>
      <c r="B1255" s="34">
        <v>2</v>
      </c>
    </row>
    <row r="1256" spans="1:2" x14ac:dyDescent="0.2">
      <c r="A1256" s="28" t="s">
        <v>68</v>
      </c>
      <c r="B1256" s="34">
        <v>1</v>
      </c>
    </row>
    <row r="1257" spans="1:2" x14ac:dyDescent="0.2">
      <c r="A1257" s="28" t="s">
        <v>131</v>
      </c>
      <c r="B1257" s="34">
        <v>0</v>
      </c>
    </row>
    <row r="1258" spans="1:2" x14ac:dyDescent="0.2">
      <c r="A1258" s="28" t="s">
        <v>24</v>
      </c>
      <c r="B1258" s="34">
        <v>5</v>
      </c>
    </row>
    <row r="1259" spans="1:2" x14ac:dyDescent="0.2">
      <c r="A1259" s="28" t="s">
        <v>25</v>
      </c>
      <c r="B1259" s="34">
        <v>1</v>
      </c>
    </row>
    <row r="1260" spans="1:2" x14ac:dyDescent="0.2">
      <c r="A1260" s="28" t="s">
        <v>34</v>
      </c>
      <c r="B1260" s="34">
        <v>0</v>
      </c>
    </row>
    <row r="1261" spans="1:2" x14ac:dyDescent="0.2">
      <c r="A1261" s="28" t="s">
        <v>223</v>
      </c>
      <c r="B1261" s="34">
        <v>1</v>
      </c>
    </row>
    <row r="1262" spans="1:2" x14ac:dyDescent="0.2">
      <c r="A1262" s="28" t="s">
        <v>285</v>
      </c>
      <c r="B1262" s="34">
        <v>1</v>
      </c>
    </row>
    <row r="1263" spans="1:2" x14ac:dyDescent="0.2">
      <c r="A1263" s="28" t="s">
        <v>34</v>
      </c>
      <c r="B1263" s="34">
        <v>2</v>
      </c>
    </row>
    <row r="1264" spans="1:2" x14ac:dyDescent="0.2">
      <c r="A1264" s="28" t="s">
        <v>34</v>
      </c>
      <c r="B1264" s="34">
        <v>0</v>
      </c>
    </row>
    <row r="1265" spans="1:2" x14ac:dyDescent="0.2">
      <c r="A1265" s="28" t="s">
        <v>285</v>
      </c>
      <c r="B1265" s="34">
        <v>2</v>
      </c>
    </row>
    <row r="1266" spans="1:2" x14ac:dyDescent="0.2">
      <c r="A1266" s="28" t="s">
        <v>700</v>
      </c>
      <c r="B1266" s="34">
        <v>2</v>
      </c>
    </row>
    <row r="1267" spans="1:2" x14ac:dyDescent="0.2">
      <c r="A1267" s="28" t="s">
        <v>50</v>
      </c>
      <c r="B1267" s="34">
        <v>1</v>
      </c>
    </row>
    <row r="1268" spans="1:2" x14ac:dyDescent="0.2">
      <c r="A1268" s="28" t="s">
        <v>390</v>
      </c>
      <c r="B1268" s="34">
        <v>2</v>
      </c>
    </row>
    <row r="1269" spans="1:2" x14ac:dyDescent="0.2">
      <c r="A1269" s="28" t="s">
        <v>91</v>
      </c>
      <c r="B1269" s="34">
        <v>2</v>
      </c>
    </row>
    <row r="1270" spans="1:2" x14ac:dyDescent="0.2">
      <c r="A1270" s="28" t="s">
        <v>145</v>
      </c>
      <c r="B1270" s="34">
        <v>0</v>
      </c>
    </row>
    <row r="1271" spans="1:2" x14ac:dyDescent="0.2">
      <c r="A1271" s="28" t="s">
        <v>117</v>
      </c>
      <c r="B1271" s="34">
        <v>5</v>
      </c>
    </row>
    <row r="1272" spans="1:2" x14ac:dyDescent="0.2">
      <c r="A1272" s="28" t="s">
        <v>41</v>
      </c>
      <c r="B1272" s="34">
        <v>1</v>
      </c>
    </row>
    <row r="1273" spans="1:2" x14ac:dyDescent="0.2">
      <c r="A1273" s="28" t="s">
        <v>272</v>
      </c>
      <c r="B1273" s="34">
        <v>1</v>
      </c>
    </row>
    <row r="1274" spans="1:2" x14ac:dyDescent="0.2">
      <c r="A1274" s="28" t="s">
        <v>933</v>
      </c>
      <c r="B1274" s="34">
        <v>0</v>
      </c>
    </row>
    <row r="1275" spans="1:2" x14ac:dyDescent="0.2">
      <c r="A1275" s="28" t="s">
        <v>291</v>
      </c>
      <c r="B1275" s="34">
        <v>1</v>
      </c>
    </row>
    <row r="1276" spans="1:2" x14ac:dyDescent="0.2">
      <c r="A1276" s="28" t="s">
        <v>100</v>
      </c>
      <c r="B1276" s="34">
        <v>0</v>
      </c>
    </row>
    <row r="1277" spans="1:2" x14ac:dyDescent="0.2">
      <c r="A1277" s="28" t="s">
        <v>131</v>
      </c>
      <c r="B1277" s="34">
        <v>1</v>
      </c>
    </row>
    <row r="1278" spans="1:2" x14ac:dyDescent="0.2">
      <c r="A1278" s="28" t="s">
        <v>332</v>
      </c>
      <c r="B1278" s="34">
        <v>0</v>
      </c>
    </row>
    <row r="1279" spans="1:2" x14ac:dyDescent="0.2">
      <c r="A1279" s="28" t="s">
        <v>50</v>
      </c>
      <c r="B1279" s="34">
        <v>0</v>
      </c>
    </row>
    <row r="1280" spans="1:2" x14ac:dyDescent="0.2">
      <c r="A1280" s="28" t="s">
        <v>390</v>
      </c>
      <c r="B1280" s="34">
        <v>1</v>
      </c>
    </row>
    <row r="1281" spans="1:2" x14ac:dyDescent="0.2">
      <c r="A1281" s="28" t="s">
        <v>33</v>
      </c>
      <c r="B1281" s="34">
        <v>0</v>
      </c>
    </row>
    <row r="1282" spans="1:2" x14ac:dyDescent="0.2">
      <c r="A1282" s="28" t="s">
        <v>145</v>
      </c>
      <c r="B1282" s="34">
        <v>0</v>
      </c>
    </row>
    <row r="1283" spans="1:2" x14ac:dyDescent="0.2">
      <c r="A1283" s="28" t="s">
        <v>907</v>
      </c>
      <c r="B1283" s="34">
        <v>1</v>
      </c>
    </row>
    <row r="1284" spans="1:2" x14ac:dyDescent="0.2">
      <c r="A1284" s="28" t="s">
        <v>925</v>
      </c>
      <c r="B1284" s="34">
        <v>1</v>
      </c>
    </row>
    <row r="1285" spans="1:2" x14ac:dyDescent="0.2">
      <c r="A1285" s="28" t="s">
        <v>272</v>
      </c>
      <c r="B1285" s="34">
        <v>0</v>
      </c>
    </row>
    <row r="1286" spans="1:2" x14ac:dyDescent="0.2">
      <c r="A1286" s="28" t="s">
        <v>109</v>
      </c>
      <c r="B1286" s="34">
        <v>2</v>
      </c>
    </row>
    <row r="1287" spans="1:2" x14ac:dyDescent="0.2">
      <c r="A1287" s="28" t="s">
        <v>100</v>
      </c>
      <c r="B1287" s="34">
        <v>0</v>
      </c>
    </row>
    <row r="1288" spans="1:2" x14ac:dyDescent="0.2">
      <c r="A1288" s="28" t="s">
        <v>131</v>
      </c>
      <c r="B1288" s="34">
        <v>0</v>
      </c>
    </row>
    <row r="1289" spans="1:2" x14ac:dyDescent="0.2">
      <c r="A1289" s="28" t="s">
        <v>72</v>
      </c>
      <c r="B1289" s="34">
        <v>3</v>
      </c>
    </row>
    <row r="1290" spans="1:2" x14ac:dyDescent="0.2">
      <c r="A1290" s="28" t="s">
        <v>50</v>
      </c>
      <c r="B1290" s="34">
        <v>1</v>
      </c>
    </row>
    <row r="1291" spans="1:2" x14ac:dyDescent="0.2">
      <c r="A1291" s="28" t="s">
        <v>332</v>
      </c>
      <c r="B1291" s="34">
        <v>1</v>
      </c>
    </row>
    <row r="1292" spans="1:2" x14ac:dyDescent="0.2">
      <c r="A1292" s="28" t="s">
        <v>390</v>
      </c>
      <c r="B1292" s="34">
        <v>4</v>
      </c>
    </row>
    <row r="1293" spans="1:2" x14ac:dyDescent="0.2">
      <c r="A1293" s="28" t="s">
        <v>907</v>
      </c>
      <c r="B1293" s="34">
        <v>1</v>
      </c>
    </row>
    <row r="1294" spans="1:2" x14ac:dyDescent="0.2">
      <c r="A1294" s="28" t="s">
        <v>145</v>
      </c>
      <c r="B1294" s="34">
        <v>1</v>
      </c>
    </row>
    <row r="1295" spans="1:2" x14ac:dyDescent="0.2">
      <c r="A1295" s="28" t="s">
        <v>33</v>
      </c>
      <c r="B1295" s="34">
        <v>0</v>
      </c>
    </row>
    <row r="1296" spans="1:2" x14ac:dyDescent="0.2">
      <c r="A1296" s="28" t="s">
        <v>272</v>
      </c>
      <c r="B1296" s="34">
        <v>1</v>
      </c>
    </row>
    <row r="1297" spans="1:2" x14ac:dyDescent="0.2">
      <c r="A1297" s="28" t="s">
        <v>925</v>
      </c>
      <c r="B1297" s="34">
        <v>0</v>
      </c>
    </row>
    <row r="1298" spans="1:2" x14ac:dyDescent="0.2">
      <c r="A1298" s="28" t="s">
        <v>72</v>
      </c>
      <c r="B1298" s="34">
        <v>2</v>
      </c>
    </row>
    <row r="1299" spans="1:2" x14ac:dyDescent="0.2">
      <c r="A1299" s="28" t="s">
        <v>131</v>
      </c>
      <c r="B1299" s="34">
        <v>1</v>
      </c>
    </row>
    <row r="1300" spans="1:2" x14ac:dyDescent="0.2">
      <c r="A1300" s="28" t="s">
        <v>109</v>
      </c>
      <c r="B1300" s="34">
        <v>2</v>
      </c>
    </row>
    <row r="1301" spans="1:2" x14ac:dyDescent="0.2">
      <c r="A1301" s="28" t="s">
        <v>100</v>
      </c>
      <c r="B1301" s="34">
        <v>1</v>
      </c>
    </row>
    <row r="1302" spans="1:2" x14ac:dyDescent="0.2">
      <c r="A1302" s="28" t="s">
        <v>390</v>
      </c>
      <c r="B1302" s="34">
        <v>0</v>
      </c>
    </row>
    <row r="1303" spans="1:2" x14ac:dyDescent="0.2">
      <c r="A1303" s="28" t="s">
        <v>925</v>
      </c>
      <c r="B1303" s="34">
        <v>1</v>
      </c>
    </row>
    <row r="1304" spans="1:2" x14ac:dyDescent="0.2">
      <c r="A1304" s="28" t="s">
        <v>56</v>
      </c>
      <c r="B1304" s="34">
        <v>1</v>
      </c>
    </row>
    <row r="1305" spans="1:2" x14ac:dyDescent="0.2">
      <c r="A1305" s="28" t="s">
        <v>109</v>
      </c>
      <c r="B1305" s="34">
        <v>1</v>
      </c>
    </row>
    <row r="1306" spans="1:2" x14ac:dyDescent="0.2">
      <c r="A1306" s="28" t="s">
        <v>50</v>
      </c>
      <c r="B1306" s="34">
        <v>1</v>
      </c>
    </row>
    <row r="1307" spans="1:2" x14ac:dyDescent="0.2">
      <c r="A1307" s="28" t="s">
        <v>72</v>
      </c>
      <c r="B1307" s="34">
        <v>0</v>
      </c>
    </row>
    <row r="1308" spans="1:2" x14ac:dyDescent="0.2">
      <c r="A1308" s="28" t="s">
        <v>41</v>
      </c>
      <c r="B1308" s="34">
        <v>0</v>
      </c>
    </row>
    <row r="1309" spans="1:2" x14ac:dyDescent="0.2">
      <c r="A1309" s="28" t="s">
        <v>34</v>
      </c>
      <c r="B1309" s="34">
        <v>2</v>
      </c>
    </row>
    <row r="1310" spans="1:2" x14ac:dyDescent="0.2">
      <c r="A1310" s="28" t="s">
        <v>56</v>
      </c>
      <c r="B1310" s="34">
        <v>0</v>
      </c>
    </row>
    <row r="1311" spans="1:2" x14ac:dyDescent="0.2">
      <c r="A1311" s="28" t="s">
        <v>933</v>
      </c>
      <c r="B1311" s="34">
        <v>0</v>
      </c>
    </row>
    <row r="1312" spans="1:2" x14ac:dyDescent="0.2">
      <c r="A1312" s="28" t="s">
        <v>145</v>
      </c>
      <c r="B1312" s="34">
        <v>0</v>
      </c>
    </row>
    <row r="1313" spans="1:2" x14ac:dyDescent="0.2">
      <c r="A1313" s="28" t="s">
        <v>700</v>
      </c>
      <c r="B1313" s="34">
        <v>0</v>
      </c>
    </row>
    <row r="1314" spans="1:2" x14ac:dyDescent="0.2">
      <c r="A1314" s="28" t="s">
        <v>56</v>
      </c>
      <c r="B1314" s="34">
        <v>2</v>
      </c>
    </row>
    <row r="1315" spans="1:2" x14ac:dyDescent="0.2">
      <c r="A1315" s="28" t="s">
        <v>223</v>
      </c>
      <c r="B1315" s="34">
        <v>1</v>
      </c>
    </row>
    <row r="1316" spans="1:2" x14ac:dyDescent="0.2">
      <c r="A1316" s="28" t="s">
        <v>223</v>
      </c>
      <c r="B1316" s="34">
        <v>1</v>
      </c>
    </row>
    <row r="1317" spans="1:2" x14ac:dyDescent="0.2">
      <c r="A1317" s="28" t="s">
        <v>56</v>
      </c>
      <c r="B1317" s="34">
        <v>1</v>
      </c>
    </row>
    <row r="1318" spans="1:2" x14ac:dyDescent="0.2">
      <c r="A1318" s="28" t="s">
        <v>291</v>
      </c>
      <c r="B1318" s="34">
        <v>0</v>
      </c>
    </row>
    <row r="1319" spans="1:2" x14ac:dyDescent="0.2">
      <c r="A1319" s="28" t="s">
        <v>65</v>
      </c>
      <c r="B1319" s="34">
        <v>2</v>
      </c>
    </row>
    <row r="1320" spans="1:2" x14ac:dyDescent="0.2">
      <c r="A1320" s="28" t="s">
        <v>108</v>
      </c>
      <c r="B1320" s="34">
        <v>0</v>
      </c>
    </row>
    <row r="1321" spans="1:2" x14ac:dyDescent="0.2">
      <c r="A1321" s="28" t="s">
        <v>933</v>
      </c>
      <c r="B1321" s="34">
        <v>1</v>
      </c>
    </row>
    <row r="1322" spans="1:2" x14ac:dyDescent="0.2">
      <c r="A1322" s="28" t="s">
        <v>50</v>
      </c>
      <c r="B1322" s="34">
        <v>1</v>
      </c>
    </row>
    <row r="1323" spans="1:2" x14ac:dyDescent="0.2">
      <c r="A1323" s="28" t="s">
        <v>513</v>
      </c>
      <c r="B1323" s="34">
        <v>3</v>
      </c>
    </row>
    <row r="1324" spans="1:2" x14ac:dyDescent="0.2">
      <c r="A1324" s="28" t="s">
        <v>25</v>
      </c>
      <c r="B1324" s="34">
        <v>0</v>
      </c>
    </row>
    <row r="1325" spans="1:2" x14ac:dyDescent="0.2">
      <c r="A1325" s="28" t="s">
        <v>117</v>
      </c>
      <c r="B1325" s="34">
        <v>0</v>
      </c>
    </row>
    <row r="1326" spans="1:2" x14ac:dyDescent="0.2">
      <c r="A1326" s="28" t="s">
        <v>1037</v>
      </c>
      <c r="B1326" s="34">
        <v>2</v>
      </c>
    </row>
    <row r="1327" spans="1:2" x14ac:dyDescent="0.2">
      <c r="A1327" s="28" t="s">
        <v>1043</v>
      </c>
      <c r="B1327" s="34">
        <v>1</v>
      </c>
    </row>
    <row r="1328" spans="1:2" x14ac:dyDescent="0.2">
      <c r="A1328" s="28" t="s">
        <v>1051</v>
      </c>
      <c r="B1328" s="34">
        <v>0</v>
      </c>
    </row>
    <row r="1329" spans="1:2" x14ac:dyDescent="0.2">
      <c r="A1329" s="28" t="s">
        <v>401</v>
      </c>
      <c r="B1329" s="34">
        <v>0</v>
      </c>
    </row>
    <row r="1330" spans="1:2" x14ac:dyDescent="0.2">
      <c r="A1330" s="28" t="s">
        <v>131</v>
      </c>
      <c r="B1330" s="34">
        <v>0</v>
      </c>
    </row>
    <row r="1331" spans="1:2" x14ac:dyDescent="0.2">
      <c r="A1331" s="28" t="s">
        <v>108</v>
      </c>
      <c r="B1331" s="34">
        <v>1</v>
      </c>
    </row>
    <row r="1332" spans="1:2" x14ac:dyDescent="0.2">
      <c r="A1332" s="28" t="s">
        <v>390</v>
      </c>
      <c r="B1332" s="34">
        <v>4</v>
      </c>
    </row>
    <row r="1333" spans="1:2" x14ac:dyDescent="0.2">
      <c r="A1333" s="28" t="s">
        <v>183</v>
      </c>
      <c r="B1333" s="34">
        <v>1</v>
      </c>
    </row>
    <row r="1334" spans="1:2" x14ac:dyDescent="0.2">
      <c r="A1334" s="28" t="s">
        <v>65</v>
      </c>
      <c r="B1334" s="34">
        <v>0</v>
      </c>
    </row>
    <row r="1335" spans="1:2" x14ac:dyDescent="0.2">
      <c r="A1335" s="28" t="s">
        <v>933</v>
      </c>
      <c r="B1335" s="34">
        <v>0</v>
      </c>
    </row>
    <row r="1336" spans="1:2" x14ac:dyDescent="0.2">
      <c r="A1336" s="28" t="s">
        <v>1043</v>
      </c>
      <c r="B1336" s="34">
        <v>1</v>
      </c>
    </row>
    <row r="1337" spans="1:2" x14ac:dyDescent="0.2">
      <c r="A1337" s="28" t="s">
        <v>700</v>
      </c>
      <c r="B1337" s="34">
        <v>1</v>
      </c>
    </row>
    <row r="1338" spans="1:2" x14ac:dyDescent="0.2">
      <c r="A1338" s="28" t="s">
        <v>109</v>
      </c>
      <c r="B1338" s="34">
        <v>0</v>
      </c>
    </row>
    <row r="1339" spans="1:2" x14ac:dyDescent="0.2">
      <c r="A1339" s="28" t="s">
        <v>513</v>
      </c>
      <c r="B1339" s="34">
        <v>0</v>
      </c>
    </row>
    <row r="1340" spans="1:2" x14ac:dyDescent="0.2">
      <c r="A1340" s="28" t="s">
        <v>1055</v>
      </c>
      <c r="B1340" s="34">
        <v>1</v>
      </c>
    </row>
    <row r="1341" spans="1:2" x14ac:dyDescent="0.2">
      <c r="A1341" s="28" t="s">
        <v>1051</v>
      </c>
      <c r="B1341" s="34">
        <v>1</v>
      </c>
    </row>
    <row r="1342" spans="1:2" x14ac:dyDescent="0.2">
      <c r="A1342" s="28" t="s">
        <v>50</v>
      </c>
      <c r="B1342" s="34">
        <v>0</v>
      </c>
    </row>
    <row r="1343" spans="1:2" x14ac:dyDescent="0.2">
      <c r="A1343" s="28" t="s">
        <v>390</v>
      </c>
      <c r="B1343" s="34">
        <v>1</v>
      </c>
    </row>
    <row r="1344" spans="1:2" x14ac:dyDescent="0.2">
      <c r="A1344" s="28" t="s">
        <v>291</v>
      </c>
      <c r="B1344" s="34">
        <v>2</v>
      </c>
    </row>
    <row r="1345" spans="1:2" x14ac:dyDescent="0.2">
      <c r="A1345" s="28" t="s">
        <v>131</v>
      </c>
      <c r="B1345" s="34">
        <v>2</v>
      </c>
    </row>
    <row r="1346" spans="1:2" x14ac:dyDescent="0.2">
      <c r="A1346" s="28" t="s">
        <v>183</v>
      </c>
      <c r="B1346" s="34">
        <v>3</v>
      </c>
    </row>
    <row r="1347" spans="1:2" x14ac:dyDescent="0.2">
      <c r="A1347" s="28" t="s">
        <v>117</v>
      </c>
      <c r="B1347" s="34">
        <v>0</v>
      </c>
    </row>
    <row r="1348" spans="1:2" x14ac:dyDescent="0.2">
      <c r="A1348" s="28" t="s">
        <v>25</v>
      </c>
      <c r="B1348" s="34">
        <v>1</v>
      </c>
    </row>
    <row r="1349" spans="1:2" x14ac:dyDescent="0.2">
      <c r="A1349" s="28" t="s">
        <v>700</v>
      </c>
      <c r="B1349" s="34">
        <v>1</v>
      </c>
    </row>
    <row r="1350" spans="1:2" x14ac:dyDescent="0.2">
      <c r="A1350" s="28" t="s">
        <v>109</v>
      </c>
      <c r="B1350" s="34">
        <v>1</v>
      </c>
    </row>
    <row r="1351" spans="1:2" x14ac:dyDescent="0.2">
      <c r="A1351" s="28" t="s">
        <v>1037</v>
      </c>
      <c r="B1351" s="34">
        <v>2</v>
      </c>
    </row>
    <row r="1352" spans="1:2" x14ac:dyDescent="0.2">
      <c r="A1352" s="28" t="s">
        <v>1055</v>
      </c>
      <c r="B1352" s="34">
        <v>1</v>
      </c>
    </row>
    <row r="1353" spans="1:2" x14ac:dyDescent="0.2">
      <c r="A1353" s="28" t="s">
        <v>401</v>
      </c>
      <c r="B1353" s="34">
        <v>2</v>
      </c>
    </row>
    <row r="1354" spans="1:2" x14ac:dyDescent="0.2">
      <c r="A1354" s="28" t="s">
        <v>34</v>
      </c>
      <c r="B1354" s="34">
        <v>2</v>
      </c>
    </row>
    <row r="1355" spans="1:2" x14ac:dyDescent="0.2">
      <c r="A1355" s="28" t="s">
        <v>108</v>
      </c>
      <c r="B1355" s="34">
        <v>2</v>
      </c>
    </row>
    <row r="1356" spans="1:2" x14ac:dyDescent="0.2">
      <c r="A1356" s="28" t="s">
        <v>117</v>
      </c>
      <c r="B1356" s="34">
        <v>0</v>
      </c>
    </row>
    <row r="1357" spans="1:2" x14ac:dyDescent="0.2">
      <c r="A1357" s="28" t="s">
        <v>56</v>
      </c>
      <c r="B1357" s="34">
        <v>3</v>
      </c>
    </row>
    <row r="1358" spans="1:2" x14ac:dyDescent="0.2">
      <c r="A1358" s="28" t="s">
        <v>933</v>
      </c>
      <c r="B1358" s="34">
        <v>2</v>
      </c>
    </row>
    <row r="1359" spans="1:2" x14ac:dyDescent="0.2">
      <c r="A1359" s="28" t="s">
        <v>33</v>
      </c>
      <c r="B1359" s="34">
        <v>0</v>
      </c>
    </row>
    <row r="1360" spans="1:2" x14ac:dyDescent="0.2">
      <c r="A1360" s="28" t="s">
        <v>138</v>
      </c>
      <c r="B1360" s="34">
        <v>0</v>
      </c>
    </row>
    <row r="1361" spans="1:2" x14ac:dyDescent="0.2">
      <c r="A1361" s="28" t="s">
        <v>401</v>
      </c>
      <c r="B1361" s="34">
        <v>2</v>
      </c>
    </row>
    <row r="1362" spans="1:2" x14ac:dyDescent="0.2">
      <c r="A1362" s="28" t="s">
        <v>131</v>
      </c>
      <c r="B1362" s="34">
        <v>1</v>
      </c>
    </row>
    <row r="1363" spans="1:2" x14ac:dyDescent="0.2">
      <c r="A1363" s="28" t="s">
        <v>42</v>
      </c>
      <c r="B1363" s="34">
        <v>1</v>
      </c>
    </row>
    <row r="1364" spans="1:2" x14ac:dyDescent="0.2">
      <c r="A1364" s="28" t="s">
        <v>124</v>
      </c>
      <c r="B1364" s="34">
        <v>3</v>
      </c>
    </row>
    <row r="1365" spans="1:2" x14ac:dyDescent="0.2">
      <c r="A1365" s="28" t="s">
        <v>117</v>
      </c>
      <c r="B1365" s="34">
        <v>1</v>
      </c>
    </row>
    <row r="1366" spans="1:2" x14ac:dyDescent="0.2">
      <c r="A1366" s="28" t="s">
        <v>138</v>
      </c>
      <c r="B1366" s="34">
        <v>2</v>
      </c>
    </row>
    <row r="1367" spans="1:2" x14ac:dyDescent="0.2">
      <c r="A1367" s="28" t="s">
        <v>42</v>
      </c>
      <c r="B1367" s="34">
        <v>2</v>
      </c>
    </row>
    <row r="1368" spans="1:2" x14ac:dyDescent="0.2">
      <c r="A1368" s="28" t="s">
        <v>401</v>
      </c>
      <c r="B1368" s="34">
        <v>1</v>
      </c>
    </row>
    <row r="1369" spans="1:2" x14ac:dyDescent="0.2">
      <c r="A1369" s="28" t="s">
        <v>138</v>
      </c>
      <c r="B1369" s="34">
        <v>0</v>
      </c>
    </row>
    <row r="1370" spans="1:2" x14ac:dyDescent="0.2">
      <c r="A1370" s="28" t="s">
        <v>272</v>
      </c>
      <c r="B1370" s="34">
        <v>0</v>
      </c>
    </row>
    <row r="1371" spans="1:2" x14ac:dyDescent="0.2">
      <c r="A1371" s="28" t="s">
        <v>183</v>
      </c>
      <c r="B1371" s="34">
        <v>1</v>
      </c>
    </row>
    <row r="1372" spans="1:2" x14ac:dyDescent="0.2">
      <c r="A1372" s="28" t="s">
        <v>61</v>
      </c>
      <c r="B1372" s="34">
        <v>2</v>
      </c>
    </row>
    <row r="1373" spans="1:2" x14ac:dyDescent="0.2">
      <c r="A1373" s="28" t="s">
        <v>91</v>
      </c>
      <c r="B1373" s="34">
        <v>2</v>
      </c>
    </row>
    <row r="1374" spans="1:2" x14ac:dyDescent="0.2">
      <c r="A1374" s="28" t="s">
        <v>401</v>
      </c>
      <c r="B1374" s="34">
        <v>1</v>
      </c>
    </row>
    <row r="1375" spans="1:2" x14ac:dyDescent="0.2">
      <c r="A1375" s="28" t="s">
        <v>849</v>
      </c>
      <c r="B1375" s="34">
        <v>0</v>
      </c>
    </row>
    <row r="1376" spans="1:2" x14ac:dyDescent="0.2">
      <c r="A1376" s="28" t="s">
        <v>1138</v>
      </c>
      <c r="B1376" s="34">
        <v>1</v>
      </c>
    </row>
    <row r="1377" spans="1:2" x14ac:dyDescent="0.2">
      <c r="A1377" s="28" t="s">
        <v>1055</v>
      </c>
      <c r="B1377" s="34">
        <v>0</v>
      </c>
    </row>
    <row r="1378" spans="1:2" x14ac:dyDescent="0.2">
      <c r="A1378" s="28" t="s">
        <v>25</v>
      </c>
      <c r="B1378" s="34">
        <v>3</v>
      </c>
    </row>
    <row r="1379" spans="1:2" x14ac:dyDescent="0.2">
      <c r="A1379" s="28" t="s">
        <v>34</v>
      </c>
      <c r="B1379" s="34">
        <v>3</v>
      </c>
    </row>
    <row r="1380" spans="1:2" x14ac:dyDescent="0.2">
      <c r="A1380" s="28" t="s">
        <v>1161</v>
      </c>
      <c r="B1380" s="34">
        <v>0</v>
      </c>
    </row>
    <row r="1381" spans="1:2" x14ac:dyDescent="0.2">
      <c r="A1381" s="28" t="s">
        <v>669</v>
      </c>
      <c r="B1381" s="34">
        <v>0</v>
      </c>
    </row>
    <row r="1382" spans="1:2" x14ac:dyDescent="0.2">
      <c r="A1382" s="28" t="s">
        <v>1172</v>
      </c>
      <c r="B1382" s="34">
        <v>0</v>
      </c>
    </row>
    <row r="1383" spans="1:2" x14ac:dyDescent="0.2">
      <c r="A1383" s="28" t="s">
        <v>628</v>
      </c>
      <c r="B1383" s="34">
        <v>3</v>
      </c>
    </row>
    <row r="1384" spans="1:2" x14ac:dyDescent="0.2">
      <c r="A1384" s="28" t="s">
        <v>390</v>
      </c>
      <c r="B1384" s="34">
        <v>0</v>
      </c>
    </row>
    <row r="1385" spans="1:2" x14ac:dyDescent="0.2">
      <c r="A1385" s="28" t="s">
        <v>33</v>
      </c>
      <c r="B1385" s="34">
        <v>0</v>
      </c>
    </row>
    <row r="1386" spans="1:2" x14ac:dyDescent="0.2">
      <c r="A1386" s="28" t="s">
        <v>183</v>
      </c>
      <c r="B1386" s="34">
        <v>0</v>
      </c>
    </row>
    <row r="1387" spans="1:2" x14ac:dyDescent="0.2">
      <c r="A1387" s="28" t="s">
        <v>513</v>
      </c>
      <c r="B1387" s="34">
        <v>1</v>
      </c>
    </row>
    <row r="1388" spans="1:2" x14ac:dyDescent="0.2">
      <c r="A1388" s="28" t="s">
        <v>91</v>
      </c>
      <c r="B1388" s="34">
        <v>0</v>
      </c>
    </row>
    <row r="1389" spans="1:2" x14ac:dyDescent="0.2">
      <c r="A1389" s="28" t="s">
        <v>700</v>
      </c>
      <c r="B1389" s="34">
        <v>1</v>
      </c>
    </row>
    <row r="1390" spans="1:2" x14ac:dyDescent="0.2">
      <c r="A1390" s="28" t="s">
        <v>849</v>
      </c>
      <c r="B1390" s="34">
        <v>0</v>
      </c>
    </row>
    <row r="1391" spans="1:2" x14ac:dyDescent="0.2">
      <c r="A1391" s="28" t="s">
        <v>1037</v>
      </c>
      <c r="B1391" s="34">
        <v>1</v>
      </c>
    </row>
    <row r="1392" spans="1:2" x14ac:dyDescent="0.2">
      <c r="A1392" s="28" t="s">
        <v>401</v>
      </c>
      <c r="B1392" s="34">
        <v>0</v>
      </c>
    </row>
    <row r="1393" spans="1:2" x14ac:dyDescent="0.2">
      <c r="A1393" s="28" t="s">
        <v>68</v>
      </c>
      <c r="B1393" s="34">
        <v>0</v>
      </c>
    </row>
    <row r="1394" spans="1:2" x14ac:dyDescent="0.2">
      <c r="A1394" s="28" t="s">
        <v>1172</v>
      </c>
      <c r="B1394" s="34">
        <v>0</v>
      </c>
    </row>
    <row r="1395" spans="1:2" x14ac:dyDescent="0.2">
      <c r="A1395" s="28" t="s">
        <v>25</v>
      </c>
      <c r="B1395" s="34">
        <v>1</v>
      </c>
    </row>
    <row r="1396" spans="1:2" x14ac:dyDescent="0.2">
      <c r="A1396" s="28" t="s">
        <v>291</v>
      </c>
      <c r="B1396" s="34">
        <v>2</v>
      </c>
    </row>
    <row r="1397" spans="1:2" x14ac:dyDescent="0.2">
      <c r="A1397" s="28" t="s">
        <v>41</v>
      </c>
      <c r="B1397" s="34">
        <v>0</v>
      </c>
    </row>
    <row r="1398" spans="1:2" x14ac:dyDescent="0.2">
      <c r="A1398" s="28" t="s">
        <v>1171</v>
      </c>
      <c r="B1398" s="34">
        <v>2</v>
      </c>
    </row>
    <row r="1399" spans="1:2" x14ac:dyDescent="0.2">
      <c r="A1399" s="28" t="s">
        <v>669</v>
      </c>
      <c r="B1399" s="34">
        <v>0</v>
      </c>
    </row>
    <row r="1400" spans="1:2" x14ac:dyDescent="0.2">
      <c r="A1400" s="28" t="s">
        <v>628</v>
      </c>
      <c r="B1400" s="34">
        <v>2</v>
      </c>
    </row>
    <row r="1401" spans="1:2" x14ac:dyDescent="0.2">
      <c r="A1401" s="28" t="s">
        <v>223</v>
      </c>
      <c r="B1401" s="34">
        <v>0</v>
      </c>
    </row>
    <row r="1402" spans="1:2" x14ac:dyDescent="0.2">
      <c r="A1402" s="28" t="s">
        <v>91</v>
      </c>
      <c r="B1402" s="34">
        <v>1</v>
      </c>
    </row>
    <row r="1403" spans="1:2" x14ac:dyDescent="0.2">
      <c r="A1403" s="28" t="s">
        <v>700</v>
      </c>
      <c r="B1403" s="34">
        <v>1</v>
      </c>
    </row>
    <row r="1404" spans="1:2" x14ac:dyDescent="0.2">
      <c r="A1404" s="28" t="s">
        <v>513</v>
      </c>
      <c r="B1404" s="34">
        <v>1</v>
      </c>
    </row>
    <row r="1405" spans="1:2" x14ac:dyDescent="0.2">
      <c r="A1405" s="28" t="s">
        <v>183</v>
      </c>
      <c r="B1405" s="34">
        <v>3</v>
      </c>
    </row>
    <row r="1406" spans="1:2" x14ac:dyDescent="0.2">
      <c r="A1406" s="28" t="s">
        <v>849</v>
      </c>
      <c r="B1406" s="34">
        <v>2</v>
      </c>
    </row>
    <row r="1407" spans="1:2" x14ac:dyDescent="0.2">
      <c r="A1407" s="28" t="s">
        <v>1037</v>
      </c>
      <c r="B1407" s="34">
        <v>1</v>
      </c>
    </row>
    <row r="1408" spans="1:2" x14ac:dyDescent="0.2">
      <c r="A1408" s="28" t="s">
        <v>401</v>
      </c>
      <c r="B1408" s="34">
        <v>2</v>
      </c>
    </row>
    <row r="1409" spans="1:2" x14ac:dyDescent="0.2">
      <c r="A1409" s="28" t="s">
        <v>68</v>
      </c>
      <c r="B1409" s="34">
        <v>1</v>
      </c>
    </row>
    <row r="1410" spans="1:2" x14ac:dyDescent="0.2">
      <c r="A1410" s="28" t="s">
        <v>291</v>
      </c>
      <c r="B1410" s="34">
        <v>3</v>
      </c>
    </row>
    <row r="1411" spans="1:2" x14ac:dyDescent="0.2">
      <c r="A1411" s="28" t="s">
        <v>25</v>
      </c>
      <c r="B1411" s="34">
        <v>1</v>
      </c>
    </row>
    <row r="1412" spans="1:2" x14ac:dyDescent="0.2">
      <c r="A1412" s="28" t="s">
        <v>669</v>
      </c>
      <c r="B1412" s="34">
        <v>2</v>
      </c>
    </row>
    <row r="1413" spans="1:2" x14ac:dyDescent="0.2">
      <c r="A1413" s="28" t="s">
        <v>41</v>
      </c>
      <c r="B1413" s="34">
        <v>0</v>
      </c>
    </row>
    <row r="1414" spans="1:2" x14ac:dyDescent="0.2">
      <c r="A1414" s="28" t="s">
        <v>1171</v>
      </c>
      <c r="B1414" s="34">
        <v>1</v>
      </c>
    </row>
    <row r="1415" spans="1:2" x14ac:dyDescent="0.2">
      <c r="A1415" s="28" t="s">
        <v>1172</v>
      </c>
      <c r="B1415" s="34">
        <v>2</v>
      </c>
    </row>
    <row r="1416" spans="1:2" x14ac:dyDescent="0.2">
      <c r="A1416" s="28" t="s">
        <v>628</v>
      </c>
      <c r="B1416" s="34">
        <v>0</v>
      </c>
    </row>
    <row r="1417" spans="1:2" x14ac:dyDescent="0.2">
      <c r="A1417" s="28" t="s">
        <v>223</v>
      </c>
      <c r="B1417" s="34">
        <v>1</v>
      </c>
    </row>
    <row r="1418" spans="1:2" x14ac:dyDescent="0.2">
      <c r="A1418" s="28" t="s">
        <v>183</v>
      </c>
      <c r="B1418" s="34">
        <v>2</v>
      </c>
    </row>
    <row r="1419" spans="1:2" x14ac:dyDescent="0.2">
      <c r="A1419" s="28" t="s">
        <v>61</v>
      </c>
      <c r="B1419" s="34">
        <v>0</v>
      </c>
    </row>
    <row r="1420" spans="1:2" x14ac:dyDescent="0.2">
      <c r="A1420" s="28" t="s">
        <v>68</v>
      </c>
      <c r="B1420" s="34">
        <v>1</v>
      </c>
    </row>
    <row r="1421" spans="1:2" x14ac:dyDescent="0.2">
      <c r="A1421" s="28" t="s">
        <v>849</v>
      </c>
      <c r="B1421" s="34">
        <v>0</v>
      </c>
    </row>
    <row r="1422" spans="1:2" x14ac:dyDescent="0.2">
      <c r="A1422" s="28" t="s">
        <v>25</v>
      </c>
      <c r="B1422" s="34">
        <v>4</v>
      </c>
    </row>
    <row r="1423" spans="1:2" x14ac:dyDescent="0.2">
      <c r="A1423" s="28" t="s">
        <v>41</v>
      </c>
      <c r="B1423" s="34">
        <v>1</v>
      </c>
    </row>
    <row r="1424" spans="1:2" x14ac:dyDescent="0.2">
      <c r="A1424" s="28" t="s">
        <v>1172</v>
      </c>
      <c r="B1424" s="34">
        <v>1</v>
      </c>
    </row>
    <row r="1425" spans="1:2" x14ac:dyDescent="0.2">
      <c r="A1425" s="28" t="s">
        <v>223</v>
      </c>
      <c r="B1425" s="34">
        <v>1</v>
      </c>
    </row>
    <row r="1426" spans="1:2" x14ac:dyDescent="0.2">
      <c r="A1426" s="28" t="s">
        <v>24</v>
      </c>
      <c r="B1426" s="34">
        <v>2</v>
      </c>
    </row>
    <row r="1427" spans="1:2" x14ac:dyDescent="0.2">
      <c r="A1427" s="28" t="s">
        <v>849</v>
      </c>
      <c r="B1427" s="34">
        <v>0</v>
      </c>
    </row>
    <row r="1428" spans="1:2" x14ac:dyDescent="0.2">
      <c r="A1428" s="28" t="s">
        <v>56</v>
      </c>
      <c r="B1428" s="34">
        <v>2</v>
      </c>
    </row>
    <row r="1429" spans="1:2" x14ac:dyDescent="0.2">
      <c r="A1429" s="28" t="s">
        <v>1172</v>
      </c>
      <c r="B1429" s="34">
        <v>1</v>
      </c>
    </row>
    <row r="1430" spans="1:2" x14ac:dyDescent="0.2">
      <c r="A1430" s="28" t="s">
        <v>109</v>
      </c>
      <c r="B1430" s="34">
        <v>3</v>
      </c>
    </row>
    <row r="1431" spans="1:2" x14ac:dyDescent="0.2">
      <c r="A1431" s="28" t="s">
        <v>1172</v>
      </c>
      <c r="B1431" s="34">
        <v>1</v>
      </c>
    </row>
    <row r="1432" spans="1:2" x14ac:dyDescent="0.2">
      <c r="A1432" s="28" t="s">
        <v>1172</v>
      </c>
      <c r="B1432" s="34">
        <v>1</v>
      </c>
    </row>
    <row r="1433" spans="1:2" x14ac:dyDescent="0.2">
      <c r="A1433" s="28" t="s">
        <v>24</v>
      </c>
      <c r="B1433" s="34">
        <v>2</v>
      </c>
    </row>
    <row r="1434" spans="1:2" x14ac:dyDescent="0.2">
      <c r="A1434" s="28" t="s">
        <v>1252</v>
      </c>
      <c r="B1434" s="34">
        <v>3</v>
      </c>
    </row>
    <row r="1435" spans="1:2" x14ac:dyDescent="0.2">
      <c r="A1435" s="28" t="s">
        <v>849</v>
      </c>
      <c r="B1435" s="34">
        <v>1</v>
      </c>
    </row>
    <row r="1436" spans="1:2" x14ac:dyDescent="0.2">
      <c r="A1436" s="28" t="s">
        <v>700</v>
      </c>
      <c r="B1436" s="34">
        <v>2</v>
      </c>
    </row>
    <row r="1437" spans="1:2" x14ac:dyDescent="0.2">
      <c r="A1437" s="28" t="s">
        <v>1037</v>
      </c>
      <c r="B1437" s="34">
        <v>1</v>
      </c>
    </row>
    <row r="1438" spans="1:2" x14ac:dyDescent="0.2">
      <c r="A1438" s="28" t="s">
        <v>1055</v>
      </c>
      <c r="B1438" s="34">
        <v>0</v>
      </c>
    </row>
    <row r="1439" spans="1:2" x14ac:dyDescent="0.2">
      <c r="A1439" s="28" t="s">
        <v>1138</v>
      </c>
      <c r="B1439" s="34">
        <v>0</v>
      </c>
    </row>
    <row r="1440" spans="1:2" x14ac:dyDescent="0.2">
      <c r="A1440" s="28" t="s">
        <v>117</v>
      </c>
      <c r="B1440" s="34">
        <v>2</v>
      </c>
    </row>
    <row r="1441" spans="1:2" x14ac:dyDescent="0.2">
      <c r="A1441" s="28" t="s">
        <v>1293</v>
      </c>
      <c r="B1441" s="34">
        <v>1</v>
      </c>
    </row>
    <row r="1442" spans="1:2" x14ac:dyDescent="0.2">
      <c r="A1442" s="28" t="s">
        <v>286</v>
      </c>
      <c r="B1442" s="34">
        <v>1</v>
      </c>
    </row>
    <row r="1443" spans="1:2" x14ac:dyDescent="0.2">
      <c r="A1443" s="28" t="s">
        <v>1303</v>
      </c>
      <c r="B1443" s="34">
        <v>1</v>
      </c>
    </row>
    <row r="1444" spans="1:2" x14ac:dyDescent="0.2">
      <c r="A1444" s="28" t="s">
        <v>25</v>
      </c>
      <c r="B1444" s="34">
        <v>0</v>
      </c>
    </row>
    <row r="1445" spans="1:2" x14ac:dyDescent="0.2">
      <c r="A1445" s="28" t="s">
        <v>925</v>
      </c>
      <c r="B1445" s="34">
        <v>1</v>
      </c>
    </row>
    <row r="1446" spans="1:2" x14ac:dyDescent="0.2">
      <c r="A1446" s="28" t="s">
        <v>34</v>
      </c>
      <c r="B1446" s="34">
        <v>2</v>
      </c>
    </row>
    <row r="1447" spans="1:2" x14ac:dyDescent="0.2">
      <c r="A1447" s="28" t="s">
        <v>190</v>
      </c>
      <c r="B1447" s="34">
        <v>2</v>
      </c>
    </row>
    <row r="1448" spans="1:2" x14ac:dyDescent="0.2">
      <c r="A1448" s="28" t="s">
        <v>628</v>
      </c>
      <c r="B1448" s="34">
        <v>0</v>
      </c>
    </row>
    <row r="1449" spans="1:2" x14ac:dyDescent="0.2">
      <c r="A1449" s="28" t="s">
        <v>458</v>
      </c>
      <c r="B1449" s="34">
        <v>0</v>
      </c>
    </row>
    <row r="1450" spans="1:2" x14ac:dyDescent="0.2">
      <c r="A1450" s="28" t="s">
        <v>933</v>
      </c>
      <c r="B1450" s="34">
        <v>2</v>
      </c>
    </row>
    <row r="1451" spans="1:2" x14ac:dyDescent="0.2">
      <c r="A1451" s="28" t="s">
        <v>1252</v>
      </c>
      <c r="B1451" s="34">
        <v>1</v>
      </c>
    </row>
    <row r="1452" spans="1:2" x14ac:dyDescent="0.2">
      <c r="A1452" s="28" t="s">
        <v>1037</v>
      </c>
      <c r="B1452" s="34">
        <v>1</v>
      </c>
    </row>
    <row r="1453" spans="1:2" x14ac:dyDescent="0.2">
      <c r="A1453" s="28" t="s">
        <v>72</v>
      </c>
      <c r="B1453" s="34">
        <v>0</v>
      </c>
    </row>
    <row r="1454" spans="1:2" x14ac:dyDescent="0.2">
      <c r="A1454" s="28" t="s">
        <v>1055</v>
      </c>
      <c r="B1454" s="34">
        <v>0</v>
      </c>
    </row>
    <row r="1455" spans="1:2" x14ac:dyDescent="0.2">
      <c r="A1455" s="28" t="s">
        <v>223</v>
      </c>
      <c r="B1455" s="34">
        <v>1</v>
      </c>
    </row>
    <row r="1456" spans="1:2" x14ac:dyDescent="0.2">
      <c r="A1456" s="28" t="s">
        <v>68</v>
      </c>
      <c r="B1456" s="34">
        <v>1</v>
      </c>
    </row>
    <row r="1457" spans="1:2" x14ac:dyDescent="0.2">
      <c r="A1457" s="28" t="s">
        <v>1293</v>
      </c>
      <c r="B1457" s="34">
        <v>1</v>
      </c>
    </row>
    <row r="1458" spans="1:2" x14ac:dyDescent="0.2">
      <c r="A1458" s="28" t="s">
        <v>1313</v>
      </c>
      <c r="B1458" s="34">
        <v>0</v>
      </c>
    </row>
    <row r="1459" spans="1:2" x14ac:dyDescent="0.2">
      <c r="A1459" s="28" t="s">
        <v>1172</v>
      </c>
      <c r="B1459" s="34">
        <v>0</v>
      </c>
    </row>
    <row r="1460" spans="1:2" x14ac:dyDescent="0.2">
      <c r="A1460" s="28" t="s">
        <v>286</v>
      </c>
      <c r="B1460" s="34">
        <v>2</v>
      </c>
    </row>
    <row r="1461" spans="1:2" x14ac:dyDescent="0.2">
      <c r="A1461" s="28" t="s">
        <v>1043</v>
      </c>
      <c r="B1461" s="34">
        <v>1</v>
      </c>
    </row>
    <row r="1462" spans="1:2" x14ac:dyDescent="0.2">
      <c r="A1462" s="28" t="s">
        <v>1303</v>
      </c>
      <c r="B1462" s="34">
        <v>0</v>
      </c>
    </row>
    <row r="1463" spans="1:2" x14ac:dyDescent="0.2">
      <c r="A1463" s="28" t="s">
        <v>33</v>
      </c>
      <c r="B1463" s="34">
        <v>1</v>
      </c>
    </row>
    <row r="1464" spans="1:2" x14ac:dyDescent="0.2">
      <c r="A1464" s="28" t="s">
        <v>190</v>
      </c>
      <c r="B1464" s="34">
        <v>1</v>
      </c>
    </row>
    <row r="1465" spans="1:2" x14ac:dyDescent="0.2">
      <c r="A1465" s="28" t="s">
        <v>34</v>
      </c>
      <c r="B1465" s="34">
        <v>0</v>
      </c>
    </row>
    <row r="1466" spans="1:2" x14ac:dyDescent="0.2">
      <c r="A1466" s="28" t="s">
        <v>24</v>
      </c>
      <c r="B1466" s="34">
        <v>1</v>
      </c>
    </row>
    <row r="1467" spans="1:2" x14ac:dyDescent="0.2">
      <c r="A1467" s="28" t="s">
        <v>72</v>
      </c>
      <c r="B1467" s="34">
        <v>0</v>
      </c>
    </row>
    <row r="1468" spans="1:2" x14ac:dyDescent="0.2">
      <c r="A1468" s="28" t="s">
        <v>933</v>
      </c>
      <c r="B1468" s="34">
        <v>3</v>
      </c>
    </row>
    <row r="1469" spans="1:2" x14ac:dyDescent="0.2">
      <c r="A1469" s="28" t="s">
        <v>124</v>
      </c>
      <c r="B1469" s="34">
        <v>3</v>
      </c>
    </row>
    <row r="1470" spans="1:2" x14ac:dyDescent="0.2">
      <c r="A1470" s="28" t="s">
        <v>56</v>
      </c>
      <c r="B1470" s="34">
        <v>2</v>
      </c>
    </row>
    <row r="1471" spans="1:2" x14ac:dyDescent="0.2">
      <c r="A1471" s="28" t="s">
        <v>223</v>
      </c>
      <c r="B1471" s="34">
        <v>1</v>
      </c>
    </row>
    <row r="1472" spans="1:2" x14ac:dyDescent="0.2">
      <c r="A1472" s="28" t="s">
        <v>68</v>
      </c>
      <c r="B1472" s="34">
        <v>0</v>
      </c>
    </row>
    <row r="1473" spans="1:2" x14ac:dyDescent="0.2">
      <c r="A1473" s="28" t="s">
        <v>131</v>
      </c>
      <c r="B1473" s="34">
        <v>3</v>
      </c>
    </row>
    <row r="1474" spans="1:2" x14ac:dyDescent="0.2">
      <c r="A1474" s="28" t="s">
        <v>42</v>
      </c>
      <c r="B1474" s="34">
        <v>3</v>
      </c>
    </row>
    <row r="1475" spans="1:2" x14ac:dyDescent="0.2">
      <c r="A1475" s="28" t="s">
        <v>1313</v>
      </c>
      <c r="B1475" s="34">
        <v>5</v>
      </c>
    </row>
    <row r="1476" spans="1:2" x14ac:dyDescent="0.2">
      <c r="A1476" s="28" t="s">
        <v>1172</v>
      </c>
      <c r="B1476" s="34">
        <v>0</v>
      </c>
    </row>
    <row r="1477" spans="1:2" x14ac:dyDescent="0.2">
      <c r="A1477" s="28" t="s">
        <v>138</v>
      </c>
      <c r="B1477" s="34">
        <v>0</v>
      </c>
    </row>
    <row r="1478" spans="1:2" x14ac:dyDescent="0.2">
      <c r="A1478" s="28" t="s">
        <v>1161</v>
      </c>
      <c r="B1478" s="34">
        <v>1</v>
      </c>
    </row>
    <row r="1479" spans="1:2" x14ac:dyDescent="0.2">
      <c r="A1479" s="28" t="s">
        <v>291</v>
      </c>
      <c r="B1479" s="34">
        <v>2</v>
      </c>
    </row>
    <row r="1480" spans="1:2" x14ac:dyDescent="0.2">
      <c r="A1480" s="28" t="s">
        <v>33</v>
      </c>
      <c r="B1480" s="34">
        <v>1</v>
      </c>
    </row>
    <row r="1481" spans="1:2" x14ac:dyDescent="0.2">
      <c r="A1481" s="28" t="s">
        <v>1043</v>
      </c>
      <c r="B1481" s="34">
        <v>1</v>
      </c>
    </row>
    <row r="1482" spans="1:2" x14ac:dyDescent="0.2">
      <c r="A1482" s="28" t="s">
        <v>223</v>
      </c>
      <c r="B1482" s="34">
        <v>2</v>
      </c>
    </row>
    <row r="1483" spans="1:2" x14ac:dyDescent="0.2">
      <c r="A1483" s="28" t="s">
        <v>68</v>
      </c>
      <c r="B1483" s="34">
        <v>3</v>
      </c>
    </row>
    <row r="1484" spans="1:2" x14ac:dyDescent="0.2">
      <c r="A1484" s="28" t="s">
        <v>933</v>
      </c>
      <c r="B1484" s="34">
        <v>0</v>
      </c>
    </row>
    <row r="1485" spans="1:2" x14ac:dyDescent="0.2">
      <c r="A1485" s="28" t="s">
        <v>1252</v>
      </c>
      <c r="B1485" s="34">
        <v>1</v>
      </c>
    </row>
    <row r="1486" spans="1:2" x14ac:dyDescent="0.2">
      <c r="A1486" s="28" t="s">
        <v>34</v>
      </c>
      <c r="B1486" s="34">
        <v>2</v>
      </c>
    </row>
    <row r="1487" spans="1:2" x14ac:dyDescent="0.2">
      <c r="A1487" s="28" t="s">
        <v>33</v>
      </c>
      <c r="B1487" s="34">
        <v>0</v>
      </c>
    </row>
    <row r="1488" spans="1:2" x14ac:dyDescent="0.2">
      <c r="A1488" s="28" t="s">
        <v>286</v>
      </c>
      <c r="B1488" s="34">
        <v>2</v>
      </c>
    </row>
    <row r="1489" spans="1:2" x14ac:dyDescent="0.2">
      <c r="A1489" s="28" t="s">
        <v>138</v>
      </c>
      <c r="B1489" s="34">
        <v>1</v>
      </c>
    </row>
    <row r="1490" spans="1:2" x14ac:dyDescent="0.2">
      <c r="A1490" s="28" t="s">
        <v>42</v>
      </c>
      <c r="B1490" s="34">
        <v>1</v>
      </c>
    </row>
    <row r="1491" spans="1:2" x14ac:dyDescent="0.2">
      <c r="A1491" s="28" t="s">
        <v>33</v>
      </c>
      <c r="B1491" s="34">
        <v>2</v>
      </c>
    </row>
    <row r="1492" spans="1:2" x14ac:dyDescent="0.2">
      <c r="A1492" s="28" t="s">
        <v>286</v>
      </c>
      <c r="B1492" s="34">
        <v>0</v>
      </c>
    </row>
    <row r="1493" spans="1:2" x14ac:dyDescent="0.2">
      <c r="A1493" s="28" t="s">
        <v>291</v>
      </c>
      <c r="B1493" s="34">
        <v>1</v>
      </c>
    </row>
    <row r="1494" spans="1:2" x14ac:dyDescent="0.2">
      <c r="A1494" s="28" t="s">
        <v>291</v>
      </c>
      <c r="B1494" s="34">
        <v>0</v>
      </c>
    </row>
    <row r="1495" spans="1:2" x14ac:dyDescent="0.2">
      <c r="A1495" s="28" t="s">
        <v>286</v>
      </c>
      <c r="B1495" s="34">
        <v>0</v>
      </c>
    </row>
    <row r="1496" spans="1:2" x14ac:dyDescent="0.2">
      <c r="A1496" s="28" t="s">
        <v>286</v>
      </c>
      <c r="B1496" s="34">
        <v>0</v>
      </c>
    </row>
    <row r="1497" spans="1:2" x14ac:dyDescent="0.2">
      <c r="A1497" s="28" t="s">
        <v>42</v>
      </c>
      <c r="B1497" s="34">
        <v>3</v>
      </c>
    </row>
    <row r="1498" spans="1:2" x14ac:dyDescent="0.2">
      <c r="A1498" s="28" t="s">
        <v>925</v>
      </c>
      <c r="B1498" s="34">
        <v>2</v>
      </c>
    </row>
    <row r="1499" spans="1:2" x14ac:dyDescent="0.2">
      <c r="A1499" s="28" t="s">
        <v>1303</v>
      </c>
      <c r="B1499" s="34">
        <v>2</v>
      </c>
    </row>
    <row r="1500" spans="1:2" x14ac:dyDescent="0.2">
      <c r="A1500" s="28" t="s">
        <v>68</v>
      </c>
      <c r="B1500" s="34">
        <v>2</v>
      </c>
    </row>
    <row r="1501" spans="1:2" x14ac:dyDescent="0.2">
      <c r="A1501" s="28" t="s">
        <v>117</v>
      </c>
      <c r="B1501" s="34">
        <v>0</v>
      </c>
    </row>
    <row r="1502" spans="1:2" x14ac:dyDescent="0.2">
      <c r="A1502" s="28" t="s">
        <v>1444</v>
      </c>
      <c r="B1502" s="34">
        <v>0</v>
      </c>
    </row>
    <row r="1503" spans="1:2" x14ac:dyDescent="0.2">
      <c r="A1503" s="28" t="s">
        <v>109</v>
      </c>
      <c r="B1503" s="34">
        <v>1</v>
      </c>
    </row>
    <row r="1504" spans="1:2" x14ac:dyDescent="0.2">
      <c r="A1504" s="28" t="s">
        <v>669</v>
      </c>
      <c r="B1504" s="34">
        <v>1</v>
      </c>
    </row>
    <row r="1505" spans="1:2" x14ac:dyDescent="0.2">
      <c r="A1505" s="28" t="s">
        <v>458</v>
      </c>
      <c r="B1505" s="34">
        <v>1</v>
      </c>
    </row>
    <row r="1506" spans="1:2" x14ac:dyDescent="0.2">
      <c r="A1506" s="28" t="s">
        <v>1161</v>
      </c>
      <c r="B1506" s="34">
        <v>1</v>
      </c>
    </row>
    <row r="1507" spans="1:2" x14ac:dyDescent="0.2">
      <c r="A1507" s="28" t="s">
        <v>1476</v>
      </c>
      <c r="B1507" s="34">
        <v>1</v>
      </c>
    </row>
    <row r="1508" spans="1:2" x14ac:dyDescent="0.2">
      <c r="A1508" s="28" t="s">
        <v>1483</v>
      </c>
      <c r="B1508" s="34">
        <v>3</v>
      </c>
    </row>
    <row r="1509" spans="1:2" x14ac:dyDescent="0.2">
      <c r="A1509" s="28" t="s">
        <v>1488</v>
      </c>
      <c r="B1509" s="34">
        <v>0</v>
      </c>
    </row>
    <row r="1510" spans="1:2" x14ac:dyDescent="0.2">
      <c r="A1510" s="28" t="s">
        <v>108</v>
      </c>
      <c r="B1510" s="34">
        <v>1</v>
      </c>
    </row>
    <row r="1511" spans="1:2" x14ac:dyDescent="0.2">
      <c r="A1511" s="28" t="s">
        <v>1172</v>
      </c>
      <c r="B1511" s="34">
        <v>0</v>
      </c>
    </row>
    <row r="1512" spans="1:2" x14ac:dyDescent="0.2">
      <c r="A1512" s="28" t="s">
        <v>1500</v>
      </c>
      <c r="B1512" s="34">
        <v>0</v>
      </c>
    </row>
    <row r="1513" spans="1:2" x14ac:dyDescent="0.2">
      <c r="A1513" s="28" t="s">
        <v>1037</v>
      </c>
      <c r="B1513" s="34">
        <v>0</v>
      </c>
    </row>
    <row r="1514" spans="1:2" x14ac:dyDescent="0.2">
      <c r="A1514" s="28" t="s">
        <v>190</v>
      </c>
      <c r="B1514" s="34">
        <v>2</v>
      </c>
    </row>
    <row r="1515" spans="1:2" x14ac:dyDescent="0.2">
      <c r="A1515" s="28" t="s">
        <v>925</v>
      </c>
      <c r="B1515" s="34">
        <v>0</v>
      </c>
    </row>
    <row r="1516" spans="1:2" x14ac:dyDescent="0.2">
      <c r="A1516" s="28" t="s">
        <v>1437</v>
      </c>
      <c r="B1516" s="34">
        <v>0</v>
      </c>
    </row>
    <row r="1517" spans="1:2" x14ac:dyDescent="0.2">
      <c r="A1517" s="28" t="s">
        <v>68</v>
      </c>
      <c r="B1517" s="34">
        <v>0</v>
      </c>
    </row>
    <row r="1518" spans="1:2" x14ac:dyDescent="0.2">
      <c r="A1518" s="28" t="s">
        <v>1452</v>
      </c>
      <c r="B1518" s="34">
        <v>0</v>
      </c>
    </row>
    <row r="1519" spans="1:2" x14ac:dyDescent="0.2">
      <c r="A1519" s="28" t="s">
        <v>1444</v>
      </c>
      <c r="B1519" s="34">
        <v>0</v>
      </c>
    </row>
    <row r="1520" spans="1:2" x14ac:dyDescent="0.2">
      <c r="A1520" s="28" t="s">
        <v>1465</v>
      </c>
      <c r="B1520" s="34">
        <v>1</v>
      </c>
    </row>
    <row r="1521" spans="1:2" x14ac:dyDescent="0.2">
      <c r="A1521" s="28" t="s">
        <v>648</v>
      </c>
      <c r="B1521" s="34">
        <v>0</v>
      </c>
    </row>
    <row r="1522" spans="1:2" x14ac:dyDescent="0.2">
      <c r="A1522" s="28" t="s">
        <v>1483</v>
      </c>
      <c r="B1522" s="34">
        <v>0</v>
      </c>
    </row>
    <row r="1523" spans="1:2" x14ac:dyDescent="0.2">
      <c r="A1523" s="28" t="s">
        <v>33</v>
      </c>
      <c r="B1523" s="34">
        <v>2</v>
      </c>
    </row>
    <row r="1524" spans="1:2" x14ac:dyDescent="0.2">
      <c r="A1524" s="28" t="s">
        <v>1172</v>
      </c>
      <c r="B1524" s="34">
        <v>1</v>
      </c>
    </row>
    <row r="1525" spans="1:2" x14ac:dyDescent="0.2">
      <c r="A1525" s="28" t="s">
        <v>556</v>
      </c>
      <c r="B1525" s="34">
        <v>0</v>
      </c>
    </row>
    <row r="1526" spans="1:2" x14ac:dyDescent="0.2">
      <c r="A1526" s="28" t="s">
        <v>291</v>
      </c>
      <c r="B1526" s="34">
        <v>0</v>
      </c>
    </row>
    <row r="1527" spans="1:2" x14ac:dyDescent="0.2">
      <c r="A1527" s="28" t="s">
        <v>108</v>
      </c>
      <c r="B1527" s="34">
        <v>1</v>
      </c>
    </row>
    <row r="1528" spans="1:2" x14ac:dyDescent="0.2">
      <c r="A1528" s="28" t="s">
        <v>1500</v>
      </c>
      <c r="B1528" s="34">
        <v>2</v>
      </c>
    </row>
    <row r="1529" spans="1:2" x14ac:dyDescent="0.2">
      <c r="A1529" s="28" t="s">
        <v>628</v>
      </c>
      <c r="B1529" s="34">
        <v>4</v>
      </c>
    </row>
    <row r="1530" spans="1:2" x14ac:dyDescent="0.2">
      <c r="A1530" s="28" t="s">
        <v>124</v>
      </c>
      <c r="B1530" s="34">
        <v>1</v>
      </c>
    </row>
    <row r="1531" spans="1:2" x14ac:dyDescent="0.2">
      <c r="A1531" s="28" t="s">
        <v>190</v>
      </c>
      <c r="B1531" s="34">
        <v>3</v>
      </c>
    </row>
    <row r="1532" spans="1:2" x14ac:dyDescent="0.2">
      <c r="A1532" s="28" t="s">
        <v>223</v>
      </c>
      <c r="B1532" s="34">
        <v>2</v>
      </c>
    </row>
    <row r="1533" spans="1:2" x14ac:dyDescent="0.2">
      <c r="A1533" s="28" t="s">
        <v>1437</v>
      </c>
      <c r="B1533" s="34">
        <v>2</v>
      </c>
    </row>
    <row r="1534" spans="1:2" x14ac:dyDescent="0.2">
      <c r="A1534" s="28" t="s">
        <v>1465</v>
      </c>
      <c r="B1534" s="34">
        <v>0</v>
      </c>
    </row>
    <row r="1535" spans="1:2" x14ac:dyDescent="0.2">
      <c r="A1535" s="28" t="s">
        <v>25</v>
      </c>
      <c r="B1535" s="34">
        <v>1</v>
      </c>
    </row>
    <row r="1536" spans="1:2" x14ac:dyDescent="0.2">
      <c r="A1536" s="28" t="s">
        <v>56</v>
      </c>
      <c r="B1536" s="34">
        <v>1</v>
      </c>
    </row>
    <row r="1537" spans="1:2" x14ac:dyDescent="0.2">
      <c r="A1537" s="28" t="s">
        <v>1452</v>
      </c>
      <c r="B1537" s="34">
        <v>0</v>
      </c>
    </row>
    <row r="1538" spans="1:2" x14ac:dyDescent="0.2">
      <c r="A1538" s="28" t="s">
        <v>138</v>
      </c>
      <c r="B1538" s="34">
        <v>2</v>
      </c>
    </row>
    <row r="1539" spans="1:2" x14ac:dyDescent="0.2">
      <c r="A1539" s="28" t="s">
        <v>33</v>
      </c>
      <c r="B1539" s="34">
        <v>2</v>
      </c>
    </row>
    <row r="1540" spans="1:2" x14ac:dyDescent="0.2">
      <c r="A1540" s="28" t="s">
        <v>42</v>
      </c>
      <c r="B1540" s="34">
        <v>1</v>
      </c>
    </row>
    <row r="1541" spans="1:2" x14ac:dyDescent="0.2">
      <c r="A1541" s="28" t="s">
        <v>556</v>
      </c>
      <c r="B1541" s="34">
        <v>4</v>
      </c>
    </row>
    <row r="1542" spans="1:2" x14ac:dyDescent="0.2">
      <c r="A1542" s="28" t="s">
        <v>628</v>
      </c>
      <c r="B1542" s="34">
        <v>2</v>
      </c>
    </row>
    <row r="1543" spans="1:2" x14ac:dyDescent="0.2">
      <c r="A1543" s="28" t="s">
        <v>131</v>
      </c>
      <c r="B1543" s="34">
        <v>0</v>
      </c>
    </row>
    <row r="1544" spans="1:2" x14ac:dyDescent="0.2">
      <c r="A1544" s="28" t="s">
        <v>24</v>
      </c>
      <c r="B1544" s="34">
        <v>1</v>
      </c>
    </row>
    <row r="1545" spans="1:2" x14ac:dyDescent="0.2">
      <c r="A1545" s="28" t="s">
        <v>291</v>
      </c>
      <c r="B1545" s="34">
        <v>2</v>
      </c>
    </row>
    <row r="1546" spans="1:2" x14ac:dyDescent="0.2">
      <c r="A1546" s="28" t="s">
        <v>117</v>
      </c>
      <c r="B1546" s="34">
        <v>0</v>
      </c>
    </row>
    <row r="1547" spans="1:2" x14ac:dyDescent="0.2">
      <c r="A1547" s="28" t="s">
        <v>25</v>
      </c>
      <c r="B1547" s="34">
        <v>0</v>
      </c>
    </row>
    <row r="1548" spans="1:2" x14ac:dyDescent="0.2">
      <c r="A1548" s="28" t="s">
        <v>1303</v>
      </c>
      <c r="B1548" s="34">
        <v>1</v>
      </c>
    </row>
    <row r="1549" spans="1:2" x14ac:dyDescent="0.2">
      <c r="A1549" s="28" t="s">
        <v>109</v>
      </c>
      <c r="B1549" s="34">
        <v>0</v>
      </c>
    </row>
    <row r="1550" spans="1:2" x14ac:dyDescent="0.2">
      <c r="A1550" s="28" t="s">
        <v>556</v>
      </c>
      <c r="B1550" s="34">
        <v>0</v>
      </c>
    </row>
    <row r="1551" spans="1:2" x14ac:dyDescent="0.2">
      <c r="A1551" s="28" t="s">
        <v>1500</v>
      </c>
      <c r="B1551" s="34">
        <v>0</v>
      </c>
    </row>
    <row r="1552" spans="1:2" x14ac:dyDescent="0.2">
      <c r="A1552" s="28" t="s">
        <v>1483</v>
      </c>
      <c r="B1552" s="34">
        <v>0</v>
      </c>
    </row>
    <row r="1553" spans="1:2" x14ac:dyDescent="0.2">
      <c r="A1553" s="28" t="s">
        <v>24</v>
      </c>
      <c r="B1553" s="34">
        <v>0</v>
      </c>
    </row>
    <row r="1554" spans="1:2" x14ac:dyDescent="0.2">
      <c r="A1554" s="28" t="s">
        <v>56</v>
      </c>
      <c r="B1554" s="34">
        <v>3</v>
      </c>
    </row>
    <row r="1555" spans="1:2" x14ac:dyDescent="0.2">
      <c r="A1555" s="28" t="s">
        <v>1500</v>
      </c>
      <c r="B1555" s="34">
        <v>1</v>
      </c>
    </row>
    <row r="1556" spans="1:2" x14ac:dyDescent="0.2">
      <c r="A1556" s="28" t="s">
        <v>458</v>
      </c>
      <c r="B1556" s="34">
        <v>0</v>
      </c>
    </row>
    <row r="1557" spans="1:2" x14ac:dyDescent="0.2">
      <c r="A1557" s="28" t="s">
        <v>24</v>
      </c>
      <c r="B1557" s="34">
        <v>0</v>
      </c>
    </row>
    <row r="1558" spans="1:2" x14ac:dyDescent="0.2">
      <c r="A1558" s="28" t="s">
        <v>138</v>
      </c>
      <c r="B1558" s="34">
        <v>1</v>
      </c>
    </row>
    <row r="1559" spans="1:2" x14ac:dyDescent="0.2">
      <c r="A1559" s="28" t="s">
        <v>24</v>
      </c>
      <c r="B1559" s="34">
        <v>2</v>
      </c>
    </row>
    <row r="1560" spans="1:2" x14ac:dyDescent="0.2">
      <c r="A1560" s="28" t="s">
        <v>458</v>
      </c>
      <c r="B1560" s="34">
        <v>1</v>
      </c>
    </row>
    <row r="1561" spans="1:2" x14ac:dyDescent="0.2">
      <c r="A1561" s="28" t="s">
        <v>24</v>
      </c>
      <c r="B1561" s="34">
        <v>1</v>
      </c>
    </row>
    <row r="1562" spans="1:2" x14ac:dyDescent="0.2">
      <c r="A1562" s="28" t="s">
        <v>25</v>
      </c>
      <c r="B1562" s="34">
        <v>1</v>
      </c>
    </row>
    <row r="1563" spans="1:2" x14ac:dyDescent="0.2">
      <c r="A1563" s="28" t="s">
        <v>24</v>
      </c>
      <c r="B1563" s="34">
        <v>1</v>
      </c>
    </row>
    <row r="1564" spans="1:2" x14ac:dyDescent="0.2">
      <c r="A1564" s="28" t="s">
        <v>1051</v>
      </c>
      <c r="B1564" s="34">
        <v>0</v>
      </c>
    </row>
    <row r="1565" spans="1:2" x14ac:dyDescent="0.2">
      <c r="A1565" s="28" t="s">
        <v>1055</v>
      </c>
      <c r="B1565" s="34">
        <v>0</v>
      </c>
    </row>
    <row r="1566" spans="1:2" x14ac:dyDescent="0.2">
      <c r="A1566" s="28" t="s">
        <v>33</v>
      </c>
      <c r="B1566" s="34">
        <v>0</v>
      </c>
    </row>
    <row r="1567" spans="1:2" x14ac:dyDescent="0.2">
      <c r="A1567" s="28" t="s">
        <v>1293</v>
      </c>
      <c r="B1567" s="34">
        <v>1</v>
      </c>
    </row>
    <row r="1568" spans="1:2" x14ac:dyDescent="0.2">
      <c r="A1568" s="28" t="s">
        <v>1483</v>
      </c>
      <c r="B1568" s="34">
        <v>1</v>
      </c>
    </row>
    <row r="1569" spans="1:2" x14ac:dyDescent="0.2">
      <c r="A1569" s="28" t="s">
        <v>556</v>
      </c>
      <c r="B1569" s="34">
        <v>1</v>
      </c>
    </row>
    <row r="1570" spans="1:2" x14ac:dyDescent="0.2">
      <c r="A1570" s="28" t="s">
        <v>849</v>
      </c>
      <c r="B1570" s="34">
        <v>0</v>
      </c>
    </row>
    <row r="1571" spans="1:2" x14ac:dyDescent="0.2">
      <c r="A1571" s="28" t="s">
        <v>700</v>
      </c>
      <c r="B1571" s="34">
        <v>0</v>
      </c>
    </row>
    <row r="1572" spans="1:2" x14ac:dyDescent="0.2">
      <c r="A1572" s="28" t="s">
        <v>68</v>
      </c>
      <c r="B1572" s="34">
        <v>0</v>
      </c>
    </row>
    <row r="1573" spans="1:2" x14ac:dyDescent="0.2">
      <c r="A1573" s="28" t="s">
        <v>1620</v>
      </c>
      <c r="B1573" s="34">
        <v>1</v>
      </c>
    </row>
    <row r="1574" spans="1:2" x14ac:dyDescent="0.2">
      <c r="A1574" s="28" t="s">
        <v>458</v>
      </c>
      <c r="B1574" s="34">
        <v>1</v>
      </c>
    </row>
    <row r="1575" spans="1:2" x14ac:dyDescent="0.2">
      <c r="A1575" s="28" t="s">
        <v>451</v>
      </c>
      <c r="B1575" s="34">
        <v>0</v>
      </c>
    </row>
    <row r="1576" spans="1:2" x14ac:dyDescent="0.2">
      <c r="A1576" s="28" t="s">
        <v>61</v>
      </c>
      <c r="B1576" s="34">
        <v>1</v>
      </c>
    </row>
    <row r="1577" spans="1:2" x14ac:dyDescent="0.2">
      <c r="A1577" s="28" t="s">
        <v>108</v>
      </c>
      <c r="B1577" s="34">
        <v>1</v>
      </c>
    </row>
    <row r="1578" spans="1:2" x14ac:dyDescent="0.2">
      <c r="A1578" s="28" t="s">
        <v>72</v>
      </c>
      <c r="B1578" s="34">
        <v>1</v>
      </c>
    </row>
    <row r="1579" spans="1:2" x14ac:dyDescent="0.2">
      <c r="A1579" s="28" t="s">
        <v>291</v>
      </c>
      <c r="B1579" s="34">
        <v>3</v>
      </c>
    </row>
    <row r="1580" spans="1:2" x14ac:dyDescent="0.2">
      <c r="A1580" s="28" t="s">
        <v>1055</v>
      </c>
      <c r="B1580" s="34">
        <v>1</v>
      </c>
    </row>
    <row r="1581" spans="1:2" x14ac:dyDescent="0.2">
      <c r="A1581" s="28" t="s">
        <v>25</v>
      </c>
      <c r="B1581" s="34">
        <v>1</v>
      </c>
    </row>
    <row r="1582" spans="1:2" x14ac:dyDescent="0.2">
      <c r="A1582" s="28" t="s">
        <v>1598</v>
      </c>
      <c r="B1582" s="34">
        <v>2</v>
      </c>
    </row>
    <row r="1583" spans="1:2" x14ac:dyDescent="0.2">
      <c r="A1583" s="28" t="s">
        <v>33</v>
      </c>
      <c r="B1583" s="34">
        <v>1</v>
      </c>
    </row>
    <row r="1584" spans="1:2" x14ac:dyDescent="0.2">
      <c r="A1584" s="28" t="s">
        <v>718</v>
      </c>
      <c r="B1584" s="34">
        <v>2</v>
      </c>
    </row>
    <row r="1585" spans="1:2" x14ac:dyDescent="0.2">
      <c r="A1585" s="28" t="s">
        <v>1161</v>
      </c>
      <c r="B1585" s="34">
        <v>0</v>
      </c>
    </row>
    <row r="1586" spans="1:2" x14ac:dyDescent="0.2">
      <c r="A1586" s="28" t="s">
        <v>556</v>
      </c>
      <c r="B1586" s="34">
        <v>0</v>
      </c>
    </row>
    <row r="1587" spans="1:2" x14ac:dyDescent="0.2">
      <c r="A1587" s="28" t="s">
        <v>849</v>
      </c>
      <c r="B1587" s="34">
        <v>1</v>
      </c>
    </row>
    <row r="1588" spans="1:2" x14ac:dyDescent="0.2">
      <c r="A1588" s="28" t="s">
        <v>68</v>
      </c>
      <c r="B1588" s="34">
        <v>2</v>
      </c>
    </row>
    <row r="1589" spans="1:2" x14ac:dyDescent="0.2">
      <c r="A1589" s="28" t="s">
        <v>710</v>
      </c>
      <c r="B1589" s="34">
        <v>2</v>
      </c>
    </row>
    <row r="1590" spans="1:2" x14ac:dyDescent="0.2">
      <c r="A1590" s="28" t="s">
        <v>1444</v>
      </c>
      <c r="B1590" s="34">
        <v>1</v>
      </c>
    </row>
    <row r="1591" spans="1:2" x14ac:dyDescent="0.2">
      <c r="A1591" s="28" t="s">
        <v>451</v>
      </c>
      <c r="B1591" s="34">
        <v>1</v>
      </c>
    </row>
    <row r="1592" spans="1:2" x14ac:dyDescent="0.2">
      <c r="A1592" s="28" t="s">
        <v>108</v>
      </c>
      <c r="B1592" s="34">
        <v>0</v>
      </c>
    </row>
    <row r="1593" spans="1:2" x14ac:dyDescent="0.2">
      <c r="A1593" s="28" t="s">
        <v>730</v>
      </c>
      <c r="B1593" s="34">
        <v>0</v>
      </c>
    </row>
    <row r="1594" spans="1:2" x14ac:dyDescent="0.2">
      <c r="A1594" s="28" t="s">
        <v>72</v>
      </c>
      <c r="B1594" s="34">
        <v>0</v>
      </c>
    </row>
    <row r="1595" spans="1:2" x14ac:dyDescent="0.2">
      <c r="A1595" s="28" t="s">
        <v>1138</v>
      </c>
      <c r="B1595" s="34">
        <v>1</v>
      </c>
    </row>
    <row r="1596" spans="1:2" x14ac:dyDescent="0.2">
      <c r="A1596" s="28" t="s">
        <v>291</v>
      </c>
      <c r="B1596" s="34">
        <v>2</v>
      </c>
    </row>
    <row r="1597" spans="1:2" x14ac:dyDescent="0.2">
      <c r="A1597" s="28" t="s">
        <v>56</v>
      </c>
      <c r="B1597" s="34">
        <v>2</v>
      </c>
    </row>
    <row r="1598" spans="1:2" x14ac:dyDescent="0.2">
      <c r="A1598" s="28" t="s">
        <v>223</v>
      </c>
      <c r="B1598" s="34">
        <v>2</v>
      </c>
    </row>
    <row r="1599" spans="1:2" x14ac:dyDescent="0.2">
      <c r="A1599" s="28" t="s">
        <v>718</v>
      </c>
      <c r="B1599" s="34">
        <v>1</v>
      </c>
    </row>
    <row r="1600" spans="1:2" x14ac:dyDescent="0.2">
      <c r="A1600" s="28" t="s">
        <v>124</v>
      </c>
      <c r="B1600" s="34">
        <v>0</v>
      </c>
    </row>
    <row r="1601" spans="1:2" x14ac:dyDescent="0.2">
      <c r="A1601" s="28" t="s">
        <v>1598</v>
      </c>
      <c r="B1601" s="34">
        <v>1</v>
      </c>
    </row>
    <row r="1602" spans="1:2" x14ac:dyDescent="0.2">
      <c r="A1602" s="28" t="s">
        <v>138</v>
      </c>
      <c r="B1602" s="34">
        <v>1</v>
      </c>
    </row>
    <row r="1603" spans="1:2" x14ac:dyDescent="0.2">
      <c r="A1603" s="28" t="s">
        <v>710</v>
      </c>
      <c r="B1603" s="34">
        <v>2</v>
      </c>
    </row>
    <row r="1604" spans="1:2" x14ac:dyDescent="0.2">
      <c r="A1604" s="28" t="s">
        <v>1161</v>
      </c>
      <c r="B1604" s="34">
        <v>0</v>
      </c>
    </row>
    <row r="1605" spans="1:2" x14ac:dyDescent="0.2">
      <c r="A1605" s="28" t="s">
        <v>109</v>
      </c>
      <c r="B1605" s="34">
        <v>3</v>
      </c>
    </row>
    <row r="1606" spans="1:2" x14ac:dyDescent="0.2">
      <c r="A1606" s="28" t="s">
        <v>42</v>
      </c>
      <c r="B1606" s="34">
        <v>2</v>
      </c>
    </row>
    <row r="1607" spans="1:2" x14ac:dyDescent="0.2">
      <c r="A1607" s="28" t="s">
        <v>1444</v>
      </c>
      <c r="B1607" s="34">
        <v>0</v>
      </c>
    </row>
    <row r="1608" spans="1:2" x14ac:dyDescent="0.2">
      <c r="A1608" s="28" t="s">
        <v>131</v>
      </c>
      <c r="B1608" s="34">
        <v>3</v>
      </c>
    </row>
    <row r="1609" spans="1:2" x14ac:dyDescent="0.2">
      <c r="A1609" s="28" t="s">
        <v>730</v>
      </c>
      <c r="B1609" s="34">
        <v>2</v>
      </c>
    </row>
    <row r="1610" spans="1:2" x14ac:dyDescent="0.2">
      <c r="A1610" s="28" t="s">
        <v>291</v>
      </c>
      <c r="B1610" s="34">
        <v>0</v>
      </c>
    </row>
    <row r="1611" spans="1:2" x14ac:dyDescent="0.2">
      <c r="A1611" s="28" t="s">
        <v>1483</v>
      </c>
      <c r="B1611" s="34">
        <v>1</v>
      </c>
    </row>
    <row r="1612" spans="1:2" x14ac:dyDescent="0.2">
      <c r="A1612" s="28" t="s">
        <v>223</v>
      </c>
      <c r="B1612" s="34">
        <v>2</v>
      </c>
    </row>
    <row r="1613" spans="1:2" x14ac:dyDescent="0.2">
      <c r="A1613" s="28" t="s">
        <v>25</v>
      </c>
      <c r="B1613" s="34">
        <v>1</v>
      </c>
    </row>
    <row r="1614" spans="1:2" x14ac:dyDescent="0.2">
      <c r="A1614" s="28" t="s">
        <v>1620</v>
      </c>
      <c r="B1614" s="34">
        <v>1</v>
      </c>
    </row>
    <row r="1615" spans="1:2" x14ac:dyDescent="0.2">
      <c r="A1615" s="28" t="s">
        <v>61</v>
      </c>
      <c r="B1615" s="34">
        <v>1</v>
      </c>
    </row>
    <row r="1616" spans="1:2" x14ac:dyDescent="0.2">
      <c r="A1616" s="28" t="s">
        <v>1161</v>
      </c>
      <c r="B1616" s="34">
        <v>0</v>
      </c>
    </row>
    <row r="1617" spans="1:2" x14ac:dyDescent="0.2">
      <c r="A1617" s="28" t="s">
        <v>458</v>
      </c>
      <c r="B1617" s="34">
        <v>0</v>
      </c>
    </row>
    <row r="1618" spans="1:2" x14ac:dyDescent="0.2">
      <c r="A1618" s="28" t="s">
        <v>42</v>
      </c>
      <c r="B1618" s="34">
        <v>0</v>
      </c>
    </row>
    <row r="1619" spans="1:2" x14ac:dyDescent="0.2">
      <c r="A1619" s="28" t="s">
        <v>1483</v>
      </c>
      <c r="B1619" s="34">
        <v>1</v>
      </c>
    </row>
    <row r="1620" spans="1:2" x14ac:dyDescent="0.2">
      <c r="A1620" s="28" t="s">
        <v>124</v>
      </c>
      <c r="B1620" s="34">
        <v>1</v>
      </c>
    </row>
    <row r="1621" spans="1:2" x14ac:dyDescent="0.2">
      <c r="A1621" s="28" t="s">
        <v>131</v>
      </c>
      <c r="B1621" s="34">
        <v>4</v>
      </c>
    </row>
    <row r="1622" spans="1:2" x14ac:dyDescent="0.2">
      <c r="A1622" s="28" t="s">
        <v>109</v>
      </c>
      <c r="B1622" s="34">
        <v>1</v>
      </c>
    </row>
    <row r="1623" spans="1:2" x14ac:dyDescent="0.2">
      <c r="A1623" s="28" t="s">
        <v>131</v>
      </c>
      <c r="B1623" s="34">
        <v>3</v>
      </c>
    </row>
    <row r="1624" spans="1:2" x14ac:dyDescent="0.2">
      <c r="A1624" s="28" t="s">
        <v>124</v>
      </c>
      <c r="B1624" s="34">
        <v>1</v>
      </c>
    </row>
    <row r="1625" spans="1:2" x14ac:dyDescent="0.2">
      <c r="A1625" s="28" t="s">
        <v>131</v>
      </c>
      <c r="B1625" s="34">
        <v>3</v>
      </c>
    </row>
    <row r="1626" spans="1:2" x14ac:dyDescent="0.2">
      <c r="A1626" s="28" t="s">
        <v>1172</v>
      </c>
      <c r="B1626" s="34">
        <v>1</v>
      </c>
    </row>
    <row r="1627" spans="1:2" x14ac:dyDescent="0.2">
      <c r="A1627" s="28" t="s">
        <v>700</v>
      </c>
      <c r="B1627" s="34">
        <v>1</v>
      </c>
    </row>
    <row r="1628" spans="1:2" x14ac:dyDescent="0.2">
      <c r="A1628" s="28" t="s">
        <v>109</v>
      </c>
      <c r="B1628" s="34">
        <v>0</v>
      </c>
    </row>
    <row r="1629" spans="1:2" x14ac:dyDescent="0.2">
      <c r="A1629" s="28" t="s">
        <v>556</v>
      </c>
      <c r="B1629" s="34">
        <v>5</v>
      </c>
    </row>
    <row r="1630" spans="1:2" x14ac:dyDescent="0.2">
      <c r="A1630" s="28" t="s">
        <v>1051</v>
      </c>
      <c r="B1630" s="34">
        <v>1</v>
      </c>
    </row>
    <row r="1631" spans="1:2" x14ac:dyDescent="0.2">
      <c r="A1631" s="28" t="s">
        <v>925</v>
      </c>
      <c r="B1631" s="34">
        <v>0</v>
      </c>
    </row>
    <row r="1632" spans="1:2" x14ac:dyDescent="0.2">
      <c r="A1632" s="28" t="s">
        <v>138</v>
      </c>
      <c r="B1632" s="34">
        <v>3</v>
      </c>
    </row>
    <row r="1633" spans="1:2" x14ac:dyDescent="0.2">
      <c r="A1633" s="28" t="s">
        <v>1161</v>
      </c>
      <c r="B1633" s="34">
        <v>2</v>
      </c>
    </row>
    <row r="1634" spans="1:2" x14ac:dyDescent="0.2">
      <c r="A1634" s="28" t="s">
        <v>1303</v>
      </c>
      <c r="B1634" s="34">
        <v>1</v>
      </c>
    </row>
    <row r="1635" spans="1:2" x14ac:dyDescent="0.2">
      <c r="A1635" s="28" t="s">
        <v>730</v>
      </c>
      <c r="B1635" s="34">
        <v>1</v>
      </c>
    </row>
    <row r="1636" spans="1:2" x14ac:dyDescent="0.2">
      <c r="A1636" s="28" t="s">
        <v>1753</v>
      </c>
      <c r="B1636" s="34">
        <v>0</v>
      </c>
    </row>
    <row r="1637" spans="1:2" x14ac:dyDescent="0.2">
      <c r="A1637" s="28" t="s">
        <v>458</v>
      </c>
      <c r="B1637" s="34">
        <v>1</v>
      </c>
    </row>
    <row r="1638" spans="1:2" x14ac:dyDescent="0.2">
      <c r="A1638" s="28" t="s">
        <v>1055</v>
      </c>
      <c r="B1638" s="34">
        <v>0</v>
      </c>
    </row>
    <row r="1639" spans="1:2" x14ac:dyDescent="0.2">
      <c r="A1639" s="28" t="s">
        <v>33</v>
      </c>
      <c r="B1639" s="34">
        <v>0</v>
      </c>
    </row>
    <row r="1640" spans="1:2" x14ac:dyDescent="0.2">
      <c r="A1640" s="28" t="s">
        <v>718</v>
      </c>
      <c r="B1640" s="34">
        <v>2</v>
      </c>
    </row>
    <row r="1641" spans="1:2" x14ac:dyDescent="0.2">
      <c r="A1641" s="28" t="s">
        <v>25</v>
      </c>
      <c r="B1641" s="34">
        <v>1</v>
      </c>
    </row>
    <row r="1642" spans="1:2" x14ac:dyDescent="0.2">
      <c r="A1642" s="28" t="s">
        <v>291</v>
      </c>
      <c r="B1642" s="34">
        <v>0</v>
      </c>
    </row>
    <row r="1643" spans="1:2" x14ac:dyDescent="0.2">
      <c r="A1643" s="28" t="s">
        <v>109</v>
      </c>
      <c r="B1643" s="34">
        <v>1</v>
      </c>
    </row>
    <row r="1644" spans="1:2" x14ac:dyDescent="0.2">
      <c r="A1644" s="28" t="s">
        <v>61</v>
      </c>
      <c r="B1644" s="34">
        <v>3</v>
      </c>
    </row>
    <row r="1645" spans="1:2" x14ac:dyDescent="0.2">
      <c r="A1645" s="28" t="s">
        <v>1172</v>
      </c>
      <c r="B1645" s="34">
        <v>2</v>
      </c>
    </row>
    <row r="1646" spans="1:2" x14ac:dyDescent="0.2">
      <c r="A1646" s="28" t="s">
        <v>1444</v>
      </c>
      <c r="B1646" s="34">
        <v>4</v>
      </c>
    </row>
    <row r="1647" spans="1:2" x14ac:dyDescent="0.2">
      <c r="A1647" s="28" t="s">
        <v>223</v>
      </c>
      <c r="B1647" s="34">
        <v>1</v>
      </c>
    </row>
    <row r="1648" spans="1:2" x14ac:dyDescent="0.2">
      <c r="A1648" s="28" t="s">
        <v>1051</v>
      </c>
      <c r="B1648" s="34">
        <v>1</v>
      </c>
    </row>
    <row r="1649" spans="1:2" x14ac:dyDescent="0.2">
      <c r="A1649" s="28" t="s">
        <v>925</v>
      </c>
      <c r="B1649" s="34">
        <v>0</v>
      </c>
    </row>
    <row r="1650" spans="1:2" x14ac:dyDescent="0.2">
      <c r="A1650" s="28" t="s">
        <v>24</v>
      </c>
      <c r="B1650" s="34">
        <v>1</v>
      </c>
    </row>
    <row r="1651" spans="1:2" x14ac:dyDescent="0.2">
      <c r="A1651" s="28" t="s">
        <v>1303</v>
      </c>
      <c r="B1651" s="34">
        <v>5</v>
      </c>
    </row>
    <row r="1652" spans="1:2" x14ac:dyDescent="0.2">
      <c r="A1652" s="28" t="s">
        <v>648</v>
      </c>
      <c r="B1652" s="34">
        <v>2</v>
      </c>
    </row>
    <row r="1653" spans="1:2" x14ac:dyDescent="0.2">
      <c r="A1653" s="28" t="s">
        <v>1483</v>
      </c>
      <c r="B1653" s="34">
        <v>0</v>
      </c>
    </row>
    <row r="1654" spans="1:2" x14ac:dyDescent="0.2">
      <c r="A1654" s="28" t="s">
        <v>1753</v>
      </c>
      <c r="B1654" s="34">
        <v>2</v>
      </c>
    </row>
    <row r="1655" spans="1:2" x14ac:dyDescent="0.2">
      <c r="A1655" s="28" t="s">
        <v>1043</v>
      </c>
      <c r="B1655" s="34">
        <v>0</v>
      </c>
    </row>
    <row r="1656" spans="1:2" x14ac:dyDescent="0.2">
      <c r="A1656" s="28" t="s">
        <v>718</v>
      </c>
      <c r="B1656" s="34">
        <v>0</v>
      </c>
    </row>
    <row r="1657" spans="1:2" x14ac:dyDescent="0.2">
      <c r="A1657" s="28" t="s">
        <v>458</v>
      </c>
      <c r="B1657" s="34">
        <v>4</v>
      </c>
    </row>
    <row r="1658" spans="1:2" x14ac:dyDescent="0.2">
      <c r="A1658" s="28" t="s">
        <v>131</v>
      </c>
      <c r="B1658" s="34">
        <v>2</v>
      </c>
    </row>
    <row r="1659" spans="1:2" x14ac:dyDescent="0.2">
      <c r="A1659" s="28" t="s">
        <v>61</v>
      </c>
      <c r="B1659" s="34">
        <v>3</v>
      </c>
    </row>
    <row r="1660" spans="1:2" x14ac:dyDescent="0.2">
      <c r="A1660" s="28" t="s">
        <v>42</v>
      </c>
      <c r="B1660" s="34">
        <v>0</v>
      </c>
    </row>
    <row r="1661" spans="1:2" x14ac:dyDescent="0.2">
      <c r="A1661" s="28" t="s">
        <v>25</v>
      </c>
      <c r="B1661" s="34">
        <v>4</v>
      </c>
    </row>
    <row r="1662" spans="1:2" x14ac:dyDescent="0.2">
      <c r="A1662" s="28" t="s">
        <v>72</v>
      </c>
      <c r="B1662" s="34">
        <v>3</v>
      </c>
    </row>
    <row r="1663" spans="1:2" x14ac:dyDescent="0.2">
      <c r="A1663" s="28" t="s">
        <v>223</v>
      </c>
      <c r="B1663" s="34">
        <v>1</v>
      </c>
    </row>
    <row r="1664" spans="1:2" x14ac:dyDescent="0.2">
      <c r="A1664" s="28" t="s">
        <v>390</v>
      </c>
      <c r="B1664" s="34">
        <v>0</v>
      </c>
    </row>
    <row r="1665" spans="1:2" x14ac:dyDescent="0.2">
      <c r="A1665" s="28" t="s">
        <v>1444</v>
      </c>
      <c r="B1665" s="34">
        <v>4</v>
      </c>
    </row>
    <row r="1666" spans="1:2" x14ac:dyDescent="0.2">
      <c r="A1666" s="28" t="s">
        <v>56</v>
      </c>
      <c r="B1666" s="34">
        <v>1</v>
      </c>
    </row>
    <row r="1667" spans="1:2" x14ac:dyDescent="0.2">
      <c r="A1667" s="28" t="s">
        <v>648</v>
      </c>
      <c r="B1667" s="34">
        <v>3</v>
      </c>
    </row>
    <row r="1668" spans="1:2" x14ac:dyDescent="0.2">
      <c r="A1668" s="28" t="s">
        <v>108</v>
      </c>
      <c r="B1668" s="34">
        <v>1</v>
      </c>
    </row>
    <row r="1669" spans="1:2" x14ac:dyDescent="0.2">
      <c r="A1669" s="28" t="s">
        <v>24</v>
      </c>
      <c r="B1669" s="34">
        <v>3</v>
      </c>
    </row>
    <row r="1670" spans="1:2" x14ac:dyDescent="0.2">
      <c r="A1670" s="28" t="s">
        <v>124</v>
      </c>
      <c r="B1670" s="34">
        <v>0</v>
      </c>
    </row>
    <row r="1671" spans="1:2" x14ac:dyDescent="0.2">
      <c r="A1671" s="28" t="s">
        <v>1483</v>
      </c>
      <c r="B1671" s="34">
        <v>1</v>
      </c>
    </row>
    <row r="1672" spans="1:2" x14ac:dyDescent="0.2">
      <c r="A1672" s="28" t="s">
        <v>34</v>
      </c>
      <c r="B1672" s="34">
        <v>1</v>
      </c>
    </row>
    <row r="1673" spans="1:2" x14ac:dyDescent="0.2">
      <c r="A1673" s="28" t="s">
        <v>1043</v>
      </c>
      <c r="B1673" s="34">
        <v>1</v>
      </c>
    </row>
    <row r="1674" spans="1:2" x14ac:dyDescent="0.2">
      <c r="A1674" s="28" t="s">
        <v>61</v>
      </c>
      <c r="B1674" s="34">
        <v>1</v>
      </c>
    </row>
    <row r="1675" spans="1:2" x14ac:dyDescent="0.2">
      <c r="A1675" s="28" t="s">
        <v>72</v>
      </c>
      <c r="B1675" s="34">
        <v>1</v>
      </c>
    </row>
    <row r="1676" spans="1:2" x14ac:dyDescent="0.2">
      <c r="A1676" s="28" t="s">
        <v>1055</v>
      </c>
      <c r="B1676" s="34">
        <v>0</v>
      </c>
    </row>
    <row r="1677" spans="1:2" x14ac:dyDescent="0.2">
      <c r="A1677" s="28" t="s">
        <v>718</v>
      </c>
      <c r="B1677" s="34">
        <v>0</v>
      </c>
    </row>
    <row r="1678" spans="1:2" x14ac:dyDescent="0.2">
      <c r="A1678" s="28" t="s">
        <v>390</v>
      </c>
      <c r="B1678" s="34">
        <v>1</v>
      </c>
    </row>
    <row r="1679" spans="1:2" x14ac:dyDescent="0.2">
      <c r="A1679" s="28" t="s">
        <v>124</v>
      </c>
      <c r="B1679" s="34">
        <v>1</v>
      </c>
    </row>
    <row r="1680" spans="1:2" x14ac:dyDescent="0.2">
      <c r="A1680" s="28" t="s">
        <v>124</v>
      </c>
      <c r="B1680" s="34">
        <v>1</v>
      </c>
    </row>
    <row r="1681" spans="1:2" x14ac:dyDescent="0.2">
      <c r="A1681" s="28" t="s">
        <v>109</v>
      </c>
      <c r="B1681" s="34">
        <v>7</v>
      </c>
    </row>
    <row r="1682" spans="1:2" x14ac:dyDescent="0.2">
      <c r="A1682" s="28" t="s">
        <v>56</v>
      </c>
      <c r="B1682" s="34">
        <v>3</v>
      </c>
    </row>
    <row r="1683" spans="1:2" x14ac:dyDescent="0.2">
      <c r="A1683" s="28" t="s">
        <v>56</v>
      </c>
      <c r="B1683" s="34">
        <v>0</v>
      </c>
    </row>
    <row r="1684" spans="1:2" x14ac:dyDescent="0.2">
      <c r="A1684" s="28" t="s">
        <v>925</v>
      </c>
      <c r="B1684" s="34">
        <v>0</v>
      </c>
    </row>
    <row r="1685" spans="1:2" x14ac:dyDescent="0.2">
      <c r="A1685" s="28" t="s">
        <v>34</v>
      </c>
      <c r="B1685" s="34">
        <v>0</v>
      </c>
    </row>
    <row r="1686" spans="1:2" x14ac:dyDescent="0.2">
      <c r="A1686" s="28" t="s">
        <v>25</v>
      </c>
      <c r="B1686" s="34">
        <v>0</v>
      </c>
    </row>
    <row r="1687" spans="1:2" x14ac:dyDescent="0.2">
      <c r="A1687" s="28" t="s">
        <v>1051</v>
      </c>
      <c r="B1687" s="34">
        <v>1</v>
      </c>
    </row>
    <row r="1688" spans="1:2" x14ac:dyDescent="0.2">
      <c r="A1688" s="28" t="s">
        <v>108</v>
      </c>
      <c r="B1688" s="34">
        <v>1</v>
      </c>
    </row>
    <row r="1689" spans="1:2" x14ac:dyDescent="0.2">
      <c r="A1689" s="28" t="s">
        <v>33</v>
      </c>
      <c r="B1689" s="34">
        <v>0</v>
      </c>
    </row>
    <row r="1690" spans="1:2" x14ac:dyDescent="0.2">
      <c r="A1690" s="28" t="s">
        <v>61</v>
      </c>
      <c r="B1690" s="34">
        <v>1</v>
      </c>
    </row>
    <row r="1691" spans="1:2" x14ac:dyDescent="0.2">
      <c r="A1691" s="28" t="s">
        <v>72</v>
      </c>
      <c r="B1691" s="34">
        <v>1</v>
      </c>
    </row>
    <row r="1692" spans="1:2" x14ac:dyDescent="0.2">
      <c r="A1692" s="28" t="s">
        <v>25</v>
      </c>
      <c r="B1692" s="34">
        <v>0</v>
      </c>
    </row>
    <row r="1693" spans="1:2" x14ac:dyDescent="0.2">
      <c r="A1693" s="28" t="s">
        <v>1051</v>
      </c>
      <c r="B1693" s="34">
        <v>1</v>
      </c>
    </row>
    <row r="1694" spans="1:2" x14ac:dyDescent="0.2">
      <c r="A1694" s="28" t="s">
        <v>1055</v>
      </c>
      <c r="B1694" s="34">
        <v>1</v>
      </c>
    </row>
    <row r="1695" spans="1:2" x14ac:dyDescent="0.2">
      <c r="A1695" s="28" t="s">
        <v>718</v>
      </c>
      <c r="B1695" s="34">
        <v>0</v>
      </c>
    </row>
    <row r="1696" spans="1:2" x14ac:dyDescent="0.2">
      <c r="A1696" s="28" t="s">
        <v>108</v>
      </c>
      <c r="B1696" s="34">
        <v>1</v>
      </c>
    </row>
    <row r="1697" spans="1:3" x14ac:dyDescent="0.2">
      <c r="A1697" s="28" t="s">
        <v>33</v>
      </c>
      <c r="B1697" s="34">
        <v>0</v>
      </c>
    </row>
    <row r="1698" spans="1:3" x14ac:dyDescent="0.2">
      <c r="A1698" s="28" t="s">
        <v>124</v>
      </c>
      <c r="B1698" s="34">
        <v>1</v>
      </c>
    </row>
    <row r="1699" spans="1:3" x14ac:dyDescent="0.2">
      <c r="A1699" s="28" t="s">
        <v>390</v>
      </c>
      <c r="B1699" s="34">
        <v>1</v>
      </c>
    </row>
    <row r="1700" spans="1:3" x14ac:dyDescent="0.2">
      <c r="A1700" s="28" t="s">
        <v>34</v>
      </c>
      <c r="B1700" s="34">
        <v>1</v>
      </c>
    </row>
    <row r="1701" spans="1:3" x14ac:dyDescent="0.2">
      <c r="A1701" s="28" t="s">
        <v>925</v>
      </c>
      <c r="B1701" s="34">
        <v>0</v>
      </c>
    </row>
    <row r="1702" spans="1:3" x14ac:dyDescent="0.2">
      <c r="A1702" s="28" t="s">
        <v>124</v>
      </c>
      <c r="B1702" s="34">
        <v>0</v>
      </c>
    </row>
    <row r="1703" spans="1:3" x14ac:dyDescent="0.2">
      <c r="A1703" s="28" t="s">
        <v>56</v>
      </c>
      <c r="B1703" s="34">
        <v>7</v>
      </c>
    </row>
    <row r="1704" spans="1:3" x14ac:dyDescent="0.2">
      <c r="A1704" s="6" t="s">
        <v>109</v>
      </c>
      <c r="B1704" s="35">
        <v>0</v>
      </c>
    </row>
    <row r="1705" spans="1:3" x14ac:dyDescent="0.2">
      <c r="A1705" s="6" t="s">
        <v>56</v>
      </c>
      <c r="B1705" s="35">
        <v>3</v>
      </c>
    </row>
    <row r="1706" spans="1:3" x14ac:dyDescent="0.2">
      <c r="A1706" s="6" t="s">
        <v>1960</v>
      </c>
      <c r="B1706" s="35">
        <f>SUBTOTAL(109,Table3[Team Goals])</f>
        <v>2414</v>
      </c>
    </row>
    <row r="1707" spans="1:3" x14ac:dyDescent="0.2">
      <c r="A1707" s="5" t="s">
        <v>1961</v>
      </c>
      <c r="B1707" s="31">
        <f>AVERAGE(Table3[[#Data],[#Totals],[Team Goals]])</f>
        <v>2.8316715542521993</v>
      </c>
      <c r="C1707" s="30"/>
    </row>
  </sheetData>
  <pageMargins left="0.7" right="0.7" top="0.75" bottom="0.75" header="0.3" footer="0.3"/>
  <pageSetup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9BF71-1E93-445F-938B-46C0FA313F38}">
  <dimension ref="A3:B14"/>
  <sheetViews>
    <sheetView workbookViewId="0">
      <selection activeCell="N12" sqref="N12"/>
    </sheetView>
  </sheetViews>
  <sheetFormatPr defaultRowHeight="12.75" x14ac:dyDescent="0.2"/>
  <cols>
    <col min="1" max="1" width="11.7109375" bestFit="1" customWidth="1"/>
    <col min="2" max="2" width="11.28515625" bestFit="1" customWidth="1"/>
  </cols>
  <sheetData>
    <row r="3" spans="1:2" x14ac:dyDescent="0.2">
      <c r="A3" s="23" t="s">
        <v>1874</v>
      </c>
      <c r="B3" s="3" t="s">
        <v>1879</v>
      </c>
    </row>
    <row r="4" spans="1:2" x14ac:dyDescent="0.2">
      <c r="A4" s="3" t="s">
        <v>42</v>
      </c>
      <c r="B4" s="27">
        <v>208</v>
      </c>
    </row>
    <row r="5" spans="1:2" x14ac:dyDescent="0.2">
      <c r="A5" s="3" t="s">
        <v>56</v>
      </c>
      <c r="B5" s="27">
        <v>151</v>
      </c>
    </row>
    <row r="6" spans="1:2" x14ac:dyDescent="0.2">
      <c r="A6" s="3" t="s">
        <v>138</v>
      </c>
      <c r="B6" s="27">
        <v>129</v>
      </c>
    </row>
    <row r="7" spans="1:2" x14ac:dyDescent="0.2">
      <c r="A7" s="3" t="s">
        <v>285</v>
      </c>
      <c r="B7" s="27">
        <v>124</v>
      </c>
    </row>
    <row r="8" spans="1:2" x14ac:dyDescent="0.2">
      <c r="A8" s="3" t="s">
        <v>24</v>
      </c>
      <c r="B8" s="27">
        <v>102</v>
      </c>
    </row>
    <row r="9" spans="1:2" x14ac:dyDescent="0.2">
      <c r="A9" s="3" t="s">
        <v>131</v>
      </c>
      <c r="B9" s="27">
        <v>91</v>
      </c>
    </row>
    <row r="10" spans="1:2" x14ac:dyDescent="0.2">
      <c r="A10" s="3" t="s">
        <v>72</v>
      </c>
      <c r="B10" s="27">
        <v>87</v>
      </c>
    </row>
    <row r="11" spans="1:2" x14ac:dyDescent="0.2">
      <c r="A11" s="3" t="s">
        <v>99</v>
      </c>
      <c r="B11" s="27">
        <v>85</v>
      </c>
    </row>
    <row r="12" spans="1:2" x14ac:dyDescent="0.2">
      <c r="A12" s="3" t="s">
        <v>109</v>
      </c>
      <c r="B12" s="27">
        <v>85</v>
      </c>
    </row>
    <row r="13" spans="1:2" x14ac:dyDescent="0.2">
      <c r="A13" s="3" t="s">
        <v>223</v>
      </c>
      <c r="B13" s="27">
        <v>84</v>
      </c>
    </row>
    <row r="14" spans="1:2" x14ac:dyDescent="0.2">
      <c r="A14" s="3" t="s">
        <v>1847</v>
      </c>
      <c r="B14" s="27">
        <v>1146</v>
      </c>
    </row>
  </sheetData>
  <pageMargins left="0.7" right="0.7" top="0.75" bottom="0.75" header="0.3" footer="0.3"/>
  <pageSetup orientation="portrait" r:id="rId2"/>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sheetPr>
  <dimension ref="A1:X853"/>
  <sheetViews>
    <sheetView topLeftCell="A675" zoomScale="85" zoomScaleNormal="85" zoomScalePageLayoutView="60" workbookViewId="0">
      <selection activeCell="A853" sqref="A853:X853"/>
    </sheetView>
  </sheetViews>
  <sheetFormatPr defaultColWidth="11.5703125" defaultRowHeight="12.75" x14ac:dyDescent="0.2"/>
  <cols>
    <col min="1" max="1" width="9.42578125" style="13" bestFit="1" customWidth="1"/>
    <col min="2" max="2" width="19.140625" style="17" customWidth="1"/>
    <col min="3" max="3" width="19.28515625" style="5" customWidth="1"/>
    <col min="4" max="4" width="45.42578125" style="5" customWidth="1"/>
    <col min="5" max="5" width="30.7109375" style="5" customWidth="1"/>
    <col min="6" max="6" width="24.5703125" style="5" customWidth="1"/>
    <col min="7" max="7" width="19.85546875" style="13" customWidth="1"/>
    <col min="8" max="8" width="19.5703125" style="13" customWidth="1"/>
    <col min="9" max="9" width="24.5703125" style="5" customWidth="1"/>
    <col min="10" max="10" width="36" style="5" customWidth="1"/>
    <col min="11" max="11" width="13.42578125" style="5" customWidth="1"/>
    <col min="12" max="12" width="22.85546875" style="13" customWidth="1"/>
    <col min="13" max="13" width="22.5703125" style="13" customWidth="1"/>
    <col min="14" max="15" width="38.7109375" style="5" customWidth="1"/>
    <col min="16" max="16" width="39.5703125" style="5" bestFit="1" customWidth="1"/>
    <col min="17" max="17" width="12.5703125" style="13" bestFit="1" customWidth="1"/>
    <col min="18" max="18" width="12.42578125" style="13" bestFit="1" customWidth="1"/>
    <col min="19" max="19" width="20.7109375" style="5" customWidth="1"/>
    <col min="20" max="20" width="20.42578125" style="5" customWidth="1"/>
    <col min="21" max="21" width="14.7109375" style="3" customWidth="1"/>
    <col min="22" max="22" width="19.42578125" style="3" bestFit="1" customWidth="1"/>
    <col min="23" max="23" width="19.42578125" style="5" customWidth="1"/>
    <col min="24" max="16384" width="11.5703125" style="5"/>
  </cols>
  <sheetData>
    <row r="1" spans="1:24" s="22" customFormat="1" x14ac:dyDescent="0.2">
      <c r="A1" s="18" t="s">
        <v>0</v>
      </c>
      <c r="B1" s="14" t="s">
        <v>1</v>
      </c>
      <c r="C1" s="1" t="s">
        <v>2</v>
      </c>
      <c r="D1" s="1" t="s">
        <v>3</v>
      </c>
      <c r="E1" s="1" t="s">
        <v>4</v>
      </c>
      <c r="F1" s="1" t="s">
        <v>5</v>
      </c>
      <c r="G1" s="10" t="s">
        <v>6</v>
      </c>
      <c r="H1" s="10" t="s">
        <v>7</v>
      </c>
      <c r="I1" s="1" t="s">
        <v>8</v>
      </c>
      <c r="J1" s="1" t="s">
        <v>9</v>
      </c>
      <c r="K1" s="1" t="s">
        <v>10</v>
      </c>
      <c r="L1" s="10" t="s">
        <v>11</v>
      </c>
      <c r="M1" s="10" t="s">
        <v>12</v>
      </c>
      <c r="N1" s="1" t="s">
        <v>13</v>
      </c>
      <c r="O1" s="1" t="s">
        <v>14</v>
      </c>
      <c r="P1" s="1" t="s">
        <v>15</v>
      </c>
      <c r="Q1" s="10" t="s">
        <v>16</v>
      </c>
      <c r="R1" s="10" t="s">
        <v>17</v>
      </c>
      <c r="S1" s="1" t="s">
        <v>18</v>
      </c>
      <c r="T1" s="2" t="s">
        <v>19</v>
      </c>
      <c r="U1" s="2" t="s">
        <v>1843</v>
      </c>
      <c r="V1" s="2" t="s">
        <v>1844</v>
      </c>
      <c r="W1" s="2" t="s">
        <v>1846</v>
      </c>
      <c r="X1" s="2" t="s">
        <v>1845</v>
      </c>
    </row>
    <row r="2" spans="1:24" x14ac:dyDescent="0.2">
      <c r="A2" s="19">
        <v>1930</v>
      </c>
      <c r="B2" s="15" t="s">
        <v>20</v>
      </c>
      <c r="C2" s="3" t="s">
        <v>21</v>
      </c>
      <c r="D2" s="3" t="s">
        <v>22</v>
      </c>
      <c r="E2" s="3" t="s">
        <v>23</v>
      </c>
      <c r="F2" s="3" t="s">
        <v>24</v>
      </c>
      <c r="G2" s="11">
        <v>4</v>
      </c>
      <c r="H2" s="11">
        <v>1</v>
      </c>
      <c r="I2" s="3" t="s">
        <v>25</v>
      </c>
      <c r="J2" s="3" t="s">
        <v>1842</v>
      </c>
      <c r="K2" s="3">
        <v>4444</v>
      </c>
      <c r="L2" s="11">
        <v>3</v>
      </c>
      <c r="M2" s="11">
        <v>0</v>
      </c>
      <c r="N2" s="3" t="s">
        <v>26</v>
      </c>
      <c r="O2" s="3" t="s">
        <v>27</v>
      </c>
      <c r="P2" s="3" t="s">
        <v>28</v>
      </c>
      <c r="Q2" s="11">
        <v>201</v>
      </c>
      <c r="R2" s="11">
        <v>1096</v>
      </c>
      <c r="S2" s="3" t="s">
        <v>29</v>
      </c>
      <c r="T2" s="4" t="s">
        <v>30</v>
      </c>
      <c r="U2" s="11">
        <f>World_Cup_Matches[[#This Row],[Home Team Goals]]+World_Cup_Matches[[#This Row],[Away Team Goals]]</f>
        <v>5</v>
      </c>
      <c r="V2" s="11">
        <f>World_Cup_Matches[[#This Row],[Home Team Goals]]-World_Cup_Matches[[#This Row],[Away Team Goals]]</f>
        <v>3</v>
      </c>
      <c r="W2" s="4" t="str">
        <f>IF(World_Cup_Matches[[#This Row],[Home Team Goals]]&gt;World_Cup_Matches[[#This Row],[Away Team Goals]],World_Cup_Matches[[#This Row],[Home Team Name]],IF(World_Cup_Matches[[#This Row],[Away Team Goals]]&gt;World_Cup_Matches[[#This Row],[Home Team Goals]], World_Cup_Matches[[#This Row],[Away Team Name]],"Draw"))</f>
        <v>France</v>
      </c>
      <c r="X2" s="4" t="str">
        <f>IF(World_Cup_Matches[[#This Row],[Home Team Goals]]&gt;World_Cup_Matches[[#This Row],[Away Team Goals]],"Hime Win",IF(World_Cup_Matches[[#This Row],[Away Team Goals]]&gt;World_Cup_Matches[[#This Row],[Home Team Goals]],"Away win","Draw"))</f>
        <v>Hime Win</v>
      </c>
    </row>
    <row r="3" spans="1:24" x14ac:dyDescent="0.2">
      <c r="A3" s="19">
        <v>1930</v>
      </c>
      <c r="B3" s="15" t="s">
        <v>20</v>
      </c>
      <c r="C3" s="3" t="s">
        <v>31</v>
      </c>
      <c r="D3" s="3" t="s">
        <v>32</v>
      </c>
      <c r="E3" s="3" t="s">
        <v>23</v>
      </c>
      <c r="F3" s="3" t="s">
        <v>33</v>
      </c>
      <c r="G3" s="11">
        <v>3</v>
      </c>
      <c r="H3" s="11">
        <v>0</v>
      </c>
      <c r="I3" s="3" t="s">
        <v>34</v>
      </c>
      <c r="J3" s="3" t="s">
        <v>1842</v>
      </c>
      <c r="K3" s="3">
        <v>18346</v>
      </c>
      <c r="L3" s="11">
        <v>2</v>
      </c>
      <c r="M3" s="11">
        <v>0</v>
      </c>
      <c r="N3" s="3" t="s">
        <v>35</v>
      </c>
      <c r="O3" s="3" t="s">
        <v>36</v>
      </c>
      <c r="P3" s="3" t="s">
        <v>37</v>
      </c>
      <c r="Q3" s="11">
        <v>201</v>
      </c>
      <c r="R3" s="11">
        <v>1090</v>
      </c>
      <c r="S3" s="3" t="s">
        <v>33</v>
      </c>
      <c r="T3" s="4" t="s">
        <v>38</v>
      </c>
      <c r="U3" s="11">
        <f>World_Cup_Matches[[#This Row],[Home Team Goals]]+World_Cup_Matches[[#This Row],[Away Team Goals]]</f>
        <v>3</v>
      </c>
      <c r="V3" s="11">
        <f>World_Cup_Matches[[#This Row],[Home Team Goals]]-World_Cup_Matches[[#This Row],[Away Team Goals]]</f>
        <v>3</v>
      </c>
      <c r="W3" s="4" t="str">
        <f>IF(World_Cup_Matches[[#This Row],[Home Team Goals]]&gt;World_Cup_Matches[[#This Row],[Away Team Goals]],World_Cup_Matches[[#This Row],[Home Team Name]],IF(World_Cup_Matches[[#This Row],[Away Team Goals]]&gt;World_Cup_Matches[[#This Row],[Home Team Goals]], World_Cup_Matches[[#This Row],[Away Team Name]],"Draw"))</f>
        <v>USA</v>
      </c>
      <c r="X3" s="4" t="str">
        <f>IF(World_Cup_Matches[[#This Row],[Home Team Goals]]&gt;World_Cup_Matches[[#This Row],[Away Team Goals]],"Hime Win",IF(World_Cup_Matches[[#This Row],[Away Team Goals]]&gt;World_Cup_Matches[[#This Row],[Home Team Goals]],"Away win","Draw"))</f>
        <v>Hime Win</v>
      </c>
    </row>
    <row r="4" spans="1:24" x14ac:dyDescent="0.2">
      <c r="A4" s="19">
        <v>1930</v>
      </c>
      <c r="B4" s="15" t="s">
        <v>39</v>
      </c>
      <c r="C4" s="3" t="s">
        <v>40</v>
      </c>
      <c r="D4" s="3" t="s">
        <v>32</v>
      </c>
      <c r="E4" s="3" t="s">
        <v>23</v>
      </c>
      <c r="F4" s="3" t="s">
        <v>41</v>
      </c>
      <c r="G4" s="11">
        <v>2</v>
      </c>
      <c r="H4" s="11">
        <v>1</v>
      </c>
      <c r="I4" s="3" t="s">
        <v>42</v>
      </c>
      <c r="J4" s="3" t="s">
        <v>1842</v>
      </c>
      <c r="K4" s="3">
        <v>24059</v>
      </c>
      <c r="L4" s="11">
        <v>2</v>
      </c>
      <c r="M4" s="11">
        <v>0</v>
      </c>
      <c r="N4" s="3" t="s">
        <v>43</v>
      </c>
      <c r="O4" s="3" t="s">
        <v>44</v>
      </c>
      <c r="P4" s="3" t="s">
        <v>45</v>
      </c>
      <c r="Q4" s="11">
        <v>201</v>
      </c>
      <c r="R4" s="11">
        <v>1093</v>
      </c>
      <c r="S4" s="3" t="s">
        <v>46</v>
      </c>
      <c r="T4" s="4" t="s">
        <v>47</v>
      </c>
      <c r="U4" s="11">
        <f>World_Cup_Matches[[#This Row],[Home Team Goals]]+World_Cup_Matches[[#This Row],[Away Team Goals]]</f>
        <v>3</v>
      </c>
      <c r="V4" s="11">
        <f>World_Cup_Matches[[#This Row],[Home Team Goals]]-World_Cup_Matches[[#This Row],[Away Team Goals]]</f>
        <v>1</v>
      </c>
      <c r="W4" s="4" t="str">
        <f>IF(World_Cup_Matches[[#This Row],[Home Team Goals]]&gt;World_Cup_Matches[[#This Row],[Away Team Goals]],World_Cup_Matches[[#This Row],[Home Team Name]],IF(World_Cup_Matches[[#This Row],[Away Team Goals]]&gt;World_Cup_Matches[[#This Row],[Home Team Goals]], World_Cup_Matches[[#This Row],[Away Team Name]],"Draw"))</f>
        <v>Yugoslavia</v>
      </c>
      <c r="X4" s="4" t="str">
        <f>IF(World_Cup_Matches[[#This Row],[Home Team Goals]]&gt;World_Cup_Matches[[#This Row],[Away Team Goals]],"Hime Win",IF(World_Cup_Matches[[#This Row],[Away Team Goals]]&gt;World_Cup_Matches[[#This Row],[Home Team Goals]],"Away win","Draw"))</f>
        <v>Hime Win</v>
      </c>
    </row>
    <row r="5" spans="1:24" x14ac:dyDescent="0.2">
      <c r="A5" s="19">
        <v>1930</v>
      </c>
      <c r="B5" s="15" t="s">
        <v>48</v>
      </c>
      <c r="C5" s="3" t="s">
        <v>49</v>
      </c>
      <c r="D5" s="3" t="s">
        <v>22</v>
      </c>
      <c r="E5" s="3" t="s">
        <v>23</v>
      </c>
      <c r="F5" s="3" t="s">
        <v>50</v>
      </c>
      <c r="G5" s="11">
        <v>3</v>
      </c>
      <c r="H5" s="11">
        <v>1</v>
      </c>
      <c r="I5" s="3" t="s">
        <v>51</v>
      </c>
      <c r="J5" s="3" t="s">
        <v>1842</v>
      </c>
      <c r="K5" s="3">
        <v>2549</v>
      </c>
      <c r="L5" s="11">
        <v>1</v>
      </c>
      <c r="M5" s="11">
        <v>0</v>
      </c>
      <c r="N5" s="3" t="s">
        <v>37</v>
      </c>
      <c r="O5" s="3" t="s">
        <v>52</v>
      </c>
      <c r="P5" s="3" t="s">
        <v>36</v>
      </c>
      <c r="Q5" s="11">
        <v>201</v>
      </c>
      <c r="R5" s="11">
        <v>1098</v>
      </c>
      <c r="S5" s="3" t="s">
        <v>53</v>
      </c>
      <c r="T5" s="4" t="s">
        <v>54</v>
      </c>
      <c r="U5" s="11">
        <f>World_Cup_Matches[[#This Row],[Home Team Goals]]+World_Cup_Matches[[#This Row],[Away Team Goals]]</f>
        <v>4</v>
      </c>
      <c r="V5" s="11">
        <f>World_Cup_Matches[[#This Row],[Home Team Goals]]-World_Cup_Matches[[#This Row],[Away Team Goals]]</f>
        <v>2</v>
      </c>
      <c r="W5" s="4" t="str">
        <f>IF(World_Cup_Matches[[#This Row],[Home Team Goals]]&gt;World_Cup_Matches[[#This Row],[Away Team Goals]],World_Cup_Matches[[#This Row],[Home Team Name]],IF(World_Cup_Matches[[#This Row],[Away Team Goals]]&gt;World_Cup_Matches[[#This Row],[Home Team Goals]], World_Cup_Matches[[#This Row],[Away Team Name]],"Draw"))</f>
        <v>Romania</v>
      </c>
      <c r="X5" s="4" t="str">
        <f>IF(World_Cup_Matches[[#This Row],[Home Team Goals]]&gt;World_Cup_Matches[[#This Row],[Away Team Goals]],"Hime Win",IF(World_Cup_Matches[[#This Row],[Away Team Goals]]&gt;World_Cup_Matches[[#This Row],[Home Team Goals]],"Away win","Draw"))</f>
        <v>Hime Win</v>
      </c>
    </row>
    <row r="6" spans="1:24" x14ac:dyDescent="0.2">
      <c r="A6" s="19">
        <v>1930</v>
      </c>
      <c r="B6" s="15" t="s">
        <v>55</v>
      </c>
      <c r="C6" s="3" t="s">
        <v>21</v>
      </c>
      <c r="D6" s="3" t="s">
        <v>32</v>
      </c>
      <c r="E6" s="3" t="s">
        <v>23</v>
      </c>
      <c r="F6" s="3" t="s">
        <v>56</v>
      </c>
      <c r="G6" s="11">
        <v>1</v>
      </c>
      <c r="H6" s="11">
        <v>0</v>
      </c>
      <c r="I6" s="3" t="s">
        <v>24</v>
      </c>
      <c r="J6" s="3" t="s">
        <v>1842</v>
      </c>
      <c r="K6" s="3">
        <v>23409</v>
      </c>
      <c r="L6" s="11">
        <v>0</v>
      </c>
      <c r="M6" s="11">
        <v>0</v>
      </c>
      <c r="N6" s="3" t="s">
        <v>28</v>
      </c>
      <c r="O6" s="3" t="s">
        <v>57</v>
      </c>
      <c r="P6" s="3" t="s">
        <v>58</v>
      </c>
      <c r="Q6" s="11">
        <v>201</v>
      </c>
      <c r="R6" s="11">
        <v>1085</v>
      </c>
      <c r="S6" s="3" t="s">
        <v>59</v>
      </c>
      <c r="T6" s="4" t="s">
        <v>29</v>
      </c>
      <c r="U6" s="11">
        <f>World_Cup_Matches[[#This Row],[Home Team Goals]]+World_Cup_Matches[[#This Row],[Away Team Goals]]</f>
        <v>1</v>
      </c>
      <c r="V6" s="11">
        <f>World_Cup_Matches[[#This Row],[Home Team Goals]]-World_Cup_Matches[[#This Row],[Away Team Goals]]</f>
        <v>1</v>
      </c>
      <c r="W6" s="4" t="str">
        <f>IF(World_Cup_Matches[[#This Row],[Home Team Goals]]&gt;World_Cup_Matches[[#This Row],[Away Team Goals]],World_Cup_Matches[[#This Row],[Home Team Name]],IF(World_Cup_Matches[[#This Row],[Away Team Goals]]&gt;World_Cup_Matches[[#This Row],[Home Team Goals]], World_Cup_Matches[[#This Row],[Away Team Name]],"Draw"))</f>
        <v>Argentina</v>
      </c>
      <c r="X6" s="4" t="str">
        <f>IF(World_Cup_Matches[[#This Row],[Home Team Goals]]&gt;World_Cup_Matches[[#This Row],[Away Team Goals]],"Hime Win",IF(World_Cup_Matches[[#This Row],[Away Team Goals]]&gt;World_Cup_Matches[[#This Row],[Home Team Goals]],"Away win","Draw"))</f>
        <v>Hime Win</v>
      </c>
    </row>
    <row r="7" spans="1:24" x14ac:dyDescent="0.2">
      <c r="A7" s="19">
        <v>1930</v>
      </c>
      <c r="B7" s="15" t="s">
        <v>60</v>
      </c>
      <c r="C7" s="3" t="s">
        <v>21</v>
      </c>
      <c r="D7" s="3" t="s">
        <v>32</v>
      </c>
      <c r="E7" s="3" t="s">
        <v>23</v>
      </c>
      <c r="F7" s="3" t="s">
        <v>61</v>
      </c>
      <c r="G7" s="11">
        <v>3</v>
      </c>
      <c r="H7" s="11">
        <v>0</v>
      </c>
      <c r="I7" s="3" t="s">
        <v>25</v>
      </c>
      <c r="J7" s="3" t="s">
        <v>1842</v>
      </c>
      <c r="K7" s="3">
        <v>9249</v>
      </c>
      <c r="L7" s="11">
        <v>1</v>
      </c>
      <c r="M7" s="11">
        <v>0</v>
      </c>
      <c r="N7" s="3" t="s">
        <v>27</v>
      </c>
      <c r="O7" s="3" t="s">
        <v>62</v>
      </c>
      <c r="P7" s="3" t="s">
        <v>52</v>
      </c>
      <c r="Q7" s="11">
        <v>201</v>
      </c>
      <c r="R7" s="11">
        <v>1095</v>
      </c>
      <c r="S7" s="3" t="s">
        <v>63</v>
      </c>
      <c r="T7" s="4" t="s">
        <v>30</v>
      </c>
      <c r="U7" s="11">
        <f>World_Cup_Matches[[#This Row],[Home Team Goals]]+World_Cup_Matches[[#This Row],[Away Team Goals]]</f>
        <v>3</v>
      </c>
      <c r="V7" s="11">
        <f>World_Cup_Matches[[#This Row],[Home Team Goals]]-World_Cup_Matches[[#This Row],[Away Team Goals]]</f>
        <v>3</v>
      </c>
      <c r="W7" s="4" t="str">
        <f>IF(World_Cup_Matches[[#This Row],[Home Team Goals]]&gt;World_Cup_Matches[[#This Row],[Away Team Goals]],World_Cup_Matches[[#This Row],[Home Team Name]],IF(World_Cup_Matches[[#This Row],[Away Team Goals]]&gt;World_Cup_Matches[[#This Row],[Home Team Goals]], World_Cup_Matches[[#This Row],[Away Team Name]],"Draw"))</f>
        <v>Chile</v>
      </c>
      <c r="X7" s="4" t="str">
        <f>IF(World_Cup_Matches[[#This Row],[Home Team Goals]]&gt;World_Cup_Matches[[#This Row],[Away Team Goals]],"Hime Win",IF(World_Cup_Matches[[#This Row],[Away Team Goals]]&gt;World_Cup_Matches[[#This Row],[Home Team Goals]],"Away win","Draw"))</f>
        <v>Hime Win</v>
      </c>
    </row>
    <row r="8" spans="1:24" x14ac:dyDescent="0.2">
      <c r="A8" s="19">
        <v>1930</v>
      </c>
      <c r="B8" s="15" t="s">
        <v>64</v>
      </c>
      <c r="C8" s="3" t="s">
        <v>40</v>
      </c>
      <c r="D8" s="3" t="s">
        <v>32</v>
      </c>
      <c r="E8" s="3" t="s">
        <v>23</v>
      </c>
      <c r="F8" s="3" t="s">
        <v>41</v>
      </c>
      <c r="G8" s="11">
        <v>4</v>
      </c>
      <c r="H8" s="11">
        <v>0</v>
      </c>
      <c r="I8" s="3" t="s">
        <v>65</v>
      </c>
      <c r="J8" s="3" t="s">
        <v>1842</v>
      </c>
      <c r="K8" s="3">
        <v>18306</v>
      </c>
      <c r="L8" s="11">
        <v>0</v>
      </c>
      <c r="M8" s="11">
        <v>0</v>
      </c>
      <c r="N8" s="3" t="s">
        <v>36</v>
      </c>
      <c r="O8" s="3" t="s">
        <v>26</v>
      </c>
      <c r="P8" s="3" t="s">
        <v>37</v>
      </c>
      <c r="Q8" s="11">
        <v>201</v>
      </c>
      <c r="R8" s="11">
        <v>1092</v>
      </c>
      <c r="S8" s="3" t="s">
        <v>46</v>
      </c>
      <c r="T8" s="4" t="s">
        <v>66</v>
      </c>
      <c r="U8" s="11">
        <f>World_Cup_Matches[[#This Row],[Home Team Goals]]+World_Cup_Matches[[#This Row],[Away Team Goals]]</f>
        <v>4</v>
      </c>
      <c r="V8" s="11">
        <f>World_Cup_Matches[[#This Row],[Home Team Goals]]-World_Cup_Matches[[#This Row],[Away Team Goals]]</f>
        <v>4</v>
      </c>
      <c r="W8" s="4" t="str">
        <f>IF(World_Cup_Matches[[#This Row],[Home Team Goals]]&gt;World_Cup_Matches[[#This Row],[Away Team Goals]],World_Cup_Matches[[#This Row],[Home Team Name]],IF(World_Cup_Matches[[#This Row],[Away Team Goals]]&gt;World_Cup_Matches[[#This Row],[Home Team Goals]], World_Cup_Matches[[#This Row],[Away Team Name]],"Draw"))</f>
        <v>Yugoslavia</v>
      </c>
      <c r="X8" s="4" t="str">
        <f>IF(World_Cup_Matches[[#This Row],[Home Team Goals]]&gt;World_Cup_Matches[[#This Row],[Away Team Goals]],"Hime Win",IF(World_Cup_Matches[[#This Row],[Away Team Goals]]&gt;World_Cup_Matches[[#This Row],[Home Team Goals]],"Away win","Draw"))</f>
        <v>Hime Win</v>
      </c>
    </row>
    <row r="9" spans="1:24" x14ac:dyDescent="0.2">
      <c r="A9" s="19">
        <v>1930</v>
      </c>
      <c r="B9" s="15" t="s">
        <v>67</v>
      </c>
      <c r="C9" s="3" t="s">
        <v>31</v>
      </c>
      <c r="D9" s="3" t="s">
        <v>32</v>
      </c>
      <c r="E9" s="3" t="s">
        <v>23</v>
      </c>
      <c r="F9" s="3" t="s">
        <v>33</v>
      </c>
      <c r="G9" s="11">
        <v>3</v>
      </c>
      <c r="H9" s="11">
        <v>0</v>
      </c>
      <c r="I9" s="3" t="s">
        <v>68</v>
      </c>
      <c r="J9" s="3" t="s">
        <v>1842</v>
      </c>
      <c r="K9" s="3">
        <v>18306</v>
      </c>
      <c r="L9" s="11">
        <v>2</v>
      </c>
      <c r="M9" s="11">
        <v>0</v>
      </c>
      <c r="N9" s="3" t="s">
        <v>35</v>
      </c>
      <c r="O9" s="3" t="s">
        <v>62</v>
      </c>
      <c r="P9" s="3" t="s">
        <v>43</v>
      </c>
      <c r="Q9" s="11">
        <v>201</v>
      </c>
      <c r="R9" s="11">
        <v>1097</v>
      </c>
      <c r="S9" s="3" t="s">
        <v>33</v>
      </c>
      <c r="T9" s="4" t="s">
        <v>69</v>
      </c>
      <c r="U9" s="11">
        <f>World_Cup_Matches[[#This Row],[Home Team Goals]]+World_Cup_Matches[[#This Row],[Away Team Goals]]</f>
        <v>3</v>
      </c>
      <c r="V9" s="11">
        <f>World_Cup_Matches[[#This Row],[Home Team Goals]]-World_Cup_Matches[[#This Row],[Away Team Goals]]</f>
        <v>3</v>
      </c>
      <c r="W9" s="4" t="str">
        <f>IF(World_Cup_Matches[[#This Row],[Home Team Goals]]&gt;World_Cup_Matches[[#This Row],[Away Team Goals]],World_Cup_Matches[[#This Row],[Home Team Name]],IF(World_Cup_Matches[[#This Row],[Away Team Goals]]&gt;World_Cup_Matches[[#This Row],[Home Team Goals]], World_Cup_Matches[[#This Row],[Away Team Name]],"Draw"))</f>
        <v>USA</v>
      </c>
      <c r="X9" s="4" t="str">
        <f>IF(World_Cup_Matches[[#This Row],[Home Team Goals]]&gt;World_Cup_Matches[[#This Row],[Away Team Goals]],"Hime Win",IF(World_Cup_Matches[[#This Row],[Away Team Goals]]&gt;World_Cup_Matches[[#This Row],[Home Team Goals]],"Away win","Draw"))</f>
        <v>Hime Win</v>
      </c>
    </row>
    <row r="10" spans="1:24" x14ac:dyDescent="0.2">
      <c r="A10" s="19">
        <v>1930</v>
      </c>
      <c r="B10" s="15" t="s">
        <v>70</v>
      </c>
      <c r="C10" s="3" t="s">
        <v>49</v>
      </c>
      <c r="D10" s="3" t="s">
        <v>71</v>
      </c>
      <c r="E10" s="3" t="s">
        <v>23</v>
      </c>
      <c r="F10" s="3" t="s">
        <v>72</v>
      </c>
      <c r="G10" s="11">
        <v>1</v>
      </c>
      <c r="H10" s="11">
        <v>0</v>
      </c>
      <c r="I10" s="3" t="s">
        <v>51</v>
      </c>
      <c r="J10" s="3" t="s">
        <v>1842</v>
      </c>
      <c r="K10" s="3">
        <v>57735</v>
      </c>
      <c r="L10" s="11">
        <v>0</v>
      </c>
      <c r="M10" s="11">
        <v>0</v>
      </c>
      <c r="N10" s="3" t="s">
        <v>52</v>
      </c>
      <c r="O10" s="3" t="s">
        <v>45</v>
      </c>
      <c r="P10" s="3" t="s">
        <v>27</v>
      </c>
      <c r="Q10" s="11">
        <v>201</v>
      </c>
      <c r="R10" s="11">
        <v>1099</v>
      </c>
      <c r="S10" s="3" t="s">
        <v>73</v>
      </c>
      <c r="T10" s="4" t="s">
        <v>54</v>
      </c>
      <c r="U10" s="11">
        <f>World_Cup_Matches[[#This Row],[Home Team Goals]]+World_Cup_Matches[[#This Row],[Away Team Goals]]</f>
        <v>1</v>
      </c>
      <c r="V10" s="11">
        <f>World_Cup_Matches[[#This Row],[Home Team Goals]]-World_Cup_Matches[[#This Row],[Away Team Goals]]</f>
        <v>1</v>
      </c>
      <c r="W10" s="4" t="str">
        <f>IF(World_Cup_Matches[[#This Row],[Home Team Goals]]&gt;World_Cup_Matches[[#This Row],[Away Team Goals]],World_Cup_Matches[[#This Row],[Home Team Name]],IF(World_Cup_Matches[[#This Row],[Away Team Goals]]&gt;World_Cup_Matches[[#This Row],[Home Team Goals]], World_Cup_Matches[[#This Row],[Away Team Name]],"Draw"))</f>
        <v>Uruguay</v>
      </c>
      <c r="X10" s="4" t="str">
        <f>IF(World_Cup_Matches[[#This Row],[Home Team Goals]]&gt;World_Cup_Matches[[#This Row],[Away Team Goals]],"Hime Win",IF(World_Cup_Matches[[#This Row],[Away Team Goals]]&gt;World_Cup_Matches[[#This Row],[Home Team Goals]],"Away win","Draw"))</f>
        <v>Hime Win</v>
      </c>
    </row>
    <row r="11" spans="1:24" x14ac:dyDescent="0.2">
      <c r="A11" s="19">
        <v>1930</v>
      </c>
      <c r="B11" s="15" t="s">
        <v>74</v>
      </c>
      <c r="C11" s="3" t="s">
        <v>21</v>
      </c>
      <c r="D11" s="3" t="s">
        <v>71</v>
      </c>
      <c r="E11" s="3" t="s">
        <v>23</v>
      </c>
      <c r="F11" s="3" t="s">
        <v>61</v>
      </c>
      <c r="G11" s="11">
        <v>1</v>
      </c>
      <c r="H11" s="11">
        <v>0</v>
      </c>
      <c r="I11" s="3" t="s">
        <v>24</v>
      </c>
      <c r="J11" s="3" t="s">
        <v>1842</v>
      </c>
      <c r="K11" s="3">
        <v>2000</v>
      </c>
      <c r="L11" s="11">
        <v>0</v>
      </c>
      <c r="M11" s="11">
        <v>0</v>
      </c>
      <c r="N11" s="3" t="s">
        <v>43</v>
      </c>
      <c r="O11" s="3" t="s">
        <v>26</v>
      </c>
      <c r="P11" s="3" t="s">
        <v>28</v>
      </c>
      <c r="Q11" s="11">
        <v>201</v>
      </c>
      <c r="R11" s="11">
        <v>1094</v>
      </c>
      <c r="S11" s="3" t="s">
        <v>63</v>
      </c>
      <c r="T11" s="4" t="s">
        <v>29</v>
      </c>
      <c r="U11" s="11">
        <f>World_Cup_Matches[[#This Row],[Home Team Goals]]+World_Cup_Matches[[#This Row],[Away Team Goals]]</f>
        <v>1</v>
      </c>
      <c r="V11" s="11">
        <f>World_Cup_Matches[[#This Row],[Home Team Goals]]-World_Cup_Matches[[#This Row],[Away Team Goals]]</f>
        <v>1</v>
      </c>
      <c r="W11" s="4" t="str">
        <f>IF(World_Cup_Matches[[#This Row],[Home Team Goals]]&gt;World_Cup_Matches[[#This Row],[Away Team Goals]],World_Cup_Matches[[#This Row],[Home Team Name]],IF(World_Cup_Matches[[#This Row],[Away Team Goals]]&gt;World_Cup_Matches[[#This Row],[Home Team Goals]], World_Cup_Matches[[#This Row],[Away Team Name]],"Draw"))</f>
        <v>Chile</v>
      </c>
      <c r="X11" s="4" t="str">
        <f>IF(World_Cup_Matches[[#This Row],[Home Team Goals]]&gt;World_Cup_Matches[[#This Row],[Away Team Goals]],"Hime Win",IF(World_Cup_Matches[[#This Row],[Away Team Goals]]&gt;World_Cup_Matches[[#This Row],[Home Team Goals]],"Away win","Draw"))</f>
        <v>Hime Win</v>
      </c>
    </row>
    <row r="12" spans="1:24" x14ac:dyDescent="0.2">
      <c r="A12" s="19">
        <v>1930</v>
      </c>
      <c r="B12" s="15" t="s">
        <v>75</v>
      </c>
      <c r="C12" s="3" t="s">
        <v>21</v>
      </c>
      <c r="D12" s="3" t="s">
        <v>71</v>
      </c>
      <c r="E12" s="3" t="s">
        <v>23</v>
      </c>
      <c r="F12" s="3" t="s">
        <v>56</v>
      </c>
      <c r="G12" s="11">
        <v>6</v>
      </c>
      <c r="H12" s="11">
        <v>3</v>
      </c>
      <c r="I12" s="3" t="s">
        <v>25</v>
      </c>
      <c r="J12" s="3" t="s">
        <v>1842</v>
      </c>
      <c r="K12" s="3">
        <v>42100</v>
      </c>
      <c r="L12" s="11">
        <v>3</v>
      </c>
      <c r="M12" s="11">
        <v>1</v>
      </c>
      <c r="N12" s="3" t="s">
        <v>57</v>
      </c>
      <c r="O12" s="3" t="s">
        <v>76</v>
      </c>
      <c r="P12" s="3" t="s">
        <v>58</v>
      </c>
      <c r="Q12" s="11">
        <v>201</v>
      </c>
      <c r="R12" s="11">
        <v>1086</v>
      </c>
      <c r="S12" s="3" t="s">
        <v>59</v>
      </c>
      <c r="T12" s="4" t="s">
        <v>30</v>
      </c>
      <c r="U12" s="11">
        <f>World_Cup_Matches[[#This Row],[Home Team Goals]]+World_Cup_Matches[[#This Row],[Away Team Goals]]</f>
        <v>9</v>
      </c>
      <c r="V12" s="11">
        <f>World_Cup_Matches[[#This Row],[Home Team Goals]]-World_Cup_Matches[[#This Row],[Away Team Goals]]</f>
        <v>3</v>
      </c>
      <c r="W12" s="4" t="str">
        <f>IF(World_Cup_Matches[[#This Row],[Home Team Goals]]&gt;World_Cup_Matches[[#This Row],[Away Team Goals]],World_Cup_Matches[[#This Row],[Home Team Name]],IF(World_Cup_Matches[[#This Row],[Away Team Goals]]&gt;World_Cup_Matches[[#This Row],[Home Team Goals]], World_Cup_Matches[[#This Row],[Away Team Name]],"Draw"))</f>
        <v>Argentina</v>
      </c>
      <c r="X12" s="4" t="str">
        <f>IF(World_Cup_Matches[[#This Row],[Home Team Goals]]&gt;World_Cup_Matches[[#This Row],[Away Team Goals]],"Hime Win",IF(World_Cup_Matches[[#This Row],[Away Team Goals]]&gt;World_Cup_Matches[[#This Row],[Home Team Goals]],"Away win","Draw"))</f>
        <v>Hime Win</v>
      </c>
    </row>
    <row r="13" spans="1:24" x14ac:dyDescent="0.2">
      <c r="A13" s="19">
        <v>1930</v>
      </c>
      <c r="B13" s="15" t="s">
        <v>77</v>
      </c>
      <c r="C13" s="3" t="s">
        <v>40</v>
      </c>
      <c r="D13" s="3" t="s">
        <v>71</v>
      </c>
      <c r="E13" s="3" t="s">
        <v>23</v>
      </c>
      <c r="F13" s="3" t="s">
        <v>42</v>
      </c>
      <c r="G13" s="11">
        <v>4</v>
      </c>
      <c r="H13" s="11">
        <v>0</v>
      </c>
      <c r="I13" s="3" t="s">
        <v>65</v>
      </c>
      <c r="J13" s="3" t="s">
        <v>1842</v>
      </c>
      <c r="K13" s="3">
        <v>25466</v>
      </c>
      <c r="L13" s="11">
        <v>1</v>
      </c>
      <c r="M13" s="11">
        <v>0</v>
      </c>
      <c r="N13" s="3" t="s">
        <v>45</v>
      </c>
      <c r="O13" s="3" t="s">
        <v>36</v>
      </c>
      <c r="P13" s="3" t="s">
        <v>78</v>
      </c>
      <c r="Q13" s="11">
        <v>201</v>
      </c>
      <c r="R13" s="11">
        <v>1091</v>
      </c>
      <c r="S13" s="3" t="s">
        <v>47</v>
      </c>
      <c r="T13" s="4" t="s">
        <v>66</v>
      </c>
      <c r="U13" s="11">
        <f>World_Cup_Matches[[#This Row],[Home Team Goals]]+World_Cup_Matches[[#This Row],[Away Team Goals]]</f>
        <v>4</v>
      </c>
      <c r="V13" s="11">
        <f>World_Cup_Matches[[#This Row],[Home Team Goals]]-World_Cup_Matches[[#This Row],[Away Team Goals]]</f>
        <v>4</v>
      </c>
      <c r="W13" s="4" t="str">
        <f>IF(World_Cup_Matches[[#This Row],[Home Team Goals]]&gt;World_Cup_Matches[[#This Row],[Away Team Goals]],World_Cup_Matches[[#This Row],[Home Team Name]],IF(World_Cup_Matches[[#This Row],[Away Team Goals]]&gt;World_Cup_Matches[[#This Row],[Home Team Goals]], World_Cup_Matches[[#This Row],[Away Team Name]],"Draw"))</f>
        <v>Brazil</v>
      </c>
      <c r="X13" s="4" t="str">
        <f>IF(World_Cup_Matches[[#This Row],[Home Team Goals]]&gt;World_Cup_Matches[[#This Row],[Away Team Goals]],"Hime Win",IF(World_Cup_Matches[[#This Row],[Away Team Goals]]&gt;World_Cup_Matches[[#This Row],[Home Team Goals]],"Away win","Draw"))</f>
        <v>Hime Win</v>
      </c>
    </row>
    <row r="14" spans="1:24" x14ac:dyDescent="0.2">
      <c r="A14" s="19">
        <v>1930</v>
      </c>
      <c r="B14" s="15" t="s">
        <v>79</v>
      </c>
      <c r="C14" s="3" t="s">
        <v>31</v>
      </c>
      <c r="D14" s="3" t="s">
        <v>71</v>
      </c>
      <c r="E14" s="3" t="s">
        <v>23</v>
      </c>
      <c r="F14" s="3" t="s">
        <v>68</v>
      </c>
      <c r="G14" s="11">
        <v>1</v>
      </c>
      <c r="H14" s="11">
        <v>0</v>
      </c>
      <c r="I14" s="3" t="s">
        <v>34</v>
      </c>
      <c r="J14" s="3" t="s">
        <v>1842</v>
      </c>
      <c r="K14" s="3">
        <v>12000</v>
      </c>
      <c r="L14" s="11">
        <v>1</v>
      </c>
      <c r="M14" s="11">
        <v>0</v>
      </c>
      <c r="N14" s="3" t="s">
        <v>44</v>
      </c>
      <c r="O14" s="3" t="s">
        <v>35</v>
      </c>
      <c r="P14" s="3" t="s">
        <v>26</v>
      </c>
      <c r="Q14" s="11">
        <v>201</v>
      </c>
      <c r="R14" s="11">
        <v>1089</v>
      </c>
      <c r="S14" s="3" t="s">
        <v>69</v>
      </c>
      <c r="T14" s="4" t="s">
        <v>38</v>
      </c>
      <c r="U14" s="11">
        <f>World_Cup_Matches[[#This Row],[Home Team Goals]]+World_Cup_Matches[[#This Row],[Away Team Goals]]</f>
        <v>1</v>
      </c>
      <c r="V14" s="11">
        <f>World_Cup_Matches[[#This Row],[Home Team Goals]]-World_Cup_Matches[[#This Row],[Away Team Goals]]</f>
        <v>1</v>
      </c>
      <c r="W14" s="4" t="str">
        <f>IF(World_Cup_Matches[[#This Row],[Home Team Goals]]&gt;World_Cup_Matches[[#This Row],[Away Team Goals]],World_Cup_Matches[[#This Row],[Home Team Name]],IF(World_Cup_Matches[[#This Row],[Away Team Goals]]&gt;World_Cup_Matches[[#This Row],[Home Team Goals]], World_Cup_Matches[[#This Row],[Away Team Name]],"Draw"))</f>
        <v>Paraguay</v>
      </c>
      <c r="X14" s="4" t="str">
        <f>IF(World_Cup_Matches[[#This Row],[Home Team Goals]]&gt;World_Cup_Matches[[#This Row],[Away Team Goals]],"Hime Win",IF(World_Cup_Matches[[#This Row],[Away Team Goals]]&gt;World_Cup_Matches[[#This Row],[Home Team Goals]],"Away win","Draw"))</f>
        <v>Hime Win</v>
      </c>
    </row>
    <row r="15" spans="1:24" x14ac:dyDescent="0.2">
      <c r="A15" s="19">
        <v>1930</v>
      </c>
      <c r="B15" s="15" t="s">
        <v>80</v>
      </c>
      <c r="C15" s="3" t="s">
        <v>49</v>
      </c>
      <c r="D15" s="3" t="s">
        <v>71</v>
      </c>
      <c r="E15" s="3" t="s">
        <v>23</v>
      </c>
      <c r="F15" s="3" t="s">
        <v>72</v>
      </c>
      <c r="G15" s="11">
        <v>4</v>
      </c>
      <c r="H15" s="11">
        <v>0</v>
      </c>
      <c r="I15" s="3" t="s">
        <v>50</v>
      </c>
      <c r="J15" s="3" t="s">
        <v>1842</v>
      </c>
      <c r="K15" s="3">
        <v>70022</v>
      </c>
      <c r="L15" s="11">
        <v>4</v>
      </c>
      <c r="M15" s="11">
        <v>0</v>
      </c>
      <c r="N15" s="3" t="s">
        <v>28</v>
      </c>
      <c r="O15" s="3" t="s">
        <v>37</v>
      </c>
      <c r="P15" s="3" t="s">
        <v>57</v>
      </c>
      <c r="Q15" s="11">
        <v>201</v>
      </c>
      <c r="R15" s="11">
        <v>1100</v>
      </c>
      <c r="S15" s="3" t="s">
        <v>73</v>
      </c>
      <c r="T15" s="4" t="s">
        <v>53</v>
      </c>
      <c r="U15" s="11">
        <f>World_Cup_Matches[[#This Row],[Home Team Goals]]+World_Cup_Matches[[#This Row],[Away Team Goals]]</f>
        <v>4</v>
      </c>
      <c r="V15" s="11">
        <f>World_Cup_Matches[[#This Row],[Home Team Goals]]-World_Cup_Matches[[#This Row],[Away Team Goals]]</f>
        <v>4</v>
      </c>
      <c r="W15" s="4" t="str">
        <f>IF(World_Cup_Matches[[#This Row],[Home Team Goals]]&gt;World_Cup_Matches[[#This Row],[Away Team Goals]],World_Cup_Matches[[#This Row],[Home Team Name]],IF(World_Cup_Matches[[#This Row],[Away Team Goals]]&gt;World_Cup_Matches[[#This Row],[Home Team Goals]], World_Cup_Matches[[#This Row],[Away Team Name]],"Draw"))</f>
        <v>Uruguay</v>
      </c>
      <c r="X15" s="4" t="str">
        <f>IF(World_Cup_Matches[[#This Row],[Home Team Goals]]&gt;World_Cup_Matches[[#This Row],[Away Team Goals]],"Hime Win",IF(World_Cup_Matches[[#This Row],[Away Team Goals]]&gt;World_Cup_Matches[[#This Row],[Home Team Goals]],"Away win","Draw"))</f>
        <v>Hime Win</v>
      </c>
    </row>
    <row r="16" spans="1:24" x14ac:dyDescent="0.2">
      <c r="A16" s="19">
        <v>1930</v>
      </c>
      <c r="B16" s="15" t="s">
        <v>81</v>
      </c>
      <c r="C16" s="3" t="s">
        <v>21</v>
      </c>
      <c r="D16" s="3" t="s">
        <v>71</v>
      </c>
      <c r="E16" s="3" t="s">
        <v>23</v>
      </c>
      <c r="F16" s="3" t="s">
        <v>56</v>
      </c>
      <c r="G16" s="11">
        <v>3</v>
      </c>
      <c r="H16" s="11">
        <v>1</v>
      </c>
      <c r="I16" s="3" t="s">
        <v>61</v>
      </c>
      <c r="J16" s="3" t="s">
        <v>1842</v>
      </c>
      <c r="K16" s="3">
        <v>41459</v>
      </c>
      <c r="L16" s="11">
        <v>2</v>
      </c>
      <c r="M16" s="11">
        <v>1</v>
      </c>
      <c r="N16" s="3" t="s">
        <v>52</v>
      </c>
      <c r="O16" s="3" t="s">
        <v>27</v>
      </c>
      <c r="P16" s="3" t="s">
        <v>57</v>
      </c>
      <c r="Q16" s="11">
        <v>201</v>
      </c>
      <c r="R16" s="11">
        <v>1084</v>
      </c>
      <c r="S16" s="3" t="s">
        <v>59</v>
      </c>
      <c r="T16" s="4" t="s">
        <v>63</v>
      </c>
      <c r="U16" s="11">
        <f>World_Cup_Matches[[#This Row],[Home Team Goals]]+World_Cup_Matches[[#This Row],[Away Team Goals]]</f>
        <v>4</v>
      </c>
      <c r="V16" s="11">
        <f>World_Cup_Matches[[#This Row],[Home Team Goals]]-World_Cup_Matches[[#This Row],[Away Team Goals]]</f>
        <v>2</v>
      </c>
      <c r="W16" s="4" t="str">
        <f>IF(World_Cup_Matches[[#This Row],[Home Team Goals]]&gt;World_Cup_Matches[[#This Row],[Away Team Goals]],World_Cup_Matches[[#This Row],[Home Team Name]],IF(World_Cup_Matches[[#This Row],[Away Team Goals]]&gt;World_Cup_Matches[[#This Row],[Home Team Goals]], World_Cup_Matches[[#This Row],[Away Team Name]],"Draw"))</f>
        <v>Argentina</v>
      </c>
      <c r="X16" s="4" t="str">
        <f>IF(World_Cup_Matches[[#This Row],[Home Team Goals]]&gt;World_Cup_Matches[[#This Row],[Away Team Goals]],"Hime Win",IF(World_Cup_Matches[[#This Row],[Away Team Goals]]&gt;World_Cup_Matches[[#This Row],[Home Team Goals]],"Away win","Draw"))</f>
        <v>Hime Win</v>
      </c>
    </row>
    <row r="17" spans="1:24" x14ac:dyDescent="0.2">
      <c r="A17" s="19">
        <v>1930</v>
      </c>
      <c r="B17" s="15" t="s">
        <v>82</v>
      </c>
      <c r="C17" s="3" t="s">
        <v>83</v>
      </c>
      <c r="D17" s="3" t="s">
        <v>71</v>
      </c>
      <c r="E17" s="3" t="s">
        <v>23</v>
      </c>
      <c r="F17" s="3" t="s">
        <v>56</v>
      </c>
      <c r="G17" s="11">
        <v>6</v>
      </c>
      <c r="H17" s="11">
        <v>1</v>
      </c>
      <c r="I17" s="3" t="s">
        <v>33</v>
      </c>
      <c r="J17" s="3" t="s">
        <v>1842</v>
      </c>
      <c r="K17" s="3">
        <v>72886</v>
      </c>
      <c r="L17" s="11">
        <v>1</v>
      </c>
      <c r="M17" s="11">
        <v>0</v>
      </c>
      <c r="N17" s="3" t="s">
        <v>52</v>
      </c>
      <c r="O17" s="3" t="s">
        <v>78</v>
      </c>
      <c r="P17" s="3" t="s">
        <v>37</v>
      </c>
      <c r="Q17" s="11">
        <v>202</v>
      </c>
      <c r="R17" s="11">
        <v>1088</v>
      </c>
      <c r="S17" s="3" t="s">
        <v>59</v>
      </c>
      <c r="T17" s="4" t="s">
        <v>33</v>
      </c>
      <c r="U17" s="11">
        <f>World_Cup_Matches[[#This Row],[Home Team Goals]]+World_Cup_Matches[[#This Row],[Away Team Goals]]</f>
        <v>7</v>
      </c>
      <c r="V17" s="11">
        <f>World_Cup_Matches[[#This Row],[Home Team Goals]]-World_Cup_Matches[[#This Row],[Away Team Goals]]</f>
        <v>5</v>
      </c>
      <c r="W17" s="4" t="str">
        <f>IF(World_Cup_Matches[[#This Row],[Home Team Goals]]&gt;World_Cup_Matches[[#This Row],[Away Team Goals]],World_Cup_Matches[[#This Row],[Home Team Name]],IF(World_Cup_Matches[[#This Row],[Away Team Goals]]&gt;World_Cup_Matches[[#This Row],[Home Team Goals]], World_Cup_Matches[[#This Row],[Away Team Name]],"Draw"))</f>
        <v>Argentina</v>
      </c>
      <c r="X17" s="4" t="str">
        <f>IF(World_Cup_Matches[[#This Row],[Home Team Goals]]&gt;World_Cup_Matches[[#This Row],[Away Team Goals]],"Hime Win",IF(World_Cup_Matches[[#This Row],[Away Team Goals]]&gt;World_Cup_Matches[[#This Row],[Home Team Goals]],"Away win","Draw"))</f>
        <v>Hime Win</v>
      </c>
    </row>
    <row r="18" spans="1:24" x14ac:dyDescent="0.2">
      <c r="A18" s="19">
        <v>1930</v>
      </c>
      <c r="B18" s="15" t="s">
        <v>84</v>
      </c>
      <c r="C18" s="3" t="s">
        <v>83</v>
      </c>
      <c r="D18" s="3" t="s">
        <v>71</v>
      </c>
      <c r="E18" s="3" t="s">
        <v>23</v>
      </c>
      <c r="F18" s="3" t="s">
        <v>72</v>
      </c>
      <c r="G18" s="11">
        <v>6</v>
      </c>
      <c r="H18" s="11">
        <v>1</v>
      </c>
      <c r="I18" s="3" t="s">
        <v>41</v>
      </c>
      <c r="J18" s="3" t="s">
        <v>1842</v>
      </c>
      <c r="K18" s="3">
        <v>79867</v>
      </c>
      <c r="L18" s="11">
        <v>3</v>
      </c>
      <c r="M18" s="11">
        <v>1</v>
      </c>
      <c r="N18" s="3" t="s">
        <v>28</v>
      </c>
      <c r="O18" s="3" t="s">
        <v>57</v>
      </c>
      <c r="P18" s="3" t="s">
        <v>45</v>
      </c>
      <c r="Q18" s="11">
        <v>202</v>
      </c>
      <c r="R18" s="11">
        <v>1101</v>
      </c>
      <c r="S18" s="3" t="s">
        <v>73</v>
      </c>
      <c r="T18" s="4" t="s">
        <v>46</v>
      </c>
      <c r="U18" s="11">
        <f>World_Cup_Matches[[#This Row],[Home Team Goals]]+World_Cup_Matches[[#This Row],[Away Team Goals]]</f>
        <v>7</v>
      </c>
      <c r="V18" s="11">
        <f>World_Cup_Matches[[#This Row],[Home Team Goals]]-World_Cup_Matches[[#This Row],[Away Team Goals]]</f>
        <v>5</v>
      </c>
      <c r="W18" s="4" t="str">
        <f>IF(World_Cup_Matches[[#This Row],[Home Team Goals]]&gt;World_Cup_Matches[[#This Row],[Away Team Goals]],World_Cup_Matches[[#This Row],[Home Team Name]],IF(World_Cup_Matches[[#This Row],[Away Team Goals]]&gt;World_Cup_Matches[[#This Row],[Home Team Goals]], World_Cup_Matches[[#This Row],[Away Team Name]],"Draw"))</f>
        <v>Uruguay</v>
      </c>
      <c r="X18" s="4" t="str">
        <f>IF(World_Cup_Matches[[#This Row],[Home Team Goals]]&gt;World_Cup_Matches[[#This Row],[Away Team Goals]],"Hime Win",IF(World_Cup_Matches[[#This Row],[Away Team Goals]]&gt;World_Cup_Matches[[#This Row],[Home Team Goals]],"Away win","Draw"))</f>
        <v>Hime Win</v>
      </c>
    </row>
    <row r="19" spans="1:24" x14ac:dyDescent="0.2">
      <c r="A19" s="19">
        <v>1930</v>
      </c>
      <c r="B19" s="15" t="s">
        <v>85</v>
      </c>
      <c r="C19" s="3" t="s">
        <v>86</v>
      </c>
      <c r="D19" s="3" t="s">
        <v>71</v>
      </c>
      <c r="E19" s="3" t="s">
        <v>23</v>
      </c>
      <c r="F19" s="3" t="s">
        <v>72</v>
      </c>
      <c r="G19" s="11">
        <v>4</v>
      </c>
      <c r="H19" s="11">
        <v>2</v>
      </c>
      <c r="I19" s="3" t="s">
        <v>56</v>
      </c>
      <c r="J19" s="3" t="s">
        <v>1842</v>
      </c>
      <c r="K19" s="3">
        <v>68346</v>
      </c>
      <c r="L19" s="11">
        <v>1</v>
      </c>
      <c r="M19" s="11">
        <v>2</v>
      </c>
      <c r="N19" s="3" t="s">
        <v>52</v>
      </c>
      <c r="O19" s="3" t="s">
        <v>57</v>
      </c>
      <c r="P19" s="3" t="s">
        <v>27</v>
      </c>
      <c r="Q19" s="11">
        <v>405</v>
      </c>
      <c r="R19" s="11">
        <v>1087</v>
      </c>
      <c r="S19" s="3" t="s">
        <v>73</v>
      </c>
      <c r="T19" s="4" t="s">
        <v>59</v>
      </c>
      <c r="U19" s="11">
        <f>World_Cup_Matches[[#This Row],[Home Team Goals]]+World_Cup_Matches[[#This Row],[Away Team Goals]]</f>
        <v>6</v>
      </c>
      <c r="V19" s="11">
        <f>World_Cup_Matches[[#This Row],[Home Team Goals]]-World_Cup_Matches[[#This Row],[Away Team Goals]]</f>
        <v>2</v>
      </c>
      <c r="W19" s="4" t="str">
        <f>IF(World_Cup_Matches[[#This Row],[Home Team Goals]]&gt;World_Cup_Matches[[#This Row],[Away Team Goals]],World_Cup_Matches[[#This Row],[Home Team Name]],IF(World_Cup_Matches[[#This Row],[Away Team Goals]]&gt;World_Cup_Matches[[#This Row],[Home Team Goals]], World_Cup_Matches[[#This Row],[Away Team Name]],"Draw"))</f>
        <v>Uruguay</v>
      </c>
      <c r="X19" s="4" t="str">
        <f>IF(World_Cup_Matches[[#This Row],[Home Team Goals]]&gt;World_Cup_Matches[[#This Row],[Away Team Goals]],"Hime Win",IF(World_Cup_Matches[[#This Row],[Away Team Goals]]&gt;World_Cup_Matches[[#This Row],[Home Team Goals]],"Away win","Draw"))</f>
        <v>Hime Win</v>
      </c>
    </row>
    <row r="20" spans="1:24" x14ac:dyDescent="0.2">
      <c r="A20" s="19">
        <v>1934</v>
      </c>
      <c r="B20" s="15" t="s">
        <v>87</v>
      </c>
      <c r="C20" s="3" t="s">
        <v>88</v>
      </c>
      <c r="D20" s="3" t="s">
        <v>89</v>
      </c>
      <c r="E20" s="3" t="s">
        <v>90</v>
      </c>
      <c r="F20" s="3" t="s">
        <v>91</v>
      </c>
      <c r="G20" s="11">
        <v>3</v>
      </c>
      <c r="H20" s="11">
        <v>2</v>
      </c>
      <c r="I20" s="3" t="s">
        <v>24</v>
      </c>
      <c r="J20" s="3" t="s">
        <v>92</v>
      </c>
      <c r="K20" s="3">
        <v>16000</v>
      </c>
      <c r="L20" s="11">
        <v>0</v>
      </c>
      <c r="M20" s="11">
        <v>0</v>
      </c>
      <c r="N20" s="3" t="s">
        <v>93</v>
      </c>
      <c r="O20" s="3" t="s">
        <v>94</v>
      </c>
      <c r="P20" s="3" t="s">
        <v>95</v>
      </c>
      <c r="Q20" s="11">
        <v>204</v>
      </c>
      <c r="R20" s="11">
        <v>1104</v>
      </c>
      <c r="S20" s="3" t="s">
        <v>96</v>
      </c>
      <c r="T20" s="4" t="s">
        <v>29</v>
      </c>
      <c r="U20" s="11">
        <f>World_Cup_Matches[[#This Row],[Home Team Goals]]+World_Cup_Matches[[#This Row],[Away Team Goals]]</f>
        <v>5</v>
      </c>
      <c r="V20" s="11">
        <f>World_Cup_Matches[[#This Row],[Home Team Goals]]-World_Cup_Matches[[#This Row],[Away Team Goals]]</f>
        <v>1</v>
      </c>
      <c r="W20" s="4" t="str">
        <f>IF(World_Cup_Matches[[#This Row],[Home Team Goals]]&gt;World_Cup_Matches[[#This Row],[Away Team Goals]],World_Cup_Matches[[#This Row],[Home Team Name]],IF(World_Cup_Matches[[#This Row],[Away Team Goals]]&gt;World_Cup_Matches[[#This Row],[Home Team Goals]], World_Cup_Matches[[#This Row],[Away Team Name]],"Draw"))</f>
        <v>Austria</v>
      </c>
      <c r="X20" s="4" t="str">
        <f>IF(World_Cup_Matches[[#This Row],[Home Team Goals]]&gt;World_Cup_Matches[[#This Row],[Away Team Goals]],"Hime Win",IF(World_Cup_Matches[[#This Row],[Away Team Goals]]&gt;World_Cup_Matches[[#This Row],[Home Team Goals]],"Away win","Draw"))</f>
        <v>Hime Win</v>
      </c>
    </row>
    <row r="21" spans="1:24" x14ac:dyDescent="0.2">
      <c r="A21" s="19">
        <v>1934</v>
      </c>
      <c r="B21" s="15" t="s">
        <v>87</v>
      </c>
      <c r="C21" s="3" t="s">
        <v>88</v>
      </c>
      <c r="D21" s="3" t="s">
        <v>97</v>
      </c>
      <c r="E21" s="3" t="s">
        <v>98</v>
      </c>
      <c r="F21" s="3" t="s">
        <v>99</v>
      </c>
      <c r="G21" s="11">
        <v>4</v>
      </c>
      <c r="H21" s="11">
        <v>2</v>
      </c>
      <c r="I21" s="3" t="s">
        <v>100</v>
      </c>
      <c r="J21" s="3" t="s">
        <v>1842</v>
      </c>
      <c r="K21" s="3">
        <v>9000</v>
      </c>
      <c r="L21" s="11">
        <v>2</v>
      </c>
      <c r="M21" s="11">
        <v>2</v>
      </c>
      <c r="N21" s="3" t="s">
        <v>101</v>
      </c>
      <c r="O21" s="3" t="s">
        <v>102</v>
      </c>
      <c r="P21" s="3" t="s">
        <v>103</v>
      </c>
      <c r="Q21" s="11">
        <v>204</v>
      </c>
      <c r="R21" s="11">
        <v>1119</v>
      </c>
      <c r="S21" s="3" t="s">
        <v>104</v>
      </c>
      <c r="T21" s="4" t="s">
        <v>105</v>
      </c>
      <c r="U21" s="11">
        <f>World_Cup_Matches[[#This Row],[Home Team Goals]]+World_Cup_Matches[[#This Row],[Away Team Goals]]</f>
        <v>6</v>
      </c>
      <c r="V21" s="11">
        <f>World_Cup_Matches[[#This Row],[Home Team Goals]]-World_Cup_Matches[[#This Row],[Away Team Goals]]</f>
        <v>2</v>
      </c>
      <c r="W21" s="4" t="str">
        <f>IF(World_Cup_Matches[[#This Row],[Home Team Goals]]&gt;World_Cup_Matches[[#This Row],[Away Team Goals]],World_Cup_Matches[[#This Row],[Home Team Name]],IF(World_Cup_Matches[[#This Row],[Away Team Goals]]&gt;World_Cup_Matches[[#This Row],[Home Team Goals]], World_Cup_Matches[[#This Row],[Away Team Name]],"Draw"))</f>
        <v>Hungary</v>
      </c>
      <c r="X21" s="4" t="str">
        <f>IF(World_Cup_Matches[[#This Row],[Home Team Goals]]&gt;World_Cup_Matches[[#This Row],[Away Team Goals]],"Hime Win",IF(World_Cup_Matches[[#This Row],[Away Team Goals]]&gt;World_Cup_Matches[[#This Row],[Home Team Goals]],"Away win","Draw"))</f>
        <v>Hime Win</v>
      </c>
    </row>
    <row r="22" spans="1:24" x14ac:dyDescent="0.2">
      <c r="A22" s="19">
        <v>1934</v>
      </c>
      <c r="B22" s="15" t="s">
        <v>87</v>
      </c>
      <c r="C22" s="3" t="s">
        <v>88</v>
      </c>
      <c r="D22" s="3" t="s">
        <v>106</v>
      </c>
      <c r="E22" s="3" t="s">
        <v>107</v>
      </c>
      <c r="F22" s="3" t="s">
        <v>108</v>
      </c>
      <c r="G22" s="11">
        <v>3</v>
      </c>
      <c r="H22" s="11">
        <v>2</v>
      </c>
      <c r="I22" s="3" t="s">
        <v>109</v>
      </c>
      <c r="J22" s="3" t="s">
        <v>1842</v>
      </c>
      <c r="K22" s="3">
        <v>33000</v>
      </c>
      <c r="L22" s="11">
        <v>2</v>
      </c>
      <c r="M22" s="11">
        <v>1</v>
      </c>
      <c r="N22" s="3" t="s">
        <v>110</v>
      </c>
      <c r="O22" s="3" t="s">
        <v>111</v>
      </c>
      <c r="P22" s="3" t="s">
        <v>112</v>
      </c>
      <c r="Q22" s="11">
        <v>204</v>
      </c>
      <c r="R22" s="11">
        <v>1133</v>
      </c>
      <c r="S22" s="3" t="s">
        <v>113</v>
      </c>
      <c r="T22" s="4" t="s">
        <v>114</v>
      </c>
      <c r="U22" s="11">
        <f>World_Cup_Matches[[#This Row],[Home Team Goals]]+World_Cup_Matches[[#This Row],[Away Team Goals]]</f>
        <v>5</v>
      </c>
      <c r="V22" s="11">
        <f>World_Cup_Matches[[#This Row],[Home Team Goals]]-World_Cup_Matches[[#This Row],[Away Team Goals]]</f>
        <v>1</v>
      </c>
      <c r="W22" s="4" t="str">
        <f>IF(World_Cup_Matches[[#This Row],[Home Team Goals]]&gt;World_Cup_Matches[[#This Row],[Away Team Goals]],World_Cup_Matches[[#This Row],[Home Team Name]],IF(World_Cup_Matches[[#This Row],[Away Team Goals]]&gt;World_Cup_Matches[[#This Row],[Home Team Goals]], World_Cup_Matches[[#This Row],[Away Team Name]],"Draw"))</f>
        <v>Switzerland</v>
      </c>
      <c r="X22" s="4" t="str">
        <f>IF(World_Cup_Matches[[#This Row],[Home Team Goals]]&gt;World_Cup_Matches[[#This Row],[Away Team Goals]],"Hime Win",IF(World_Cup_Matches[[#This Row],[Away Team Goals]]&gt;World_Cup_Matches[[#This Row],[Home Team Goals]],"Away win","Draw"))</f>
        <v>Hime Win</v>
      </c>
    </row>
    <row r="23" spans="1:24" x14ac:dyDescent="0.2">
      <c r="A23" s="19">
        <v>1934</v>
      </c>
      <c r="B23" s="15" t="s">
        <v>87</v>
      </c>
      <c r="C23" s="3" t="s">
        <v>88</v>
      </c>
      <c r="D23" s="3" t="s">
        <v>115</v>
      </c>
      <c r="E23" s="3" t="s">
        <v>116</v>
      </c>
      <c r="F23" s="3" t="s">
        <v>117</v>
      </c>
      <c r="G23" s="11">
        <v>3</v>
      </c>
      <c r="H23" s="11">
        <v>2</v>
      </c>
      <c r="I23" s="3" t="s">
        <v>56</v>
      </c>
      <c r="J23" s="3" t="s">
        <v>1842</v>
      </c>
      <c r="K23" s="3">
        <v>14000</v>
      </c>
      <c r="L23" s="11">
        <v>1</v>
      </c>
      <c r="M23" s="11">
        <v>1</v>
      </c>
      <c r="N23" s="3" t="s">
        <v>118</v>
      </c>
      <c r="O23" s="3" t="s">
        <v>119</v>
      </c>
      <c r="P23" s="3" t="s">
        <v>120</v>
      </c>
      <c r="Q23" s="11">
        <v>204</v>
      </c>
      <c r="R23" s="11">
        <v>1102</v>
      </c>
      <c r="S23" s="3" t="s">
        <v>121</v>
      </c>
      <c r="T23" s="4" t="s">
        <v>59</v>
      </c>
      <c r="U23" s="11">
        <f>World_Cup_Matches[[#This Row],[Home Team Goals]]+World_Cup_Matches[[#This Row],[Away Team Goals]]</f>
        <v>5</v>
      </c>
      <c r="V23" s="11">
        <f>World_Cup_Matches[[#This Row],[Home Team Goals]]-World_Cup_Matches[[#This Row],[Away Team Goals]]</f>
        <v>1</v>
      </c>
      <c r="W23" s="4" t="str">
        <f>IF(World_Cup_Matches[[#This Row],[Home Team Goals]]&gt;World_Cup_Matches[[#This Row],[Away Team Goals]],World_Cup_Matches[[#This Row],[Home Team Name]],IF(World_Cup_Matches[[#This Row],[Away Team Goals]]&gt;World_Cup_Matches[[#This Row],[Home Team Goals]], World_Cup_Matches[[#This Row],[Away Team Name]],"Draw"))</f>
        <v>Sweden</v>
      </c>
      <c r="X23" s="4" t="str">
        <f>IF(World_Cup_Matches[[#This Row],[Home Team Goals]]&gt;World_Cup_Matches[[#This Row],[Away Team Goals]],"Hime Win",IF(World_Cup_Matches[[#This Row],[Away Team Goals]]&gt;World_Cup_Matches[[#This Row],[Home Team Goals]],"Away win","Draw"))</f>
        <v>Hime Win</v>
      </c>
    </row>
    <row r="24" spans="1:24" x14ac:dyDescent="0.2">
      <c r="A24" s="19">
        <v>1934</v>
      </c>
      <c r="B24" s="15" t="s">
        <v>87</v>
      </c>
      <c r="C24" s="3" t="s">
        <v>88</v>
      </c>
      <c r="D24" s="3" t="s">
        <v>122</v>
      </c>
      <c r="E24" s="3" t="s">
        <v>123</v>
      </c>
      <c r="F24" s="3" t="s">
        <v>124</v>
      </c>
      <c r="G24" s="11">
        <v>5</v>
      </c>
      <c r="H24" s="11">
        <v>2</v>
      </c>
      <c r="I24" s="3" t="s">
        <v>34</v>
      </c>
      <c r="J24" s="3" t="s">
        <v>1842</v>
      </c>
      <c r="K24" s="3">
        <v>8000</v>
      </c>
      <c r="L24" s="11">
        <v>1</v>
      </c>
      <c r="M24" s="11">
        <v>2</v>
      </c>
      <c r="N24" s="3" t="s">
        <v>125</v>
      </c>
      <c r="O24" s="3" t="s">
        <v>126</v>
      </c>
      <c r="P24" s="3" t="s">
        <v>127</v>
      </c>
      <c r="Q24" s="11">
        <v>204</v>
      </c>
      <c r="R24" s="11">
        <v>1108</v>
      </c>
      <c r="S24" s="3" t="s">
        <v>128</v>
      </c>
      <c r="T24" s="4" t="s">
        <v>38</v>
      </c>
      <c r="U24" s="11">
        <f>World_Cup_Matches[[#This Row],[Home Team Goals]]+World_Cup_Matches[[#This Row],[Away Team Goals]]</f>
        <v>7</v>
      </c>
      <c r="V24" s="11">
        <f>World_Cup_Matches[[#This Row],[Home Team Goals]]-World_Cup_Matches[[#This Row],[Away Team Goals]]</f>
        <v>3</v>
      </c>
      <c r="W24" s="4" t="str">
        <f>IF(World_Cup_Matches[[#This Row],[Home Team Goals]]&gt;World_Cup_Matches[[#This Row],[Away Team Goals]],World_Cup_Matches[[#This Row],[Home Team Name]],IF(World_Cup_Matches[[#This Row],[Away Team Goals]]&gt;World_Cup_Matches[[#This Row],[Home Team Goals]], World_Cup_Matches[[#This Row],[Away Team Name]],"Draw"))</f>
        <v>Germany</v>
      </c>
      <c r="X24" s="4" t="str">
        <f>IF(World_Cup_Matches[[#This Row],[Home Team Goals]]&gt;World_Cup_Matches[[#This Row],[Away Team Goals]],"Hime Win",IF(World_Cup_Matches[[#This Row],[Away Team Goals]]&gt;World_Cup_Matches[[#This Row],[Home Team Goals]],"Away win","Draw"))</f>
        <v>Hime Win</v>
      </c>
    </row>
    <row r="25" spans="1:24" x14ac:dyDescent="0.2">
      <c r="A25" s="19">
        <v>1934</v>
      </c>
      <c r="B25" s="15" t="s">
        <v>87</v>
      </c>
      <c r="C25" s="3" t="s">
        <v>88</v>
      </c>
      <c r="D25" s="3" t="s">
        <v>129</v>
      </c>
      <c r="E25" s="3" t="s">
        <v>130</v>
      </c>
      <c r="F25" s="3" t="s">
        <v>131</v>
      </c>
      <c r="G25" s="11">
        <v>3</v>
      </c>
      <c r="H25" s="11">
        <v>1</v>
      </c>
      <c r="I25" s="3" t="s">
        <v>42</v>
      </c>
      <c r="J25" s="3" t="s">
        <v>1842</v>
      </c>
      <c r="K25" s="3">
        <v>21000</v>
      </c>
      <c r="L25" s="11">
        <v>3</v>
      </c>
      <c r="M25" s="11">
        <v>0</v>
      </c>
      <c r="N25" s="3" t="s">
        <v>132</v>
      </c>
      <c r="O25" s="3" t="s">
        <v>133</v>
      </c>
      <c r="P25" s="3" t="s">
        <v>134</v>
      </c>
      <c r="Q25" s="11">
        <v>204</v>
      </c>
      <c r="R25" s="11">
        <v>1111</v>
      </c>
      <c r="S25" s="3" t="s">
        <v>135</v>
      </c>
      <c r="T25" s="4" t="s">
        <v>47</v>
      </c>
      <c r="U25" s="11">
        <f>World_Cup_Matches[[#This Row],[Home Team Goals]]+World_Cup_Matches[[#This Row],[Away Team Goals]]</f>
        <v>4</v>
      </c>
      <c r="V25" s="11">
        <f>World_Cup_Matches[[#This Row],[Home Team Goals]]-World_Cup_Matches[[#This Row],[Away Team Goals]]</f>
        <v>2</v>
      </c>
      <c r="W25" s="4" t="str">
        <f>IF(World_Cup_Matches[[#This Row],[Home Team Goals]]&gt;World_Cup_Matches[[#This Row],[Away Team Goals]],World_Cup_Matches[[#This Row],[Home Team Name]],IF(World_Cup_Matches[[#This Row],[Away Team Goals]]&gt;World_Cup_Matches[[#This Row],[Home Team Goals]], World_Cup_Matches[[#This Row],[Away Team Name]],"Draw"))</f>
        <v>Spain</v>
      </c>
      <c r="X25" s="4" t="str">
        <f>IF(World_Cup_Matches[[#This Row],[Home Team Goals]]&gt;World_Cup_Matches[[#This Row],[Away Team Goals]],"Hime Win",IF(World_Cup_Matches[[#This Row],[Away Team Goals]]&gt;World_Cup_Matches[[#This Row],[Home Team Goals]],"Away win","Draw"))</f>
        <v>Hime Win</v>
      </c>
    </row>
    <row r="26" spans="1:24" x14ac:dyDescent="0.2">
      <c r="A26" s="19">
        <v>1934</v>
      </c>
      <c r="B26" s="15" t="s">
        <v>87</v>
      </c>
      <c r="C26" s="3" t="s">
        <v>88</v>
      </c>
      <c r="D26" s="3" t="s">
        <v>136</v>
      </c>
      <c r="E26" s="3" t="s">
        <v>137</v>
      </c>
      <c r="F26" s="3" t="s">
        <v>138</v>
      </c>
      <c r="G26" s="11">
        <v>7</v>
      </c>
      <c r="H26" s="11">
        <v>1</v>
      </c>
      <c r="I26" s="3" t="s">
        <v>33</v>
      </c>
      <c r="J26" s="3" t="s">
        <v>1842</v>
      </c>
      <c r="K26" s="3">
        <v>25000</v>
      </c>
      <c r="L26" s="11">
        <v>3</v>
      </c>
      <c r="M26" s="11">
        <v>0</v>
      </c>
      <c r="N26" s="3" t="s">
        <v>139</v>
      </c>
      <c r="O26" s="3" t="s">
        <v>140</v>
      </c>
      <c r="P26" s="3" t="s">
        <v>141</v>
      </c>
      <c r="Q26" s="11">
        <v>204</v>
      </c>
      <c r="R26" s="11">
        <v>1135</v>
      </c>
      <c r="S26" s="3" t="s">
        <v>142</v>
      </c>
      <c r="T26" s="4" t="s">
        <v>33</v>
      </c>
      <c r="U26" s="11">
        <f>World_Cup_Matches[[#This Row],[Home Team Goals]]+World_Cup_Matches[[#This Row],[Away Team Goals]]</f>
        <v>8</v>
      </c>
      <c r="V26" s="11">
        <f>World_Cup_Matches[[#This Row],[Home Team Goals]]-World_Cup_Matches[[#This Row],[Away Team Goals]]</f>
        <v>6</v>
      </c>
      <c r="W26" s="4" t="str">
        <f>IF(World_Cup_Matches[[#This Row],[Home Team Goals]]&gt;World_Cup_Matches[[#This Row],[Away Team Goals]],World_Cup_Matches[[#This Row],[Home Team Name]],IF(World_Cup_Matches[[#This Row],[Away Team Goals]]&gt;World_Cup_Matches[[#This Row],[Home Team Goals]], World_Cup_Matches[[#This Row],[Away Team Name]],"Draw"))</f>
        <v>Italy</v>
      </c>
      <c r="X26" s="4" t="str">
        <f>IF(World_Cup_Matches[[#This Row],[Home Team Goals]]&gt;World_Cup_Matches[[#This Row],[Away Team Goals]],"Hime Win",IF(World_Cup_Matches[[#This Row],[Away Team Goals]]&gt;World_Cup_Matches[[#This Row],[Home Team Goals]],"Away win","Draw"))</f>
        <v>Hime Win</v>
      </c>
    </row>
    <row r="27" spans="1:24" x14ac:dyDescent="0.2">
      <c r="A27" s="19">
        <v>1934</v>
      </c>
      <c r="B27" s="15" t="s">
        <v>87</v>
      </c>
      <c r="C27" s="3" t="s">
        <v>88</v>
      </c>
      <c r="D27" s="3" t="s">
        <v>143</v>
      </c>
      <c r="E27" s="3" t="s">
        <v>144</v>
      </c>
      <c r="F27" s="3" t="s">
        <v>145</v>
      </c>
      <c r="G27" s="11">
        <v>2</v>
      </c>
      <c r="H27" s="11">
        <v>1</v>
      </c>
      <c r="I27" s="3" t="s">
        <v>50</v>
      </c>
      <c r="J27" s="3" t="s">
        <v>1842</v>
      </c>
      <c r="K27" s="3">
        <v>9000</v>
      </c>
      <c r="L27" s="11">
        <v>0</v>
      </c>
      <c r="M27" s="11">
        <v>1</v>
      </c>
      <c r="N27" s="3" t="s">
        <v>52</v>
      </c>
      <c r="O27" s="3" t="s">
        <v>146</v>
      </c>
      <c r="P27" s="3" t="s">
        <v>147</v>
      </c>
      <c r="Q27" s="11">
        <v>204</v>
      </c>
      <c r="R27" s="11">
        <v>1141</v>
      </c>
      <c r="S27" s="3" t="s">
        <v>148</v>
      </c>
      <c r="T27" s="4" t="s">
        <v>53</v>
      </c>
      <c r="U27" s="11">
        <f>World_Cup_Matches[[#This Row],[Home Team Goals]]+World_Cup_Matches[[#This Row],[Away Team Goals]]</f>
        <v>3</v>
      </c>
      <c r="V27" s="11">
        <f>World_Cup_Matches[[#This Row],[Home Team Goals]]-World_Cup_Matches[[#This Row],[Away Team Goals]]</f>
        <v>1</v>
      </c>
      <c r="W27" s="4" t="str">
        <f>IF(World_Cup_Matches[[#This Row],[Home Team Goals]]&gt;World_Cup_Matches[[#This Row],[Away Team Goals]],World_Cup_Matches[[#This Row],[Home Team Name]],IF(World_Cup_Matches[[#This Row],[Away Team Goals]]&gt;World_Cup_Matches[[#This Row],[Home Team Goals]], World_Cup_Matches[[#This Row],[Away Team Name]],"Draw"))</f>
        <v>Czechoslovakia</v>
      </c>
      <c r="X27" s="4" t="str">
        <f>IF(World_Cup_Matches[[#This Row],[Home Team Goals]]&gt;World_Cup_Matches[[#This Row],[Away Team Goals]],"Hime Win",IF(World_Cup_Matches[[#This Row],[Away Team Goals]]&gt;World_Cup_Matches[[#This Row],[Home Team Goals]],"Away win","Draw"))</f>
        <v>Hime Win</v>
      </c>
    </row>
    <row r="28" spans="1:24" x14ac:dyDescent="0.2">
      <c r="A28" s="19">
        <v>1934</v>
      </c>
      <c r="B28" s="15" t="s">
        <v>149</v>
      </c>
      <c r="C28" s="3" t="s">
        <v>150</v>
      </c>
      <c r="D28" s="3" t="s">
        <v>89</v>
      </c>
      <c r="E28" s="3" t="s">
        <v>90</v>
      </c>
      <c r="F28" s="3" t="s">
        <v>145</v>
      </c>
      <c r="G28" s="11">
        <v>3</v>
      </c>
      <c r="H28" s="11">
        <v>2</v>
      </c>
      <c r="I28" s="3" t="s">
        <v>108</v>
      </c>
      <c r="J28" s="3" t="s">
        <v>1842</v>
      </c>
      <c r="K28" s="3">
        <v>12000</v>
      </c>
      <c r="L28" s="11">
        <v>1</v>
      </c>
      <c r="M28" s="11">
        <v>1</v>
      </c>
      <c r="N28" s="3" t="s">
        <v>111</v>
      </c>
      <c r="O28" s="3" t="s">
        <v>151</v>
      </c>
      <c r="P28" s="3" t="s">
        <v>127</v>
      </c>
      <c r="Q28" s="11">
        <v>418</v>
      </c>
      <c r="R28" s="11">
        <v>1143</v>
      </c>
      <c r="S28" s="3" t="s">
        <v>148</v>
      </c>
      <c r="T28" s="4" t="s">
        <v>113</v>
      </c>
      <c r="U28" s="11">
        <f>World_Cup_Matches[[#This Row],[Home Team Goals]]+World_Cup_Matches[[#This Row],[Away Team Goals]]</f>
        <v>5</v>
      </c>
      <c r="V28" s="11">
        <f>World_Cup_Matches[[#This Row],[Home Team Goals]]-World_Cup_Matches[[#This Row],[Away Team Goals]]</f>
        <v>1</v>
      </c>
      <c r="W28" s="4" t="str">
        <f>IF(World_Cup_Matches[[#This Row],[Home Team Goals]]&gt;World_Cup_Matches[[#This Row],[Away Team Goals]],World_Cup_Matches[[#This Row],[Home Team Name]],IF(World_Cup_Matches[[#This Row],[Away Team Goals]]&gt;World_Cup_Matches[[#This Row],[Home Team Goals]], World_Cup_Matches[[#This Row],[Away Team Name]],"Draw"))</f>
        <v>Czechoslovakia</v>
      </c>
      <c r="X28" s="4" t="str">
        <f>IF(World_Cup_Matches[[#This Row],[Home Team Goals]]&gt;World_Cup_Matches[[#This Row],[Away Team Goals]],"Hime Win",IF(World_Cup_Matches[[#This Row],[Away Team Goals]]&gt;World_Cup_Matches[[#This Row],[Home Team Goals]],"Away win","Draw"))</f>
        <v>Hime Win</v>
      </c>
    </row>
    <row r="29" spans="1:24" x14ac:dyDescent="0.2">
      <c r="A29" s="19">
        <v>1934</v>
      </c>
      <c r="B29" s="15" t="s">
        <v>149</v>
      </c>
      <c r="C29" s="3" t="s">
        <v>150</v>
      </c>
      <c r="D29" s="3" t="s">
        <v>106</v>
      </c>
      <c r="E29" s="3" t="s">
        <v>107</v>
      </c>
      <c r="F29" s="3" t="s">
        <v>124</v>
      </c>
      <c r="G29" s="11">
        <v>2</v>
      </c>
      <c r="H29" s="11">
        <v>1</v>
      </c>
      <c r="I29" s="3" t="s">
        <v>117</v>
      </c>
      <c r="J29" s="3" t="s">
        <v>1842</v>
      </c>
      <c r="K29" s="3">
        <v>3000</v>
      </c>
      <c r="L29" s="11">
        <v>0</v>
      </c>
      <c r="M29" s="11">
        <v>0</v>
      </c>
      <c r="N29" s="3" t="s">
        <v>101</v>
      </c>
      <c r="O29" s="3" t="s">
        <v>139</v>
      </c>
      <c r="P29" s="3" t="s">
        <v>93</v>
      </c>
      <c r="Q29" s="11">
        <v>418</v>
      </c>
      <c r="R29" s="11">
        <v>1129</v>
      </c>
      <c r="S29" s="3" t="s">
        <v>128</v>
      </c>
      <c r="T29" s="4" t="s">
        <v>121</v>
      </c>
      <c r="U29" s="11">
        <f>World_Cup_Matches[[#This Row],[Home Team Goals]]+World_Cup_Matches[[#This Row],[Away Team Goals]]</f>
        <v>3</v>
      </c>
      <c r="V29" s="11">
        <f>World_Cup_Matches[[#This Row],[Home Team Goals]]-World_Cup_Matches[[#This Row],[Away Team Goals]]</f>
        <v>1</v>
      </c>
      <c r="W29" s="4" t="str">
        <f>IF(World_Cup_Matches[[#This Row],[Home Team Goals]]&gt;World_Cup_Matches[[#This Row],[Away Team Goals]],World_Cup_Matches[[#This Row],[Home Team Name]],IF(World_Cup_Matches[[#This Row],[Away Team Goals]]&gt;World_Cup_Matches[[#This Row],[Home Team Goals]], World_Cup_Matches[[#This Row],[Away Team Name]],"Draw"))</f>
        <v>Germany</v>
      </c>
      <c r="X29" s="4" t="str">
        <f>IF(World_Cup_Matches[[#This Row],[Home Team Goals]]&gt;World_Cup_Matches[[#This Row],[Away Team Goals]],"Hime Win",IF(World_Cup_Matches[[#This Row],[Away Team Goals]]&gt;World_Cup_Matches[[#This Row],[Home Team Goals]],"Away win","Draw"))</f>
        <v>Hime Win</v>
      </c>
    </row>
    <row r="30" spans="1:24" x14ac:dyDescent="0.2">
      <c r="A30" s="19">
        <v>1934</v>
      </c>
      <c r="B30" s="15" t="s">
        <v>149</v>
      </c>
      <c r="C30" s="3" t="s">
        <v>150</v>
      </c>
      <c r="D30" s="3" t="s">
        <v>122</v>
      </c>
      <c r="E30" s="3" t="s">
        <v>123</v>
      </c>
      <c r="F30" s="3" t="s">
        <v>138</v>
      </c>
      <c r="G30" s="11">
        <v>1</v>
      </c>
      <c r="H30" s="11">
        <v>1</v>
      </c>
      <c r="I30" s="3" t="s">
        <v>131</v>
      </c>
      <c r="J30" s="3" t="s">
        <v>1842</v>
      </c>
      <c r="K30" s="3">
        <v>35000</v>
      </c>
      <c r="L30" s="11">
        <v>0</v>
      </c>
      <c r="M30" s="11">
        <v>0</v>
      </c>
      <c r="N30" s="3" t="s">
        <v>95</v>
      </c>
      <c r="O30" s="3" t="s">
        <v>141</v>
      </c>
      <c r="P30" s="3" t="s">
        <v>134</v>
      </c>
      <c r="Q30" s="11">
        <v>418</v>
      </c>
      <c r="R30" s="11">
        <v>1122</v>
      </c>
      <c r="S30" s="3" t="s">
        <v>142</v>
      </c>
      <c r="T30" s="4" t="s">
        <v>135</v>
      </c>
      <c r="U30" s="11">
        <f>World_Cup_Matches[[#This Row],[Home Team Goals]]+World_Cup_Matches[[#This Row],[Away Team Goals]]</f>
        <v>2</v>
      </c>
      <c r="V30" s="11">
        <f>World_Cup_Matches[[#This Row],[Home Team Goals]]-World_Cup_Matches[[#This Row],[Away Team Goals]]</f>
        <v>0</v>
      </c>
      <c r="W30" s="4" t="str">
        <f>IF(World_Cup_Matches[[#This Row],[Home Team Goals]]&gt;World_Cup_Matches[[#This Row],[Away Team Goals]],World_Cup_Matches[[#This Row],[Home Team Name]],IF(World_Cup_Matches[[#This Row],[Away Team Goals]]&gt;World_Cup_Matches[[#This Row],[Home Team Goals]], World_Cup_Matches[[#This Row],[Away Team Name]],"Draw"))</f>
        <v>Draw</v>
      </c>
      <c r="X30" s="4" t="str">
        <f>IF(World_Cup_Matches[[#This Row],[Home Team Goals]]&gt;World_Cup_Matches[[#This Row],[Away Team Goals]],"Hime Win",IF(World_Cup_Matches[[#This Row],[Away Team Goals]]&gt;World_Cup_Matches[[#This Row],[Home Team Goals]],"Away win","Draw"))</f>
        <v>Draw</v>
      </c>
    </row>
    <row r="31" spans="1:24" x14ac:dyDescent="0.2">
      <c r="A31" s="19">
        <v>1934</v>
      </c>
      <c r="B31" s="15" t="s">
        <v>149</v>
      </c>
      <c r="C31" s="3" t="s">
        <v>150</v>
      </c>
      <c r="D31" s="3" t="s">
        <v>115</v>
      </c>
      <c r="E31" s="3" t="s">
        <v>116</v>
      </c>
      <c r="F31" s="3" t="s">
        <v>91</v>
      </c>
      <c r="G31" s="11">
        <v>2</v>
      </c>
      <c r="H31" s="11">
        <v>1</v>
      </c>
      <c r="I31" s="3" t="s">
        <v>99</v>
      </c>
      <c r="J31" s="3" t="s">
        <v>1842</v>
      </c>
      <c r="K31" s="3">
        <v>23000</v>
      </c>
      <c r="L31" s="11">
        <v>1</v>
      </c>
      <c r="M31" s="11">
        <v>0</v>
      </c>
      <c r="N31" s="3" t="s">
        <v>125</v>
      </c>
      <c r="O31" s="3" t="s">
        <v>140</v>
      </c>
      <c r="P31" s="3" t="s">
        <v>132</v>
      </c>
      <c r="Q31" s="11">
        <v>418</v>
      </c>
      <c r="R31" s="11">
        <v>1106</v>
      </c>
      <c r="S31" s="3" t="s">
        <v>96</v>
      </c>
      <c r="T31" s="4" t="s">
        <v>104</v>
      </c>
      <c r="U31" s="11">
        <f>World_Cup_Matches[[#This Row],[Home Team Goals]]+World_Cup_Matches[[#This Row],[Away Team Goals]]</f>
        <v>3</v>
      </c>
      <c r="V31" s="11">
        <f>World_Cup_Matches[[#This Row],[Home Team Goals]]-World_Cup_Matches[[#This Row],[Away Team Goals]]</f>
        <v>1</v>
      </c>
      <c r="W31" s="4" t="str">
        <f>IF(World_Cup_Matches[[#This Row],[Home Team Goals]]&gt;World_Cup_Matches[[#This Row],[Away Team Goals]],World_Cup_Matches[[#This Row],[Home Team Name]],IF(World_Cup_Matches[[#This Row],[Away Team Goals]]&gt;World_Cup_Matches[[#This Row],[Home Team Goals]], World_Cup_Matches[[#This Row],[Away Team Name]],"Draw"))</f>
        <v>Austria</v>
      </c>
      <c r="X31" s="4" t="str">
        <f>IF(World_Cup_Matches[[#This Row],[Home Team Goals]]&gt;World_Cup_Matches[[#This Row],[Away Team Goals]],"Hime Win",IF(World_Cup_Matches[[#This Row],[Away Team Goals]]&gt;World_Cup_Matches[[#This Row],[Home Team Goals]],"Away win","Draw"))</f>
        <v>Hime Win</v>
      </c>
    </row>
    <row r="32" spans="1:24" x14ac:dyDescent="0.2">
      <c r="A32" s="19">
        <v>1934</v>
      </c>
      <c r="B32" s="15" t="s">
        <v>152</v>
      </c>
      <c r="C32" s="3" t="s">
        <v>150</v>
      </c>
      <c r="D32" s="3" t="s">
        <v>122</v>
      </c>
      <c r="E32" s="3" t="s">
        <v>123</v>
      </c>
      <c r="F32" s="3" t="s">
        <v>138</v>
      </c>
      <c r="G32" s="11">
        <v>1</v>
      </c>
      <c r="H32" s="11">
        <v>0</v>
      </c>
      <c r="I32" s="3" t="s">
        <v>131</v>
      </c>
      <c r="J32" s="3" t="s">
        <v>1842</v>
      </c>
      <c r="K32" s="3">
        <v>43000</v>
      </c>
      <c r="L32" s="11">
        <v>1</v>
      </c>
      <c r="M32" s="11">
        <v>0</v>
      </c>
      <c r="N32" s="3" t="s">
        <v>139</v>
      </c>
      <c r="O32" s="3" t="s">
        <v>134</v>
      </c>
      <c r="P32" s="3" t="s">
        <v>141</v>
      </c>
      <c r="Q32" s="11">
        <v>418</v>
      </c>
      <c r="R32" s="11">
        <v>1123</v>
      </c>
      <c r="S32" s="3" t="s">
        <v>142</v>
      </c>
      <c r="T32" s="4" t="s">
        <v>135</v>
      </c>
      <c r="U32" s="11">
        <f>World_Cup_Matches[[#This Row],[Home Team Goals]]+World_Cup_Matches[[#This Row],[Away Team Goals]]</f>
        <v>1</v>
      </c>
      <c r="V32" s="11">
        <f>World_Cup_Matches[[#This Row],[Home Team Goals]]-World_Cup_Matches[[#This Row],[Away Team Goals]]</f>
        <v>1</v>
      </c>
      <c r="W32" s="4" t="str">
        <f>IF(World_Cup_Matches[[#This Row],[Home Team Goals]]&gt;World_Cup_Matches[[#This Row],[Away Team Goals]],World_Cup_Matches[[#This Row],[Home Team Name]],IF(World_Cup_Matches[[#This Row],[Away Team Goals]]&gt;World_Cup_Matches[[#This Row],[Home Team Goals]], World_Cup_Matches[[#This Row],[Away Team Name]],"Draw"))</f>
        <v>Italy</v>
      </c>
      <c r="X32" s="4" t="str">
        <f>IF(World_Cup_Matches[[#This Row],[Home Team Goals]]&gt;World_Cup_Matches[[#This Row],[Away Team Goals]],"Hime Win",IF(World_Cup_Matches[[#This Row],[Away Team Goals]]&gt;World_Cup_Matches[[#This Row],[Home Team Goals]],"Away win","Draw"))</f>
        <v>Hime Win</v>
      </c>
    </row>
    <row r="33" spans="1:24" x14ac:dyDescent="0.2">
      <c r="A33" s="19">
        <v>1934</v>
      </c>
      <c r="B33" s="15" t="s">
        <v>153</v>
      </c>
      <c r="C33" s="3" t="s">
        <v>83</v>
      </c>
      <c r="D33" s="3" t="s">
        <v>106</v>
      </c>
      <c r="E33" s="3" t="s">
        <v>107</v>
      </c>
      <c r="F33" s="3" t="s">
        <v>138</v>
      </c>
      <c r="G33" s="11">
        <v>1</v>
      </c>
      <c r="H33" s="11">
        <v>0</v>
      </c>
      <c r="I33" s="3" t="s">
        <v>91</v>
      </c>
      <c r="J33" s="3" t="s">
        <v>1842</v>
      </c>
      <c r="K33" s="3">
        <v>35000</v>
      </c>
      <c r="L33" s="11">
        <v>1</v>
      </c>
      <c r="M33" s="11">
        <v>0</v>
      </c>
      <c r="N33" s="3" t="s">
        <v>110</v>
      </c>
      <c r="O33" s="3" t="s">
        <v>95</v>
      </c>
      <c r="P33" s="3" t="s">
        <v>141</v>
      </c>
      <c r="Q33" s="11">
        <v>3492</v>
      </c>
      <c r="R33" s="11">
        <v>1107</v>
      </c>
      <c r="S33" s="3" t="s">
        <v>142</v>
      </c>
      <c r="T33" s="4" t="s">
        <v>96</v>
      </c>
      <c r="U33" s="11">
        <f>World_Cup_Matches[[#This Row],[Home Team Goals]]+World_Cup_Matches[[#This Row],[Away Team Goals]]</f>
        <v>1</v>
      </c>
      <c r="V33" s="11">
        <f>World_Cup_Matches[[#This Row],[Home Team Goals]]-World_Cup_Matches[[#This Row],[Away Team Goals]]</f>
        <v>1</v>
      </c>
      <c r="W33" s="4" t="str">
        <f>IF(World_Cup_Matches[[#This Row],[Home Team Goals]]&gt;World_Cup_Matches[[#This Row],[Away Team Goals]],World_Cup_Matches[[#This Row],[Home Team Name]],IF(World_Cup_Matches[[#This Row],[Away Team Goals]]&gt;World_Cup_Matches[[#This Row],[Home Team Goals]], World_Cup_Matches[[#This Row],[Away Team Name]],"Draw"))</f>
        <v>Italy</v>
      </c>
      <c r="X33" s="4" t="str">
        <f>IF(World_Cup_Matches[[#This Row],[Home Team Goals]]&gt;World_Cup_Matches[[#This Row],[Away Team Goals]],"Hime Win",IF(World_Cup_Matches[[#This Row],[Away Team Goals]]&gt;World_Cup_Matches[[#This Row],[Home Team Goals]],"Away win","Draw"))</f>
        <v>Hime Win</v>
      </c>
    </row>
    <row r="34" spans="1:24" x14ac:dyDescent="0.2">
      <c r="A34" s="19">
        <v>1934</v>
      </c>
      <c r="B34" s="15" t="s">
        <v>153</v>
      </c>
      <c r="C34" s="3" t="s">
        <v>83</v>
      </c>
      <c r="D34" s="3" t="s">
        <v>136</v>
      </c>
      <c r="E34" s="3" t="s">
        <v>137</v>
      </c>
      <c r="F34" s="3" t="s">
        <v>145</v>
      </c>
      <c r="G34" s="11">
        <v>3</v>
      </c>
      <c r="H34" s="11">
        <v>1</v>
      </c>
      <c r="I34" s="3" t="s">
        <v>124</v>
      </c>
      <c r="J34" s="3" t="s">
        <v>1842</v>
      </c>
      <c r="K34" s="3">
        <v>15000</v>
      </c>
      <c r="L34" s="11">
        <v>1</v>
      </c>
      <c r="M34" s="11">
        <v>0</v>
      </c>
      <c r="N34" s="3" t="s">
        <v>101</v>
      </c>
      <c r="O34" s="3" t="s">
        <v>111</v>
      </c>
      <c r="P34" s="3" t="s">
        <v>140</v>
      </c>
      <c r="Q34" s="11">
        <v>3492</v>
      </c>
      <c r="R34" s="11">
        <v>1130</v>
      </c>
      <c r="S34" s="3" t="s">
        <v>148</v>
      </c>
      <c r="T34" s="4" t="s">
        <v>128</v>
      </c>
      <c r="U34" s="11">
        <f>World_Cup_Matches[[#This Row],[Home Team Goals]]+World_Cup_Matches[[#This Row],[Away Team Goals]]</f>
        <v>4</v>
      </c>
      <c r="V34" s="11">
        <f>World_Cup_Matches[[#This Row],[Home Team Goals]]-World_Cup_Matches[[#This Row],[Away Team Goals]]</f>
        <v>2</v>
      </c>
      <c r="W34" s="4" t="str">
        <f>IF(World_Cup_Matches[[#This Row],[Home Team Goals]]&gt;World_Cup_Matches[[#This Row],[Away Team Goals]],World_Cup_Matches[[#This Row],[Home Team Name]],IF(World_Cup_Matches[[#This Row],[Away Team Goals]]&gt;World_Cup_Matches[[#This Row],[Home Team Goals]], World_Cup_Matches[[#This Row],[Away Team Name]],"Draw"))</f>
        <v>Czechoslovakia</v>
      </c>
      <c r="X34" s="4" t="str">
        <f>IF(World_Cup_Matches[[#This Row],[Home Team Goals]]&gt;World_Cup_Matches[[#This Row],[Away Team Goals]],"Hime Win",IF(World_Cup_Matches[[#This Row],[Away Team Goals]]&gt;World_Cup_Matches[[#This Row],[Home Team Goals]],"Away win","Draw"))</f>
        <v>Hime Win</v>
      </c>
    </row>
    <row r="35" spans="1:24" x14ac:dyDescent="0.2">
      <c r="A35" s="19">
        <v>1934</v>
      </c>
      <c r="B35" s="15" t="s">
        <v>154</v>
      </c>
      <c r="C35" s="3" t="s">
        <v>155</v>
      </c>
      <c r="D35" s="3" t="s">
        <v>97</v>
      </c>
      <c r="E35" s="3" t="s">
        <v>98</v>
      </c>
      <c r="F35" s="3" t="s">
        <v>124</v>
      </c>
      <c r="G35" s="11">
        <v>3</v>
      </c>
      <c r="H35" s="11">
        <v>2</v>
      </c>
      <c r="I35" s="3" t="s">
        <v>91</v>
      </c>
      <c r="J35" s="3" t="s">
        <v>1842</v>
      </c>
      <c r="K35" s="3">
        <v>7000</v>
      </c>
      <c r="L35" s="11">
        <v>3</v>
      </c>
      <c r="M35" s="11">
        <v>1</v>
      </c>
      <c r="N35" s="3" t="s">
        <v>119</v>
      </c>
      <c r="O35" s="3" t="s">
        <v>94</v>
      </c>
      <c r="P35" s="3" t="s">
        <v>140</v>
      </c>
      <c r="Q35" s="11">
        <v>3491</v>
      </c>
      <c r="R35" s="11">
        <v>1105</v>
      </c>
      <c r="S35" s="3" t="s">
        <v>128</v>
      </c>
      <c r="T35" s="4" t="s">
        <v>96</v>
      </c>
      <c r="U35" s="11">
        <f>World_Cup_Matches[[#This Row],[Home Team Goals]]+World_Cup_Matches[[#This Row],[Away Team Goals]]</f>
        <v>5</v>
      </c>
      <c r="V35" s="11">
        <f>World_Cup_Matches[[#This Row],[Home Team Goals]]-World_Cup_Matches[[#This Row],[Away Team Goals]]</f>
        <v>1</v>
      </c>
      <c r="W35" s="4" t="str">
        <f>IF(World_Cup_Matches[[#This Row],[Home Team Goals]]&gt;World_Cup_Matches[[#This Row],[Away Team Goals]],World_Cup_Matches[[#This Row],[Home Team Name]],IF(World_Cup_Matches[[#This Row],[Away Team Goals]]&gt;World_Cup_Matches[[#This Row],[Home Team Goals]], World_Cup_Matches[[#This Row],[Away Team Name]],"Draw"))</f>
        <v>Germany</v>
      </c>
      <c r="X35" s="4" t="str">
        <f>IF(World_Cup_Matches[[#This Row],[Home Team Goals]]&gt;World_Cup_Matches[[#This Row],[Away Team Goals]],"Hime Win",IF(World_Cup_Matches[[#This Row],[Away Team Goals]]&gt;World_Cup_Matches[[#This Row],[Home Team Goals]],"Away win","Draw"))</f>
        <v>Hime Win</v>
      </c>
    </row>
    <row r="36" spans="1:24" x14ac:dyDescent="0.2">
      <c r="A36" s="19">
        <v>1934</v>
      </c>
      <c r="B36" s="15" t="s">
        <v>156</v>
      </c>
      <c r="C36" s="3" t="s">
        <v>86</v>
      </c>
      <c r="D36" s="3" t="s">
        <v>136</v>
      </c>
      <c r="E36" s="3" t="s">
        <v>137</v>
      </c>
      <c r="F36" s="3" t="s">
        <v>138</v>
      </c>
      <c r="G36" s="11">
        <v>2</v>
      </c>
      <c r="H36" s="11">
        <v>1</v>
      </c>
      <c r="I36" s="3" t="s">
        <v>145</v>
      </c>
      <c r="J36" s="3" t="s">
        <v>157</v>
      </c>
      <c r="K36" s="3">
        <v>55000</v>
      </c>
      <c r="L36" s="11">
        <v>0</v>
      </c>
      <c r="M36" s="11">
        <v>0</v>
      </c>
      <c r="N36" s="3" t="s">
        <v>110</v>
      </c>
      <c r="O36" s="3" t="s">
        <v>95</v>
      </c>
      <c r="P36" s="3" t="s">
        <v>134</v>
      </c>
      <c r="Q36" s="11">
        <v>3490</v>
      </c>
      <c r="R36" s="11">
        <v>1134</v>
      </c>
      <c r="S36" s="3" t="s">
        <v>142</v>
      </c>
      <c r="T36" s="4" t="s">
        <v>148</v>
      </c>
      <c r="U36" s="11">
        <f>World_Cup_Matches[[#This Row],[Home Team Goals]]+World_Cup_Matches[[#This Row],[Away Team Goals]]</f>
        <v>3</v>
      </c>
      <c r="V36" s="11">
        <f>World_Cup_Matches[[#This Row],[Home Team Goals]]-World_Cup_Matches[[#This Row],[Away Team Goals]]</f>
        <v>1</v>
      </c>
      <c r="W36" s="4" t="str">
        <f>IF(World_Cup_Matches[[#This Row],[Home Team Goals]]&gt;World_Cup_Matches[[#This Row],[Away Team Goals]],World_Cup_Matches[[#This Row],[Home Team Name]],IF(World_Cup_Matches[[#This Row],[Away Team Goals]]&gt;World_Cup_Matches[[#This Row],[Home Team Goals]], World_Cup_Matches[[#This Row],[Away Team Name]],"Draw"))</f>
        <v>Italy</v>
      </c>
      <c r="X36" s="4" t="str">
        <f>IF(World_Cup_Matches[[#This Row],[Home Team Goals]]&gt;World_Cup_Matches[[#This Row],[Away Team Goals]],"Hime Win",IF(World_Cup_Matches[[#This Row],[Away Team Goals]]&gt;World_Cup_Matches[[#This Row],[Home Team Goals]],"Away win","Draw"))</f>
        <v>Hime Win</v>
      </c>
    </row>
    <row r="37" spans="1:24" x14ac:dyDescent="0.2">
      <c r="A37" s="19">
        <v>1938</v>
      </c>
      <c r="B37" s="15" t="s">
        <v>158</v>
      </c>
      <c r="C37" s="3" t="s">
        <v>159</v>
      </c>
      <c r="D37" s="3" t="s">
        <v>160</v>
      </c>
      <c r="E37" s="3" t="s">
        <v>161</v>
      </c>
      <c r="F37" s="3" t="s">
        <v>108</v>
      </c>
      <c r="G37" s="11">
        <v>1</v>
      </c>
      <c r="H37" s="11">
        <v>1</v>
      </c>
      <c r="I37" s="3" t="s">
        <v>124</v>
      </c>
      <c r="J37" s="3" t="s">
        <v>1842</v>
      </c>
      <c r="K37" s="3">
        <v>27152</v>
      </c>
      <c r="L37" s="11">
        <v>0</v>
      </c>
      <c r="M37" s="11">
        <v>0</v>
      </c>
      <c r="N37" s="3" t="s">
        <v>52</v>
      </c>
      <c r="O37" s="3" t="s">
        <v>162</v>
      </c>
      <c r="P37" s="3" t="s">
        <v>93</v>
      </c>
      <c r="Q37" s="11">
        <v>206</v>
      </c>
      <c r="R37" s="11">
        <v>1165</v>
      </c>
      <c r="S37" s="3" t="s">
        <v>113</v>
      </c>
      <c r="T37" s="4" t="s">
        <v>128</v>
      </c>
      <c r="U37" s="11">
        <f>World_Cup_Matches[[#This Row],[Home Team Goals]]+World_Cup_Matches[[#This Row],[Away Team Goals]]</f>
        <v>2</v>
      </c>
      <c r="V37" s="11">
        <f>World_Cup_Matches[[#This Row],[Home Team Goals]]-World_Cup_Matches[[#This Row],[Away Team Goals]]</f>
        <v>0</v>
      </c>
      <c r="W37" s="4" t="str">
        <f>IF(World_Cup_Matches[[#This Row],[Home Team Goals]]&gt;World_Cup_Matches[[#This Row],[Away Team Goals]],World_Cup_Matches[[#This Row],[Home Team Name]],IF(World_Cup_Matches[[#This Row],[Away Team Goals]]&gt;World_Cup_Matches[[#This Row],[Home Team Goals]], World_Cup_Matches[[#This Row],[Away Team Name]],"Draw"))</f>
        <v>Draw</v>
      </c>
      <c r="X37" s="4" t="str">
        <f>IF(World_Cup_Matches[[#This Row],[Home Team Goals]]&gt;World_Cup_Matches[[#This Row],[Away Team Goals]],"Hime Win",IF(World_Cup_Matches[[#This Row],[Away Team Goals]]&gt;World_Cup_Matches[[#This Row],[Home Team Goals]],"Away win","Draw"))</f>
        <v>Draw</v>
      </c>
    </row>
    <row r="38" spans="1:24" x14ac:dyDescent="0.2">
      <c r="A38" s="19">
        <v>1938</v>
      </c>
      <c r="B38" s="15" t="s">
        <v>163</v>
      </c>
      <c r="C38" s="3" t="s">
        <v>159</v>
      </c>
      <c r="D38" s="3" t="s">
        <v>164</v>
      </c>
      <c r="E38" s="3" t="s">
        <v>165</v>
      </c>
      <c r="F38" s="3" t="s">
        <v>99</v>
      </c>
      <c r="G38" s="11">
        <v>6</v>
      </c>
      <c r="H38" s="11">
        <v>0</v>
      </c>
      <c r="I38" s="3" t="s">
        <v>166</v>
      </c>
      <c r="J38" s="3" t="s">
        <v>1842</v>
      </c>
      <c r="K38" s="3">
        <v>9000</v>
      </c>
      <c r="L38" s="11">
        <v>4</v>
      </c>
      <c r="M38" s="11">
        <v>0</v>
      </c>
      <c r="N38" s="3" t="s">
        <v>167</v>
      </c>
      <c r="O38" s="3" t="s">
        <v>168</v>
      </c>
      <c r="P38" s="3" t="s">
        <v>169</v>
      </c>
      <c r="Q38" s="11">
        <v>206</v>
      </c>
      <c r="R38" s="11">
        <v>1173</v>
      </c>
      <c r="S38" s="3" t="s">
        <v>104</v>
      </c>
      <c r="T38" s="4" t="s">
        <v>170</v>
      </c>
      <c r="U38" s="11">
        <f>World_Cup_Matches[[#This Row],[Home Team Goals]]+World_Cup_Matches[[#This Row],[Away Team Goals]]</f>
        <v>6</v>
      </c>
      <c r="V38" s="11">
        <f>World_Cup_Matches[[#This Row],[Home Team Goals]]-World_Cup_Matches[[#This Row],[Away Team Goals]]</f>
        <v>6</v>
      </c>
      <c r="W38" s="4" t="str">
        <f>IF(World_Cup_Matches[[#This Row],[Home Team Goals]]&gt;World_Cup_Matches[[#This Row],[Away Team Goals]],World_Cup_Matches[[#This Row],[Home Team Name]],IF(World_Cup_Matches[[#This Row],[Away Team Goals]]&gt;World_Cup_Matches[[#This Row],[Home Team Goals]], World_Cup_Matches[[#This Row],[Away Team Name]],"Draw"))</f>
        <v>Hungary</v>
      </c>
      <c r="X38" s="4" t="str">
        <f>IF(World_Cup_Matches[[#This Row],[Home Team Goals]]&gt;World_Cup_Matches[[#This Row],[Away Team Goals]],"Hime Win",IF(World_Cup_Matches[[#This Row],[Away Team Goals]]&gt;World_Cup_Matches[[#This Row],[Home Team Goals]],"Away win","Draw"))</f>
        <v>Hime Win</v>
      </c>
    </row>
    <row r="39" spans="1:24" x14ac:dyDescent="0.2">
      <c r="A39" s="19">
        <v>1938</v>
      </c>
      <c r="B39" s="15" t="s">
        <v>163</v>
      </c>
      <c r="C39" s="3" t="s">
        <v>159</v>
      </c>
      <c r="D39" s="3" t="s">
        <v>171</v>
      </c>
      <c r="E39" s="3" t="s">
        <v>172</v>
      </c>
      <c r="F39" s="3" t="s">
        <v>24</v>
      </c>
      <c r="G39" s="11">
        <v>3</v>
      </c>
      <c r="H39" s="11">
        <v>1</v>
      </c>
      <c r="I39" s="3" t="s">
        <v>34</v>
      </c>
      <c r="J39" s="3" t="s">
        <v>1842</v>
      </c>
      <c r="K39" s="3">
        <v>30454</v>
      </c>
      <c r="L39" s="11">
        <v>2</v>
      </c>
      <c r="M39" s="11">
        <v>1</v>
      </c>
      <c r="N39" s="3" t="s">
        <v>173</v>
      </c>
      <c r="O39" s="3" t="s">
        <v>174</v>
      </c>
      <c r="P39" s="3" t="s">
        <v>132</v>
      </c>
      <c r="Q39" s="11">
        <v>206</v>
      </c>
      <c r="R39" s="11">
        <v>1146</v>
      </c>
      <c r="S39" s="3" t="s">
        <v>29</v>
      </c>
      <c r="T39" s="4" t="s">
        <v>38</v>
      </c>
      <c r="U39" s="11">
        <f>World_Cup_Matches[[#This Row],[Home Team Goals]]+World_Cup_Matches[[#This Row],[Away Team Goals]]</f>
        <v>4</v>
      </c>
      <c r="V39" s="11">
        <f>World_Cup_Matches[[#This Row],[Home Team Goals]]-World_Cup_Matches[[#This Row],[Away Team Goals]]</f>
        <v>2</v>
      </c>
      <c r="W39" s="4" t="str">
        <f>IF(World_Cup_Matches[[#This Row],[Home Team Goals]]&gt;World_Cup_Matches[[#This Row],[Away Team Goals]],World_Cup_Matches[[#This Row],[Home Team Name]],IF(World_Cup_Matches[[#This Row],[Away Team Goals]]&gt;World_Cup_Matches[[#This Row],[Home Team Goals]], World_Cup_Matches[[#This Row],[Away Team Name]],"Draw"))</f>
        <v>France</v>
      </c>
      <c r="X39" s="4" t="str">
        <f>IF(World_Cup_Matches[[#This Row],[Home Team Goals]]&gt;World_Cup_Matches[[#This Row],[Away Team Goals]],"Hime Win",IF(World_Cup_Matches[[#This Row],[Away Team Goals]]&gt;World_Cup_Matches[[#This Row],[Home Team Goals]],"Away win","Draw"))</f>
        <v>Hime Win</v>
      </c>
    </row>
    <row r="40" spans="1:24" x14ac:dyDescent="0.2">
      <c r="A40" s="19">
        <v>1938</v>
      </c>
      <c r="B40" s="15" t="s">
        <v>163</v>
      </c>
      <c r="C40" s="3" t="s">
        <v>159</v>
      </c>
      <c r="D40" s="3" t="s">
        <v>175</v>
      </c>
      <c r="E40" s="3" t="s">
        <v>176</v>
      </c>
      <c r="F40" s="3" t="s">
        <v>177</v>
      </c>
      <c r="G40" s="11">
        <v>3</v>
      </c>
      <c r="H40" s="11">
        <v>3</v>
      </c>
      <c r="I40" s="3" t="s">
        <v>50</v>
      </c>
      <c r="J40" s="3" t="s">
        <v>1842</v>
      </c>
      <c r="K40" s="3">
        <v>7000</v>
      </c>
      <c r="L40" s="11">
        <v>0</v>
      </c>
      <c r="M40" s="11">
        <v>0</v>
      </c>
      <c r="N40" s="3" t="s">
        <v>146</v>
      </c>
      <c r="O40" s="3" t="s">
        <v>178</v>
      </c>
      <c r="P40" s="3" t="s">
        <v>179</v>
      </c>
      <c r="Q40" s="11">
        <v>206</v>
      </c>
      <c r="R40" s="11">
        <v>1156</v>
      </c>
      <c r="S40" s="3" t="s">
        <v>180</v>
      </c>
      <c r="T40" s="4" t="s">
        <v>53</v>
      </c>
      <c r="U40" s="11">
        <f>World_Cup_Matches[[#This Row],[Home Team Goals]]+World_Cup_Matches[[#This Row],[Away Team Goals]]</f>
        <v>6</v>
      </c>
      <c r="V40" s="11">
        <f>World_Cup_Matches[[#This Row],[Home Team Goals]]-World_Cup_Matches[[#This Row],[Away Team Goals]]</f>
        <v>0</v>
      </c>
      <c r="W40" s="4" t="str">
        <f>IF(World_Cup_Matches[[#This Row],[Home Team Goals]]&gt;World_Cup_Matches[[#This Row],[Away Team Goals]],World_Cup_Matches[[#This Row],[Home Team Name]],IF(World_Cup_Matches[[#This Row],[Away Team Goals]]&gt;World_Cup_Matches[[#This Row],[Home Team Goals]], World_Cup_Matches[[#This Row],[Away Team Name]],"Draw"))</f>
        <v>Draw</v>
      </c>
      <c r="X40" s="4" t="str">
        <f>IF(World_Cup_Matches[[#This Row],[Home Team Goals]]&gt;World_Cup_Matches[[#This Row],[Away Team Goals]],"Hime Win",IF(World_Cup_Matches[[#This Row],[Away Team Goals]]&gt;World_Cup_Matches[[#This Row],[Home Team Goals]],"Away win","Draw"))</f>
        <v>Draw</v>
      </c>
    </row>
    <row r="41" spans="1:24" x14ac:dyDescent="0.2">
      <c r="A41" s="19">
        <v>1938</v>
      </c>
      <c r="B41" s="15" t="s">
        <v>163</v>
      </c>
      <c r="C41" s="3" t="s">
        <v>159</v>
      </c>
      <c r="D41" s="3" t="s">
        <v>181</v>
      </c>
      <c r="E41" s="3" t="s">
        <v>182</v>
      </c>
      <c r="F41" s="3" t="s">
        <v>138</v>
      </c>
      <c r="G41" s="11">
        <v>2</v>
      </c>
      <c r="H41" s="11">
        <v>1</v>
      </c>
      <c r="I41" s="3" t="s">
        <v>183</v>
      </c>
      <c r="J41" s="3" t="s">
        <v>157</v>
      </c>
      <c r="K41" s="3">
        <v>19000</v>
      </c>
      <c r="L41" s="11">
        <v>0</v>
      </c>
      <c r="M41" s="11">
        <v>0</v>
      </c>
      <c r="N41" s="3" t="s">
        <v>111</v>
      </c>
      <c r="O41" s="3" t="s">
        <v>184</v>
      </c>
      <c r="P41" s="3" t="s">
        <v>185</v>
      </c>
      <c r="Q41" s="11">
        <v>206</v>
      </c>
      <c r="R41" s="11">
        <v>1179</v>
      </c>
      <c r="S41" s="3" t="s">
        <v>142</v>
      </c>
      <c r="T41" s="4" t="s">
        <v>186</v>
      </c>
      <c r="U41" s="11">
        <f>World_Cup_Matches[[#This Row],[Home Team Goals]]+World_Cup_Matches[[#This Row],[Away Team Goals]]</f>
        <v>3</v>
      </c>
      <c r="V41" s="11">
        <f>World_Cup_Matches[[#This Row],[Home Team Goals]]-World_Cup_Matches[[#This Row],[Away Team Goals]]</f>
        <v>1</v>
      </c>
      <c r="W41" s="4" t="str">
        <f>IF(World_Cup_Matches[[#This Row],[Home Team Goals]]&gt;World_Cup_Matches[[#This Row],[Away Team Goals]],World_Cup_Matches[[#This Row],[Home Team Name]],IF(World_Cup_Matches[[#This Row],[Away Team Goals]]&gt;World_Cup_Matches[[#This Row],[Home Team Goals]], World_Cup_Matches[[#This Row],[Away Team Name]],"Draw"))</f>
        <v>Italy</v>
      </c>
      <c r="X41" s="4" t="str">
        <f>IF(World_Cup_Matches[[#This Row],[Home Team Goals]]&gt;World_Cup_Matches[[#This Row],[Away Team Goals]],"Hime Win",IF(World_Cup_Matches[[#This Row],[Away Team Goals]]&gt;World_Cup_Matches[[#This Row],[Home Team Goals]],"Away win","Draw"))</f>
        <v>Hime Win</v>
      </c>
    </row>
    <row r="42" spans="1:24" x14ac:dyDescent="0.2">
      <c r="A42" s="19">
        <v>1938</v>
      </c>
      <c r="B42" s="15" t="s">
        <v>187</v>
      </c>
      <c r="C42" s="3" t="s">
        <v>159</v>
      </c>
      <c r="D42" s="3" t="s">
        <v>188</v>
      </c>
      <c r="E42" s="3" t="s">
        <v>189</v>
      </c>
      <c r="F42" s="3" t="s">
        <v>42</v>
      </c>
      <c r="G42" s="11">
        <v>6</v>
      </c>
      <c r="H42" s="11">
        <v>5</v>
      </c>
      <c r="I42" s="3" t="s">
        <v>190</v>
      </c>
      <c r="J42" s="3" t="s">
        <v>191</v>
      </c>
      <c r="K42" s="3">
        <v>13452</v>
      </c>
      <c r="L42" s="11">
        <v>0</v>
      </c>
      <c r="M42" s="11">
        <v>0</v>
      </c>
      <c r="N42" s="3" t="s">
        <v>110</v>
      </c>
      <c r="O42" s="3" t="s">
        <v>192</v>
      </c>
      <c r="P42" s="3" t="s">
        <v>193</v>
      </c>
      <c r="Q42" s="11">
        <v>206</v>
      </c>
      <c r="R42" s="11">
        <v>1150</v>
      </c>
      <c r="S42" s="3" t="s">
        <v>47</v>
      </c>
      <c r="T42" s="4" t="s">
        <v>194</v>
      </c>
      <c r="U42" s="11">
        <f>World_Cup_Matches[[#This Row],[Home Team Goals]]+World_Cup_Matches[[#This Row],[Away Team Goals]]</f>
        <v>11</v>
      </c>
      <c r="V42" s="11">
        <f>World_Cup_Matches[[#This Row],[Home Team Goals]]-World_Cup_Matches[[#This Row],[Away Team Goals]]</f>
        <v>1</v>
      </c>
      <c r="W42" s="4" t="str">
        <f>IF(World_Cup_Matches[[#This Row],[Home Team Goals]]&gt;World_Cup_Matches[[#This Row],[Away Team Goals]],World_Cup_Matches[[#This Row],[Home Team Name]],IF(World_Cup_Matches[[#This Row],[Away Team Goals]]&gt;World_Cup_Matches[[#This Row],[Home Team Goals]], World_Cup_Matches[[#This Row],[Away Team Name]],"Draw"))</f>
        <v>Brazil</v>
      </c>
      <c r="X42" s="4" t="str">
        <f>IF(World_Cup_Matches[[#This Row],[Home Team Goals]]&gt;World_Cup_Matches[[#This Row],[Away Team Goals]],"Hime Win",IF(World_Cup_Matches[[#This Row],[Away Team Goals]]&gt;World_Cup_Matches[[#This Row],[Home Team Goals]],"Away win","Draw"))</f>
        <v>Hime Win</v>
      </c>
    </row>
    <row r="43" spans="1:24" x14ac:dyDescent="0.2">
      <c r="A43" s="19">
        <v>1938</v>
      </c>
      <c r="B43" s="15" t="s">
        <v>195</v>
      </c>
      <c r="C43" s="3" t="s">
        <v>159</v>
      </c>
      <c r="D43" s="3" t="s">
        <v>196</v>
      </c>
      <c r="E43" s="3" t="s">
        <v>197</v>
      </c>
      <c r="F43" s="3" t="s">
        <v>145</v>
      </c>
      <c r="G43" s="11">
        <v>3</v>
      </c>
      <c r="H43" s="11">
        <v>0</v>
      </c>
      <c r="I43" s="3" t="s">
        <v>109</v>
      </c>
      <c r="J43" s="3" t="s">
        <v>198</v>
      </c>
      <c r="K43" s="3">
        <v>11000</v>
      </c>
      <c r="L43" s="11">
        <v>0</v>
      </c>
      <c r="M43" s="11">
        <v>0</v>
      </c>
      <c r="N43" s="3" t="s">
        <v>199</v>
      </c>
      <c r="O43" s="3" t="s">
        <v>200</v>
      </c>
      <c r="P43" s="3" t="s">
        <v>201</v>
      </c>
      <c r="Q43" s="11">
        <v>206</v>
      </c>
      <c r="R43" s="11">
        <v>1172</v>
      </c>
      <c r="S43" s="3" t="s">
        <v>148</v>
      </c>
      <c r="T43" s="4" t="s">
        <v>114</v>
      </c>
      <c r="U43" s="11">
        <f>World_Cup_Matches[[#This Row],[Home Team Goals]]+World_Cup_Matches[[#This Row],[Away Team Goals]]</f>
        <v>3</v>
      </c>
      <c r="V43" s="11">
        <f>World_Cup_Matches[[#This Row],[Home Team Goals]]-World_Cup_Matches[[#This Row],[Away Team Goals]]</f>
        <v>3</v>
      </c>
      <c r="W43" s="4" t="str">
        <f>IF(World_Cup_Matches[[#This Row],[Home Team Goals]]&gt;World_Cup_Matches[[#This Row],[Away Team Goals]],World_Cup_Matches[[#This Row],[Home Team Name]],IF(World_Cup_Matches[[#This Row],[Away Team Goals]]&gt;World_Cup_Matches[[#This Row],[Home Team Goals]], World_Cup_Matches[[#This Row],[Away Team Name]],"Draw"))</f>
        <v>Czechoslovakia</v>
      </c>
      <c r="X43" s="4" t="str">
        <f>IF(World_Cup_Matches[[#This Row],[Home Team Goals]]&gt;World_Cup_Matches[[#This Row],[Away Team Goals]],"Hime Win",IF(World_Cup_Matches[[#This Row],[Away Team Goals]]&gt;World_Cup_Matches[[#This Row],[Home Team Goals]],"Away win","Draw"))</f>
        <v>Hime Win</v>
      </c>
    </row>
    <row r="44" spans="1:24" x14ac:dyDescent="0.2">
      <c r="A44" s="19">
        <v>1938</v>
      </c>
      <c r="B44" s="15" t="s">
        <v>202</v>
      </c>
      <c r="C44" s="3" t="s">
        <v>159</v>
      </c>
      <c r="D44" s="3" t="s">
        <v>175</v>
      </c>
      <c r="E44" s="3" t="s">
        <v>176</v>
      </c>
      <c r="F44" s="3" t="s">
        <v>177</v>
      </c>
      <c r="G44" s="11">
        <v>2</v>
      </c>
      <c r="H44" s="11">
        <v>1</v>
      </c>
      <c r="I44" s="3" t="s">
        <v>50</v>
      </c>
      <c r="J44" s="3" t="s">
        <v>1842</v>
      </c>
      <c r="K44" s="3">
        <v>8000</v>
      </c>
      <c r="L44" s="11">
        <v>0</v>
      </c>
      <c r="M44" s="11">
        <v>1</v>
      </c>
      <c r="N44" s="3" t="s">
        <v>132</v>
      </c>
      <c r="O44" s="3" t="s">
        <v>203</v>
      </c>
      <c r="P44" s="3" t="s">
        <v>162</v>
      </c>
      <c r="Q44" s="11">
        <v>206</v>
      </c>
      <c r="R44" s="11">
        <v>1157</v>
      </c>
      <c r="S44" s="3" t="s">
        <v>180</v>
      </c>
      <c r="T44" s="4" t="s">
        <v>53</v>
      </c>
      <c r="U44" s="11">
        <f>World_Cup_Matches[[#This Row],[Home Team Goals]]+World_Cup_Matches[[#This Row],[Away Team Goals]]</f>
        <v>3</v>
      </c>
      <c r="V44" s="11">
        <f>World_Cup_Matches[[#This Row],[Home Team Goals]]-World_Cup_Matches[[#This Row],[Away Team Goals]]</f>
        <v>1</v>
      </c>
      <c r="W44" s="4" t="str">
        <f>IF(World_Cup_Matches[[#This Row],[Home Team Goals]]&gt;World_Cup_Matches[[#This Row],[Away Team Goals]],World_Cup_Matches[[#This Row],[Home Team Name]],IF(World_Cup_Matches[[#This Row],[Away Team Goals]]&gt;World_Cup_Matches[[#This Row],[Home Team Goals]], World_Cup_Matches[[#This Row],[Away Team Name]],"Draw"))</f>
        <v>Cuba</v>
      </c>
      <c r="X44" s="4" t="str">
        <f>IF(World_Cup_Matches[[#This Row],[Home Team Goals]]&gt;World_Cup_Matches[[#This Row],[Away Team Goals]],"Hime Win",IF(World_Cup_Matches[[#This Row],[Away Team Goals]]&gt;World_Cup_Matches[[#This Row],[Home Team Goals]],"Away win","Draw"))</f>
        <v>Hime Win</v>
      </c>
    </row>
    <row r="45" spans="1:24" x14ac:dyDescent="0.2">
      <c r="A45" s="19">
        <v>1938</v>
      </c>
      <c r="B45" s="15" t="s">
        <v>202</v>
      </c>
      <c r="C45" s="3" t="s">
        <v>159</v>
      </c>
      <c r="D45" s="3" t="s">
        <v>160</v>
      </c>
      <c r="E45" s="3" t="s">
        <v>161</v>
      </c>
      <c r="F45" s="3" t="s">
        <v>108</v>
      </c>
      <c r="G45" s="11">
        <v>4</v>
      </c>
      <c r="H45" s="11">
        <v>2</v>
      </c>
      <c r="I45" s="3" t="s">
        <v>124</v>
      </c>
      <c r="J45" s="3" t="s">
        <v>1842</v>
      </c>
      <c r="K45" s="3">
        <v>20025</v>
      </c>
      <c r="L45" s="11">
        <v>1</v>
      </c>
      <c r="M45" s="11">
        <v>2</v>
      </c>
      <c r="N45" s="3" t="s">
        <v>110</v>
      </c>
      <c r="O45" s="3" t="s">
        <v>95</v>
      </c>
      <c r="P45" s="3" t="s">
        <v>93</v>
      </c>
      <c r="Q45" s="11">
        <v>206</v>
      </c>
      <c r="R45" s="11">
        <v>1166</v>
      </c>
      <c r="S45" s="3" t="s">
        <v>113</v>
      </c>
      <c r="T45" s="4" t="s">
        <v>128</v>
      </c>
      <c r="U45" s="11">
        <f>World_Cup_Matches[[#This Row],[Home Team Goals]]+World_Cup_Matches[[#This Row],[Away Team Goals]]</f>
        <v>6</v>
      </c>
      <c r="V45" s="11">
        <f>World_Cup_Matches[[#This Row],[Home Team Goals]]-World_Cup_Matches[[#This Row],[Away Team Goals]]</f>
        <v>2</v>
      </c>
      <c r="W45" s="4" t="str">
        <f>IF(World_Cup_Matches[[#This Row],[Home Team Goals]]&gt;World_Cup_Matches[[#This Row],[Away Team Goals]],World_Cup_Matches[[#This Row],[Home Team Name]],IF(World_Cup_Matches[[#This Row],[Away Team Goals]]&gt;World_Cup_Matches[[#This Row],[Home Team Goals]], World_Cup_Matches[[#This Row],[Away Team Name]],"Draw"))</f>
        <v>Switzerland</v>
      </c>
      <c r="X45" s="4" t="str">
        <f>IF(World_Cup_Matches[[#This Row],[Home Team Goals]]&gt;World_Cup_Matches[[#This Row],[Away Team Goals]],"Hime Win",IF(World_Cup_Matches[[#This Row],[Away Team Goals]]&gt;World_Cup_Matches[[#This Row],[Home Team Goals]],"Away win","Draw"))</f>
        <v>Hime Win</v>
      </c>
    </row>
    <row r="46" spans="1:24" x14ac:dyDescent="0.2">
      <c r="A46" s="19">
        <v>1938</v>
      </c>
      <c r="B46" s="15" t="s">
        <v>204</v>
      </c>
      <c r="C46" s="3" t="s">
        <v>150</v>
      </c>
      <c r="D46" s="3" t="s">
        <v>205</v>
      </c>
      <c r="E46" s="3" t="s">
        <v>206</v>
      </c>
      <c r="F46" s="3" t="s">
        <v>42</v>
      </c>
      <c r="G46" s="11">
        <v>1</v>
      </c>
      <c r="H46" s="11">
        <v>1</v>
      </c>
      <c r="I46" s="3" t="s">
        <v>145</v>
      </c>
      <c r="J46" s="3" t="s">
        <v>1842</v>
      </c>
      <c r="K46" s="3">
        <v>22021</v>
      </c>
      <c r="L46" s="11">
        <v>0</v>
      </c>
      <c r="M46" s="11">
        <v>0</v>
      </c>
      <c r="N46" s="3" t="s">
        <v>207</v>
      </c>
      <c r="O46" s="3" t="s">
        <v>146</v>
      </c>
      <c r="P46" s="3" t="s">
        <v>168</v>
      </c>
      <c r="Q46" s="11">
        <v>429</v>
      </c>
      <c r="R46" s="11">
        <v>1152</v>
      </c>
      <c r="S46" s="3" t="s">
        <v>47</v>
      </c>
      <c r="T46" s="4" t="s">
        <v>148</v>
      </c>
      <c r="U46" s="11">
        <f>World_Cup_Matches[[#This Row],[Home Team Goals]]+World_Cup_Matches[[#This Row],[Away Team Goals]]</f>
        <v>2</v>
      </c>
      <c r="V46" s="11">
        <f>World_Cup_Matches[[#This Row],[Home Team Goals]]-World_Cup_Matches[[#This Row],[Away Team Goals]]</f>
        <v>0</v>
      </c>
      <c r="W46" s="4" t="str">
        <f>IF(World_Cup_Matches[[#This Row],[Home Team Goals]]&gt;World_Cup_Matches[[#This Row],[Away Team Goals]],World_Cup_Matches[[#This Row],[Home Team Name]],IF(World_Cup_Matches[[#This Row],[Away Team Goals]]&gt;World_Cup_Matches[[#This Row],[Home Team Goals]], World_Cup_Matches[[#This Row],[Away Team Name]],"Draw"))</f>
        <v>Draw</v>
      </c>
      <c r="X46" s="4" t="str">
        <f>IF(World_Cup_Matches[[#This Row],[Home Team Goals]]&gt;World_Cup_Matches[[#This Row],[Away Team Goals]],"Hime Win",IF(World_Cup_Matches[[#This Row],[Away Team Goals]]&gt;World_Cup_Matches[[#This Row],[Home Team Goals]],"Away win","Draw"))</f>
        <v>Draw</v>
      </c>
    </row>
    <row r="47" spans="1:24" x14ac:dyDescent="0.2">
      <c r="A47" s="19">
        <v>1938</v>
      </c>
      <c r="B47" s="15" t="s">
        <v>204</v>
      </c>
      <c r="C47" s="3" t="s">
        <v>150</v>
      </c>
      <c r="D47" s="3" t="s">
        <v>208</v>
      </c>
      <c r="E47" s="3" t="s">
        <v>209</v>
      </c>
      <c r="F47" s="3" t="s">
        <v>99</v>
      </c>
      <c r="G47" s="11">
        <v>2</v>
      </c>
      <c r="H47" s="11">
        <v>0</v>
      </c>
      <c r="I47" s="3" t="s">
        <v>108</v>
      </c>
      <c r="J47" s="3" t="s">
        <v>1842</v>
      </c>
      <c r="K47" s="3">
        <v>15000</v>
      </c>
      <c r="L47" s="11">
        <v>1</v>
      </c>
      <c r="M47" s="11">
        <v>0</v>
      </c>
      <c r="N47" s="3" t="s">
        <v>101</v>
      </c>
      <c r="O47" s="3" t="s">
        <v>111</v>
      </c>
      <c r="P47" s="3" t="s">
        <v>184</v>
      </c>
      <c r="Q47" s="11">
        <v>429</v>
      </c>
      <c r="R47" s="11">
        <v>1175</v>
      </c>
      <c r="S47" s="3" t="s">
        <v>104</v>
      </c>
      <c r="T47" s="4" t="s">
        <v>113</v>
      </c>
      <c r="U47" s="11">
        <f>World_Cup_Matches[[#This Row],[Home Team Goals]]+World_Cup_Matches[[#This Row],[Away Team Goals]]</f>
        <v>2</v>
      </c>
      <c r="V47" s="11">
        <f>World_Cup_Matches[[#This Row],[Home Team Goals]]-World_Cup_Matches[[#This Row],[Away Team Goals]]</f>
        <v>2</v>
      </c>
      <c r="W47" s="4" t="str">
        <f>IF(World_Cup_Matches[[#This Row],[Home Team Goals]]&gt;World_Cup_Matches[[#This Row],[Away Team Goals]],World_Cup_Matches[[#This Row],[Home Team Name]],IF(World_Cup_Matches[[#This Row],[Away Team Goals]]&gt;World_Cup_Matches[[#This Row],[Home Team Goals]], World_Cup_Matches[[#This Row],[Away Team Name]],"Draw"))</f>
        <v>Hungary</v>
      </c>
      <c r="X47" s="4" t="str">
        <f>IF(World_Cup_Matches[[#This Row],[Home Team Goals]]&gt;World_Cup_Matches[[#This Row],[Away Team Goals]],"Hime Win",IF(World_Cup_Matches[[#This Row],[Away Team Goals]]&gt;World_Cup_Matches[[#This Row],[Home Team Goals]],"Away win","Draw"))</f>
        <v>Hime Win</v>
      </c>
    </row>
    <row r="48" spans="1:24" x14ac:dyDescent="0.2">
      <c r="A48" s="19">
        <v>1938</v>
      </c>
      <c r="B48" s="15" t="s">
        <v>204</v>
      </c>
      <c r="C48" s="3" t="s">
        <v>150</v>
      </c>
      <c r="D48" s="3" t="s">
        <v>210</v>
      </c>
      <c r="E48" s="3" t="s">
        <v>211</v>
      </c>
      <c r="F48" s="3" t="s">
        <v>117</v>
      </c>
      <c r="G48" s="11">
        <v>8</v>
      </c>
      <c r="H48" s="11">
        <v>0</v>
      </c>
      <c r="I48" s="3" t="s">
        <v>177</v>
      </c>
      <c r="J48" s="3" t="s">
        <v>1842</v>
      </c>
      <c r="K48" s="3">
        <v>7000</v>
      </c>
      <c r="L48" s="11">
        <v>4</v>
      </c>
      <c r="M48" s="11">
        <v>0</v>
      </c>
      <c r="N48" s="3" t="s">
        <v>174</v>
      </c>
      <c r="O48" s="3" t="s">
        <v>169</v>
      </c>
      <c r="P48" s="3" t="s">
        <v>201</v>
      </c>
      <c r="Q48" s="11">
        <v>429</v>
      </c>
      <c r="R48" s="11">
        <v>1158</v>
      </c>
      <c r="S48" s="3" t="s">
        <v>121</v>
      </c>
      <c r="T48" s="4" t="s">
        <v>180</v>
      </c>
      <c r="U48" s="11">
        <f>World_Cup_Matches[[#This Row],[Home Team Goals]]+World_Cup_Matches[[#This Row],[Away Team Goals]]</f>
        <v>8</v>
      </c>
      <c r="V48" s="11">
        <f>World_Cup_Matches[[#This Row],[Home Team Goals]]-World_Cup_Matches[[#This Row],[Away Team Goals]]</f>
        <v>8</v>
      </c>
      <c r="W48" s="4" t="str">
        <f>IF(World_Cup_Matches[[#This Row],[Home Team Goals]]&gt;World_Cup_Matches[[#This Row],[Away Team Goals]],World_Cup_Matches[[#This Row],[Home Team Name]],IF(World_Cup_Matches[[#This Row],[Away Team Goals]]&gt;World_Cup_Matches[[#This Row],[Home Team Goals]], World_Cup_Matches[[#This Row],[Away Team Name]],"Draw"))</f>
        <v>Sweden</v>
      </c>
      <c r="X48" s="4" t="str">
        <f>IF(World_Cup_Matches[[#This Row],[Home Team Goals]]&gt;World_Cup_Matches[[#This Row],[Away Team Goals]],"Hime Win",IF(World_Cup_Matches[[#This Row],[Away Team Goals]]&gt;World_Cup_Matches[[#This Row],[Home Team Goals]],"Away win","Draw"))</f>
        <v>Hime Win</v>
      </c>
    </row>
    <row r="49" spans="1:24" x14ac:dyDescent="0.2">
      <c r="A49" s="19">
        <v>1938</v>
      </c>
      <c r="B49" s="15" t="s">
        <v>204</v>
      </c>
      <c r="C49" s="3" t="s">
        <v>150</v>
      </c>
      <c r="D49" s="3" t="s">
        <v>171</v>
      </c>
      <c r="E49" s="3" t="s">
        <v>172</v>
      </c>
      <c r="F49" s="3" t="s">
        <v>138</v>
      </c>
      <c r="G49" s="11">
        <v>3</v>
      </c>
      <c r="H49" s="11">
        <v>1</v>
      </c>
      <c r="I49" s="3" t="s">
        <v>24</v>
      </c>
      <c r="J49" s="3" t="s">
        <v>1842</v>
      </c>
      <c r="K49" s="3">
        <v>58455</v>
      </c>
      <c r="L49" s="11">
        <v>1</v>
      </c>
      <c r="M49" s="11">
        <v>1</v>
      </c>
      <c r="N49" s="3" t="s">
        <v>95</v>
      </c>
      <c r="O49" s="3" t="s">
        <v>173</v>
      </c>
      <c r="P49" s="3" t="s">
        <v>110</v>
      </c>
      <c r="Q49" s="11">
        <v>429</v>
      </c>
      <c r="R49" s="11">
        <v>1164</v>
      </c>
      <c r="S49" s="3" t="s">
        <v>142</v>
      </c>
      <c r="T49" s="4" t="s">
        <v>29</v>
      </c>
      <c r="U49" s="11">
        <f>World_Cup_Matches[[#This Row],[Home Team Goals]]+World_Cup_Matches[[#This Row],[Away Team Goals]]</f>
        <v>4</v>
      </c>
      <c r="V49" s="11">
        <f>World_Cup_Matches[[#This Row],[Home Team Goals]]-World_Cup_Matches[[#This Row],[Away Team Goals]]</f>
        <v>2</v>
      </c>
      <c r="W49" s="4" t="str">
        <f>IF(World_Cup_Matches[[#This Row],[Home Team Goals]]&gt;World_Cup_Matches[[#This Row],[Away Team Goals]],World_Cup_Matches[[#This Row],[Home Team Name]],IF(World_Cup_Matches[[#This Row],[Away Team Goals]]&gt;World_Cup_Matches[[#This Row],[Home Team Goals]], World_Cup_Matches[[#This Row],[Away Team Name]],"Draw"))</f>
        <v>Italy</v>
      </c>
      <c r="X49" s="4" t="str">
        <f>IF(World_Cup_Matches[[#This Row],[Home Team Goals]]&gt;World_Cup_Matches[[#This Row],[Away Team Goals]],"Hime Win",IF(World_Cup_Matches[[#This Row],[Away Team Goals]]&gt;World_Cup_Matches[[#This Row],[Home Team Goals]],"Away win","Draw"))</f>
        <v>Hime Win</v>
      </c>
    </row>
    <row r="50" spans="1:24" x14ac:dyDescent="0.2">
      <c r="A50" s="19">
        <v>1938</v>
      </c>
      <c r="B50" s="15" t="s">
        <v>212</v>
      </c>
      <c r="C50" s="3" t="s">
        <v>150</v>
      </c>
      <c r="D50" s="3" t="s">
        <v>205</v>
      </c>
      <c r="E50" s="3" t="s">
        <v>206</v>
      </c>
      <c r="F50" s="3" t="s">
        <v>42</v>
      </c>
      <c r="G50" s="11">
        <v>2</v>
      </c>
      <c r="H50" s="11">
        <v>1</v>
      </c>
      <c r="I50" s="3" t="s">
        <v>145</v>
      </c>
      <c r="J50" s="3" t="s">
        <v>1842</v>
      </c>
      <c r="K50" s="3">
        <v>18141</v>
      </c>
      <c r="L50" s="11">
        <v>0</v>
      </c>
      <c r="M50" s="11">
        <v>1</v>
      </c>
      <c r="N50" s="3" t="s">
        <v>213</v>
      </c>
      <c r="O50" s="3" t="s">
        <v>162</v>
      </c>
      <c r="P50" s="3" t="s">
        <v>193</v>
      </c>
      <c r="Q50" s="11">
        <v>429</v>
      </c>
      <c r="R50" s="11">
        <v>1153</v>
      </c>
      <c r="S50" s="3" t="s">
        <v>47</v>
      </c>
      <c r="T50" s="4" t="s">
        <v>148</v>
      </c>
      <c r="U50" s="11">
        <f>World_Cup_Matches[[#This Row],[Home Team Goals]]+World_Cup_Matches[[#This Row],[Away Team Goals]]</f>
        <v>3</v>
      </c>
      <c r="V50" s="11">
        <f>World_Cup_Matches[[#This Row],[Home Team Goals]]-World_Cup_Matches[[#This Row],[Away Team Goals]]</f>
        <v>1</v>
      </c>
      <c r="W50" s="4" t="str">
        <f>IF(World_Cup_Matches[[#This Row],[Home Team Goals]]&gt;World_Cup_Matches[[#This Row],[Away Team Goals]],World_Cup_Matches[[#This Row],[Home Team Name]],IF(World_Cup_Matches[[#This Row],[Away Team Goals]]&gt;World_Cup_Matches[[#This Row],[Home Team Goals]], World_Cup_Matches[[#This Row],[Away Team Name]],"Draw"))</f>
        <v>Brazil</v>
      </c>
      <c r="X50" s="4" t="str">
        <f>IF(World_Cup_Matches[[#This Row],[Home Team Goals]]&gt;World_Cup_Matches[[#This Row],[Away Team Goals]],"Hime Win",IF(World_Cup_Matches[[#This Row],[Away Team Goals]]&gt;World_Cup_Matches[[#This Row],[Home Team Goals]],"Away win","Draw"))</f>
        <v>Hime Win</v>
      </c>
    </row>
    <row r="51" spans="1:24" x14ac:dyDescent="0.2">
      <c r="A51" s="19">
        <v>1938</v>
      </c>
      <c r="B51" s="15" t="s">
        <v>214</v>
      </c>
      <c r="C51" s="3" t="s">
        <v>83</v>
      </c>
      <c r="D51" s="3" t="s">
        <v>160</v>
      </c>
      <c r="E51" s="3" t="s">
        <v>161</v>
      </c>
      <c r="F51" s="3" t="s">
        <v>99</v>
      </c>
      <c r="G51" s="11">
        <v>5</v>
      </c>
      <c r="H51" s="11">
        <v>1</v>
      </c>
      <c r="I51" s="3" t="s">
        <v>117</v>
      </c>
      <c r="J51" s="3" t="s">
        <v>1842</v>
      </c>
      <c r="K51" s="3">
        <v>20000</v>
      </c>
      <c r="L51" s="11">
        <v>3</v>
      </c>
      <c r="M51" s="11">
        <v>1</v>
      </c>
      <c r="N51" s="3" t="s">
        <v>199</v>
      </c>
      <c r="O51" s="3" t="s">
        <v>93</v>
      </c>
      <c r="P51" s="3" t="s">
        <v>146</v>
      </c>
      <c r="Q51" s="11">
        <v>3489</v>
      </c>
      <c r="R51" s="11">
        <v>1176</v>
      </c>
      <c r="S51" s="3" t="s">
        <v>104</v>
      </c>
      <c r="T51" s="4" t="s">
        <v>121</v>
      </c>
      <c r="U51" s="11">
        <f>World_Cup_Matches[[#This Row],[Home Team Goals]]+World_Cup_Matches[[#This Row],[Away Team Goals]]</f>
        <v>6</v>
      </c>
      <c r="V51" s="11">
        <f>World_Cup_Matches[[#This Row],[Home Team Goals]]-World_Cup_Matches[[#This Row],[Away Team Goals]]</f>
        <v>4</v>
      </c>
      <c r="W51" s="4" t="str">
        <f>IF(World_Cup_Matches[[#This Row],[Home Team Goals]]&gt;World_Cup_Matches[[#This Row],[Away Team Goals]],World_Cup_Matches[[#This Row],[Home Team Name]],IF(World_Cup_Matches[[#This Row],[Away Team Goals]]&gt;World_Cup_Matches[[#This Row],[Home Team Goals]], World_Cup_Matches[[#This Row],[Away Team Name]],"Draw"))</f>
        <v>Hungary</v>
      </c>
      <c r="X51" s="4" t="str">
        <f>IF(World_Cup_Matches[[#This Row],[Home Team Goals]]&gt;World_Cup_Matches[[#This Row],[Away Team Goals]],"Hime Win",IF(World_Cup_Matches[[#This Row],[Away Team Goals]]&gt;World_Cup_Matches[[#This Row],[Home Team Goals]],"Away win","Draw"))</f>
        <v>Hime Win</v>
      </c>
    </row>
    <row r="52" spans="1:24" x14ac:dyDescent="0.2">
      <c r="A52" s="19">
        <v>1938</v>
      </c>
      <c r="B52" s="15" t="s">
        <v>214</v>
      </c>
      <c r="C52" s="3" t="s">
        <v>83</v>
      </c>
      <c r="D52" s="3" t="s">
        <v>181</v>
      </c>
      <c r="E52" s="3" t="s">
        <v>182</v>
      </c>
      <c r="F52" s="3" t="s">
        <v>138</v>
      </c>
      <c r="G52" s="11">
        <v>2</v>
      </c>
      <c r="H52" s="11">
        <v>1</v>
      </c>
      <c r="I52" s="3" t="s">
        <v>42</v>
      </c>
      <c r="J52" s="3" t="s">
        <v>1842</v>
      </c>
      <c r="K52" s="3">
        <v>33000</v>
      </c>
      <c r="L52" s="11">
        <v>0</v>
      </c>
      <c r="M52" s="11">
        <v>0</v>
      </c>
      <c r="N52" s="3" t="s">
        <v>173</v>
      </c>
      <c r="O52" s="3" t="s">
        <v>111</v>
      </c>
      <c r="P52" s="3" t="s">
        <v>162</v>
      </c>
      <c r="Q52" s="11">
        <v>3489</v>
      </c>
      <c r="R52" s="11">
        <v>1149</v>
      </c>
      <c r="S52" s="3" t="s">
        <v>142</v>
      </c>
      <c r="T52" s="4" t="s">
        <v>47</v>
      </c>
      <c r="U52" s="11">
        <f>World_Cup_Matches[[#This Row],[Home Team Goals]]+World_Cup_Matches[[#This Row],[Away Team Goals]]</f>
        <v>3</v>
      </c>
      <c r="V52" s="11">
        <f>World_Cup_Matches[[#This Row],[Home Team Goals]]-World_Cup_Matches[[#This Row],[Away Team Goals]]</f>
        <v>1</v>
      </c>
      <c r="W52" s="4" t="str">
        <f>IF(World_Cup_Matches[[#This Row],[Home Team Goals]]&gt;World_Cup_Matches[[#This Row],[Away Team Goals]],World_Cup_Matches[[#This Row],[Home Team Name]],IF(World_Cup_Matches[[#This Row],[Away Team Goals]]&gt;World_Cup_Matches[[#This Row],[Home Team Goals]], World_Cup_Matches[[#This Row],[Away Team Name]],"Draw"))</f>
        <v>Italy</v>
      </c>
      <c r="X52" s="4" t="str">
        <f>IF(World_Cup_Matches[[#This Row],[Home Team Goals]]&gt;World_Cup_Matches[[#This Row],[Away Team Goals]],"Hime Win",IF(World_Cup_Matches[[#This Row],[Away Team Goals]]&gt;World_Cup_Matches[[#This Row],[Home Team Goals]],"Away win","Draw"))</f>
        <v>Hime Win</v>
      </c>
    </row>
    <row r="53" spans="1:24" x14ac:dyDescent="0.2">
      <c r="A53" s="19">
        <v>1938</v>
      </c>
      <c r="B53" s="15" t="s">
        <v>215</v>
      </c>
      <c r="C53" s="3" t="s">
        <v>155</v>
      </c>
      <c r="D53" s="3" t="s">
        <v>205</v>
      </c>
      <c r="E53" s="3" t="s">
        <v>206</v>
      </c>
      <c r="F53" s="3" t="s">
        <v>42</v>
      </c>
      <c r="G53" s="11">
        <v>4</v>
      </c>
      <c r="H53" s="11">
        <v>2</v>
      </c>
      <c r="I53" s="3" t="s">
        <v>117</v>
      </c>
      <c r="J53" s="3" t="s">
        <v>1842</v>
      </c>
      <c r="K53" s="3">
        <v>12000</v>
      </c>
      <c r="L53" s="11">
        <v>1</v>
      </c>
      <c r="M53" s="11">
        <v>2</v>
      </c>
      <c r="N53" s="3" t="s">
        <v>52</v>
      </c>
      <c r="O53" s="3" t="s">
        <v>200</v>
      </c>
      <c r="P53" s="3" t="s">
        <v>178</v>
      </c>
      <c r="Q53" s="11">
        <v>3488</v>
      </c>
      <c r="R53" s="11">
        <v>1151</v>
      </c>
      <c r="S53" s="3" t="s">
        <v>47</v>
      </c>
      <c r="T53" s="4" t="s">
        <v>121</v>
      </c>
      <c r="U53" s="11">
        <f>World_Cup_Matches[[#This Row],[Home Team Goals]]+World_Cup_Matches[[#This Row],[Away Team Goals]]</f>
        <v>6</v>
      </c>
      <c r="V53" s="11">
        <f>World_Cup_Matches[[#This Row],[Home Team Goals]]-World_Cup_Matches[[#This Row],[Away Team Goals]]</f>
        <v>2</v>
      </c>
      <c r="W53" s="4" t="str">
        <f>IF(World_Cup_Matches[[#This Row],[Home Team Goals]]&gt;World_Cup_Matches[[#This Row],[Away Team Goals]],World_Cup_Matches[[#This Row],[Home Team Name]],IF(World_Cup_Matches[[#This Row],[Away Team Goals]]&gt;World_Cup_Matches[[#This Row],[Home Team Goals]], World_Cup_Matches[[#This Row],[Away Team Name]],"Draw"))</f>
        <v>Brazil</v>
      </c>
      <c r="X53" s="4" t="str">
        <f>IF(World_Cup_Matches[[#This Row],[Home Team Goals]]&gt;World_Cup_Matches[[#This Row],[Away Team Goals]],"Hime Win",IF(World_Cup_Matches[[#This Row],[Away Team Goals]]&gt;World_Cup_Matches[[#This Row],[Home Team Goals]],"Away win","Draw"))</f>
        <v>Hime Win</v>
      </c>
    </row>
    <row r="54" spans="1:24" x14ac:dyDescent="0.2">
      <c r="A54" s="19">
        <v>1938</v>
      </c>
      <c r="B54" s="15" t="s">
        <v>215</v>
      </c>
      <c r="C54" s="3" t="s">
        <v>86</v>
      </c>
      <c r="D54" s="3" t="s">
        <v>171</v>
      </c>
      <c r="E54" s="3" t="s">
        <v>172</v>
      </c>
      <c r="F54" s="3" t="s">
        <v>138</v>
      </c>
      <c r="G54" s="11">
        <v>4</v>
      </c>
      <c r="H54" s="11">
        <v>2</v>
      </c>
      <c r="I54" s="3" t="s">
        <v>99</v>
      </c>
      <c r="J54" s="3" t="s">
        <v>1842</v>
      </c>
      <c r="K54" s="3">
        <v>45000</v>
      </c>
      <c r="L54" s="11">
        <v>3</v>
      </c>
      <c r="M54" s="11">
        <v>1</v>
      </c>
      <c r="N54" s="3" t="s">
        <v>213</v>
      </c>
      <c r="O54" s="3" t="s">
        <v>173</v>
      </c>
      <c r="P54" s="3" t="s">
        <v>174</v>
      </c>
      <c r="Q54" s="11">
        <v>3487</v>
      </c>
      <c r="R54" s="11">
        <v>1174</v>
      </c>
      <c r="S54" s="3" t="s">
        <v>142</v>
      </c>
      <c r="T54" s="4" t="s">
        <v>104</v>
      </c>
      <c r="U54" s="11">
        <f>World_Cup_Matches[[#This Row],[Home Team Goals]]+World_Cup_Matches[[#This Row],[Away Team Goals]]</f>
        <v>6</v>
      </c>
      <c r="V54" s="11">
        <f>World_Cup_Matches[[#This Row],[Home Team Goals]]-World_Cup_Matches[[#This Row],[Away Team Goals]]</f>
        <v>2</v>
      </c>
      <c r="W54" s="4" t="str">
        <f>IF(World_Cup_Matches[[#This Row],[Home Team Goals]]&gt;World_Cup_Matches[[#This Row],[Away Team Goals]],World_Cup_Matches[[#This Row],[Home Team Name]],IF(World_Cup_Matches[[#This Row],[Away Team Goals]]&gt;World_Cup_Matches[[#This Row],[Home Team Goals]], World_Cup_Matches[[#This Row],[Away Team Name]],"Draw"))</f>
        <v>Italy</v>
      </c>
      <c r="X54" s="4" t="str">
        <f>IF(World_Cup_Matches[[#This Row],[Home Team Goals]]&gt;World_Cup_Matches[[#This Row],[Away Team Goals]],"Hime Win",IF(World_Cup_Matches[[#This Row],[Away Team Goals]]&gt;World_Cup_Matches[[#This Row],[Home Team Goals]],"Away win","Draw"))</f>
        <v>Hime Win</v>
      </c>
    </row>
    <row r="55" spans="1:24" x14ac:dyDescent="0.2">
      <c r="A55" s="19">
        <v>1950</v>
      </c>
      <c r="B55" s="15" t="s">
        <v>216</v>
      </c>
      <c r="C55" s="3" t="s">
        <v>21</v>
      </c>
      <c r="D55" s="3" t="s">
        <v>217</v>
      </c>
      <c r="E55" s="3" t="s">
        <v>218</v>
      </c>
      <c r="F55" s="3" t="s">
        <v>42</v>
      </c>
      <c r="G55" s="11">
        <v>4</v>
      </c>
      <c r="H55" s="11">
        <v>0</v>
      </c>
      <c r="I55" s="3" t="s">
        <v>25</v>
      </c>
      <c r="J55" s="3" t="s">
        <v>1842</v>
      </c>
      <c r="K55" s="3">
        <v>81649</v>
      </c>
      <c r="L55" s="11">
        <v>1</v>
      </c>
      <c r="M55" s="11">
        <v>0</v>
      </c>
      <c r="N55" s="3" t="s">
        <v>219</v>
      </c>
      <c r="O55" s="3" t="s">
        <v>220</v>
      </c>
      <c r="P55" s="3" t="s">
        <v>221</v>
      </c>
      <c r="Q55" s="11">
        <v>208</v>
      </c>
      <c r="R55" s="11">
        <v>1187</v>
      </c>
      <c r="S55" s="3" t="s">
        <v>47</v>
      </c>
      <c r="T55" s="4" t="s">
        <v>30</v>
      </c>
      <c r="U55" s="11">
        <f>World_Cup_Matches[[#This Row],[Home Team Goals]]+World_Cup_Matches[[#This Row],[Away Team Goals]]</f>
        <v>4</v>
      </c>
      <c r="V55" s="11">
        <f>World_Cup_Matches[[#This Row],[Home Team Goals]]-World_Cup_Matches[[#This Row],[Away Team Goals]]</f>
        <v>4</v>
      </c>
      <c r="W55" s="4" t="str">
        <f>IF(World_Cup_Matches[[#This Row],[Home Team Goals]]&gt;World_Cup_Matches[[#This Row],[Away Team Goals]],World_Cup_Matches[[#This Row],[Home Team Name]],IF(World_Cup_Matches[[#This Row],[Away Team Goals]]&gt;World_Cup_Matches[[#This Row],[Home Team Goals]], World_Cup_Matches[[#This Row],[Away Team Name]],"Draw"))</f>
        <v>Brazil</v>
      </c>
      <c r="X55" s="4" t="str">
        <f>IF(World_Cup_Matches[[#This Row],[Home Team Goals]]&gt;World_Cup_Matches[[#This Row],[Away Team Goals]],"Hime Win",IF(World_Cup_Matches[[#This Row],[Away Team Goals]]&gt;World_Cup_Matches[[#This Row],[Home Team Goals]],"Away win","Draw"))</f>
        <v>Hime Win</v>
      </c>
    </row>
    <row r="56" spans="1:24" x14ac:dyDescent="0.2">
      <c r="A56" s="19">
        <v>1950</v>
      </c>
      <c r="B56" s="15" t="s">
        <v>222</v>
      </c>
      <c r="C56" s="3" t="s">
        <v>40</v>
      </c>
      <c r="D56" s="3" t="s">
        <v>217</v>
      </c>
      <c r="E56" s="3" t="s">
        <v>218</v>
      </c>
      <c r="F56" s="3" t="s">
        <v>223</v>
      </c>
      <c r="G56" s="11">
        <v>2</v>
      </c>
      <c r="H56" s="11">
        <v>0</v>
      </c>
      <c r="I56" s="3" t="s">
        <v>61</v>
      </c>
      <c r="J56" s="3" t="s">
        <v>1842</v>
      </c>
      <c r="K56" s="3">
        <v>29703</v>
      </c>
      <c r="L56" s="11">
        <v>1</v>
      </c>
      <c r="M56" s="11">
        <v>0</v>
      </c>
      <c r="N56" s="3" t="s">
        <v>224</v>
      </c>
      <c r="O56" s="3" t="s">
        <v>225</v>
      </c>
      <c r="P56" s="3" t="s">
        <v>226</v>
      </c>
      <c r="Q56" s="11">
        <v>208</v>
      </c>
      <c r="R56" s="11">
        <v>1192</v>
      </c>
      <c r="S56" s="3" t="s">
        <v>227</v>
      </c>
      <c r="T56" s="4" t="s">
        <v>63</v>
      </c>
      <c r="U56" s="11">
        <f>World_Cup_Matches[[#This Row],[Home Team Goals]]+World_Cup_Matches[[#This Row],[Away Team Goals]]</f>
        <v>2</v>
      </c>
      <c r="V56" s="11">
        <f>World_Cup_Matches[[#This Row],[Home Team Goals]]-World_Cup_Matches[[#This Row],[Away Team Goals]]</f>
        <v>2</v>
      </c>
      <c r="W56" s="4" t="str">
        <f>IF(World_Cup_Matches[[#This Row],[Home Team Goals]]&gt;World_Cup_Matches[[#This Row],[Away Team Goals]],World_Cup_Matches[[#This Row],[Home Team Name]],IF(World_Cup_Matches[[#This Row],[Away Team Goals]]&gt;World_Cup_Matches[[#This Row],[Home Team Goals]], World_Cup_Matches[[#This Row],[Away Team Name]],"Draw"))</f>
        <v>England</v>
      </c>
      <c r="X56" s="4" t="str">
        <f>IF(World_Cup_Matches[[#This Row],[Home Team Goals]]&gt;World_Cup_Matches[[#This Row],[Away Team Goals]],"Hime Win",IF(World_Cup_Matches[[#This Row],[Away Team Goals]]&gt;World_Cup_Matches[[#This Row],[Home Team Goals]],"Away win","Draw"))</f>
        <v>Hime Win</v>
      </c>
    </row>
    <row r="57" spans="1:24" x14ac:dyDescent="0.2">
      <c r="A57" s="19">
        <v>1950</v>
      </c>
      <c r="B57" s="15" t="s">
        <v>222</v>
      </c>
      <c r="C57" s="3" t="s">
        <v>40</v>
      </c>
      <c r="D57" s="3" t="s">
        <v>228</v>
      </c>
      <c r="E57" s="3" t="s">
        <v>229</v>
      </c>
      <c r="F57" s="3" t="s">
        <v>131</v>
      </c>
      <c r="G57" s="11">
        <v>3</v>
      </c>
      <c r="H57" s="11">
        <v>1</v>
      </c>
      <c r="I57" s="3" t="s">
        <v>33</v>
      </c>
      <c r="J57" s="3" t="s">
        <v>1842</v>
      </c>
      <c r="K57" s="3">
        <v>9511</v>
      </c>
      <c r="L57" s="11">
        <v>0</v>
      </c>
      <c r="M57" s="11">
        <v>1</v>
      </c>
      <c r="N57" s="3" t="s">
        <v>230</v>
      </c>
      <c r="O57" s="3" t="s">
        <v>231</v>
      </c>
      <c r="P57" s="3" t="s">
        <v>168</v>
      </c>
      <c r="Q57" s="11">
        <v>208</v>
      </c>
      <c r="R57" s="11">
        <v>1208</v>
      </c>
      <c r="S57" s="3" t="s">
        <v>135</v>
      </c>
      <c r="T57" s="4" t="s">
        <v>33</v>
      </c>
      <c r="U57" s="11">
        <f>World_Cup_Matches[[#This Row],[Home Team Goals]]+World_Cup_Matches[[#This Row],[Away Team Goals]]</f>
        <v>4</v>
      </c>
      <c r="V57" s="11">
        <f>World_Cup_Matches[[#This Row],[Home Team Goals]]-World_Cup_Matches[[#This Row],[Away Team Goals]]</f>
        <v>2</v>
      </c>
      <c r="W57" s="4" t="str">
        <f>IF(World_Cup_Matches[[#This Row],[Home Team Goals]]&gt;World_Cup_Matches[[#This Row],[Away Team Goals]],World_Cup_Matches[[#This Row],[Home Team Name]],IF(World_Cup_Matches[[#This Row],[Away Team Goals]]&gt;World_Cup_Matches[[#This Row],[Home Team Goals]], World_Cup_Matches[[#This Row],[Away Team Name]],"Draw"))</f>
        <v>Spain</v>
      </c>
      <c r="X57" s="4" t="str">
        <f>IF(World_Cup_Matches[[#This Row],[Home Team Goals]]&gt;World_Cup_Matches[[#This Row],[Away Team Goals]],"Hime Win",IF(World_Cup_Matches[[#This Row],[Away Team Goals]]&gt;World_Cup_Matches[[#This Row],[Home Team Goals]],"Away win","Draw"))</f>
        <v>Hime Win</v>
      </c>
    </row>
    <row r="58" spans="1:24" x14ac:dyDescent="0.2">
      <c r="A58" s="19">
        <v>1950</v>
      </c>
      <c r="B58" s="15" t="s">
        <v>222</v>
      </c>
      <c r="C58" s="3" t="s">
        <v>49</v>
      </c>
      <c r="D58" s="3" t="s">
        <v>232</v>
      </c>
      <c r="E58" s="3" t="s">
        <v>233</v>
      </c>
      <c r="F58" s="3" t="s">
        <v>117</v>
      </c>
      <c r="G58" s="11">
        <v>3</v>
      </c>
      <c r="H58" s="11">
        <v>2</v>
      </c>
      <c r="I58" s="3" t="s">
        <v>138</v>
      </c>
      <c r="J58" s="3" t="s">
        <v>1842</v>
      </c>
      <c r="K58" s="3">
        <v>36502</v>
      </c>
      <c r="L58" s="11">
        <v>2</v>
      </c>
      <c r="M58" s="11">
        <v>1</v>
      </c>
      <c r="N58" s="3" t="s">
        <v>234</v>
      </c>
      <c r="O58" s="3" t="s">
        <v>111</v>
      </c>
      <c r="P58" s="3" t="s">
        <v>235</v>
      </c>
      <c r="Q58" s="11">
        <v>208</v>
      </c>
      <c r="R58" s="11">
        <v>1219</v>
      </c>
      <c r="S58" s="3" t="s">
        <v>121</v>
      </c>
      <c r="T58" s="4" t="s">
        <v>142</v>
      </c>
      <c r="U58" s="11">
        <f>World_Cup_Matches[[#This Row],[Home Team Goals]]+World_Cup_Matches[[#This Row],[Away Team Goals]]</f>
        <v>5</v>
      </c>
      <c r="V58" s="11">
        <f>World_Cup_Matches[[#This Row],[Home Team Goals]]-World_Cup_Matches[[#This Row],[Away Team Goals]]</f>
        <v>1</v>
      </c>
      <c r="W58" s="4" t="str">
        <f>IF(World_Cup_Matches[[#This Row],[Home Team Goals]]&gt;World_Cup_Matches[[#This Row],[Away Team Goals]],World_Cup_Matches[[#This Row],[Home Team Name]],IF(World_Cup_Matches[[#This Row],[Away Team Goals]]&gt;World_Cup_Matches[[#This Row],[Home Team Goals]], World_Cup_Matches[[#This Row],[Away Team Name]],"Draw"))</f>
        <v>Sweden</v>
      </c>
      <c r="X58" s="4" t="str">
        <f>IF(World_Cup_Matches[[#This Row],[Home Team Goals]]&gt;World_Cup_Matches[[#This Row],[Away Team Goals]],"Hime Win",IF(World_Cup_Matches[[#This Row],[Away Team Goals]]&gt;World_Cup_Matches[[#This Row],[Home Team Goals]],"Away win","Draw"))</f>
        <v>Hime Win</v>
      </c>
    </row>
    <row r="59" spans="1:24" x14ac:dyDescent="0.2">
      <c r="A59" s="19">
        <v>1950</v>
      </c>
      <c r="B59" s="15" t="s">
        <v>222</v>
      </c>
      <c r="C59" s="3" t="s">
        <v>21</v>
      </c>
      <c r="D59" s="3" t="s">
        <v>236</v>
      </c>
      <c r="E59" s="3" t="s">
        <v>237</v>
      </c>
      <c r="F59" s="3" t="s">
        <v>41</v>
      </c>
      <c r="G59" s="11">
        <v>3</v>
      </c>
      <c r="H59" s="11">
        <v>0</v>
      </c>
      <c r="I59" s="3" t="s">
        <v>108</v>
      </c>
      <c r="J59" s="3" t="s">
        <v>1842</v>
      </c>
      <c r="K59" s="3">
        <v>7336</v>
      </c>
      <c r="L59" s="11">
        <v>0</v>
      </c>
      <c r="M59" s="11">
        <v>0</v>
      </c>
      <c r="N59" s="3" t="s">
        <v>238</v>
      </c>
      <c r="O59" s="3" t="s">
        <v>110</v>
      </c>
      <c r="P59" s="3" t="s">
        <v>102</v>
      </c>
      <c r="Q59" s="11">
        <v>208</v>
      </c>
      <c r="R59" s="11">
        <v>1230</v>
      </c>
      <c r="S59" s="3" t="s">
        <v>46</v>
      </c>
      <c r="T59" s="4" t="s">
        <v>113</v>
      </c>
      <c r="U59" s="11">
        <f>World_Cup_Matches[[#This Row],[Home Team Goals]]+World_Cup_Matches[[#This Row],[Away Team Goals]]</f>
        <v>3</v>
      </c>
      <c r="V59" s="11">
        <f>World_Cup_Matches[[#This Row],[Home Team Goals]]-World_Cup_Matches[[#This Row],[Away Team Goals]]</f>
        <v>3</v>
      </c>
      <c r="W59" s="4" t="str">
        <f>IF(World_Cup_Matches[[#This Row],[Home Team Goals]]&gt;World_Cup_Matches[[#This Row],[Away Team Goals]],World_Cup_Matches[[#This Row],[Home Team Name]],IF(World_Cup_Matches[[#This Row],[Away Team Goals]]&gt;World_Cup_Matches[[#This Row],[Home Team Goals]], World_Cup_Matches[[#This Row],[Away Team Name]],"Draw"))</f>
        <v>Yugoslavia</v>
      </c>
      <c r="X59" s="4" t="str">
        <f>IF(World_Cup_Matches[[#This Row],[Home Team Goals]]&gt;World_Cup_Matches[[#This Row],[Away Team Goals]],"Hime Win",IF(World_Cup_Matches[[#This Row],[Away Team Goals]]&gt;World_Cup_Matches[[#This Row],[Home Team Goals]],"Away win","Draw"))</f>
        <v>Hime Win</v>
      </c>
    </row>
    <row r="60" spans="1:24" x14ac:dyDescent="0.2">
      <c r="A60" s="19">
        <v>1950</v>
      </c>
      <c r="B60" s="15" t="s">
        <v>239</v>
      </c>
      <c r="C60" s="3" t="s">
        <v>21</v>
      </c>
      <c r="D60" s="3" t="s">
        <v>232</v>
      </c>
      <c r="E60" s="3" t="s">
        <v>233</v>
      </c>
      <c r="F60" s="3" t="s">
        <v>42</v>
      </c>
      <c r="G60" s="11">
        <v>2</v>
      </c>
      <c r="H60" s="11">
        <v>2</v>
      </c>
      <c r="I60" s="3" t="s">
        <v>108</v>
      </c>
      <c r="J60" s="3" t="s">
        <v>1842</v>
      </c>
      <c r="K60" s="3">
        <v>42032</v>
      </c>
      <c r="L60" s="11">
        <v>2</v>
      </c>
      <c r="M60" s="11">
        <v>1</v>
      </c>
      <c r="N60" s="3" t="s">
        <v>240</v>
      </c>
      <c r="O60" s="3" t="s">
        <v>241</v>
      </c>
      <c r="P60" s="3" t="s">
        <v>242</v>
      </c>
      <c r="Q60" s="11">
        <v>208</v>
      </c>
      <c r="R60" s="11">
        <v>1188</v>
      </c>
      <c r="S60" s="3" t="s">
        <v>47</v>
      </c>
      <c r="T60" s="4" t="s">
        <v>113</v>
      </c>
      <c r="U60" s="11">
        <f>World_Cup_Matches[[#This Row],[Home Team Goals]]+World_Cup_Matches[[#This Row],[Away Team Goals]]</f>
        <v>4</v>
      </c>
      <c r="V60" s="11">
        <f>World_Cup_Matches[[#This Row],[Home Team Goals]]-World_Cup_Matches[[#This Row],[Away Team Goals]]</f>
        <v>0</v>
      </c>
      <c r="W60" s="4" t="str">
        <f>IF(World_Cup_Matches[[#This Row],[Home Team Goals]]&gt;World_Cup_Matches[[#This Row],[Away Team Goals]],World_Cup_Matches[[#This Row],[Home Team Name]],IF(World_Cup_Matches[[#This Row],[Away Team Goals]]&gt;World_Cup_Matches[[#This Row],[Home Team Goals]], World_Cup_Matches[[#This Row],[Away Team Name]],"Draw"))</f>
        <v>Draw</v>
      </c>
      <c r="X60" s="4" t="str">
        <f>IF(World_Cup_Matches[[#This Row],[Home Team Goals]]&gt;World_Cup_Matches[[#This Row],[Away Team Goals]],"Hime Win",IF(World_Cup_Matches[[#This Row],[Away Team Goals]]&gt;World_Cup_Matches[[#This Row],[Home Team Goals]],"Away win","Draw"))</f>
        <v>Draw</v>
      </c>
    </row>
    <row r="61" spans="1:24" x14ac:dyDescent="0.2">
      <c r="A61" s="19">
        <v>1950</v>
      </c>
      <c r="B61" s="15" t="s">
        <v>239</v>
      </c>
      <c r="C61" s="3" t="s">
        <v>21</v>
      </c>
      <c r="D61" s="3" t="s">
        <v>243</v>
      </c>
      <c r="E61" s="3" t="s">
        <v>244</v>
      </c>
      <c r="F61" s="3" t="s">
        <v>41</v>
      </c>
      <c r="G61" s="11">
        <v>4</v>
      </c>
      <c r="H61" s="11">
        <v>1</v>
      </c>
      <c r="I61" s="3" t="s">
        <v>25</v>
      </c>
      <c r="J61" s="3" t="s">
        <v>1842</v>
      </c>
      <c r="K61" s="3">
        <v>11078</v>
      </c>
      <c r="L61" s="11">
        <v>2</v>
      </c>
      <c r="M61" s="11">
        <v>0</v>
      </c>
      <c r="N61" s="3" t="s">
        <v>245</v>
      </c>
      <c r="O61" s="3" t="s">
        <v>226</v>
      </c>
      <c r="P61" s="3" t="s">
        <v>224</v>
      </c>
      <c r="Q61" s="11">
        <v>208</v>
      </c>
      <c r="R61" s="11">
        <v>1225</v>
      </c>
      <c r="S61" s="3" t="s">
        <v>46</v>
      </c>
      <c r="T61" s="4" t="s">
        <v>30</v>
      </c>
      <c r="U61" s="11">
        <f>World_Cup_Matches[[#This Row],[Home Team Goals]]+World_Cup_Matches[[#This Row],[Away Team Goals]]</f>
        <v>5</v>
      </c>
      <c r="V61" s="11">
        <f>World_Cup_Matches[[#This Row],[Home Team Goals]]-World_Cup_Matches[[#This Row],[Away Team Goals]]</f>
        <v>3</v>
      </c>
      <c r="W61" s="4" t="str">
        <f>IF(World_Cup_Matches[[#This Row],[Home Team Goals]]&gt;World_Cup_Matches[[#This Row],[Away Team Goals]],World_Cup_Matches[[#This Row],[Home Team Name]],IF(World_Cup_Matches[[#This Row],[Away Team Goals]]&gt;World_Cup_Matches[[#This Row],[Home Team Goals]], World_Cup_Matches[[#This Row],[Away Team Name]],"Draw"))</f>
        <v>Yugoslavia</v>
      </c>
      <c r="X61" s="4" t="str">
        <f>IF(World_Cup_Matches[[#This Row],[Home Team Goals]]&gt;World_Cup_Matches[[#This Row],[Away Team Goals]],"Hime Win",IF(World_Cup_Matches[[#This Row],[Away Team Goals]]&gt;World_Cup_Matches[[#This Row],[Home Team Goals]],"Away win","Draw"))</f>
        <v>Hime Win</v>
      </c>
    </row>
    <row r="62" spans="1:24" x14ac:dyDescent="0.2">
      <c r="A62" s="19">
        <v>1950</v>
      </c>
      <c r="B62" s="15" t="s">
        <v>246</v>
      </c>
      <c r="C62" s="3" t="s">
        <v>40</v>
      </c>
      <c r="D62" s="3" t="s">
        <v>217</v>
      </c>
      <c r="E62" s="3" t="s">
        <v>218</v>
      </c>
      <c r="F62" s="3" t="s">
        <v>131</v>
      </c>
      <c r="G62" s="11">
        <v>2</v>
      </c>
      <c r="H62" s="11">
        <v>0</v>
      </c>
      <c r="I62" s="3" t="s">
        <v>61</v>
      </c>
      <c r="J62" s="3" t="s">
        <v>1842</v>
      </c>
      <c r="K62" s="3">
        <v>19790</v>
      </c>
      <c r="L62" s="11">
        <v>2</v>
      </c>
      <c r="M62" s="11">
        <v>0</v>
      </c>
      <c r="N62" s="3" t="s">
        <v>247</v>
      </c>
      <c r="O62" s="3" t="s">
        <v>248</v>
      </c>
      <c r="P62" s="3" t="s">
        <v>249</v>
      </c>
      <c r="Q62" s="11">
        <v>208</v>
      </c>
      <c r="R62" s="11">
        <v>1193</v>
      </c>
      <c r="S62" s="3" t="s">
        <v>135</v>
      </c>
      <c r="T62" s="4" t="s">
        <v>63</v>
      </c>
      <c r="U62" s="11">
        <f>World_Cup_Matches[[#This Row],[Home Team Goals]]+World_Cup_Matches[[#This Row],[Away Team Goals]]</f>
        <v>2</v>
      </c>
      <c r="V62" s="11">
        <f>World_Cup_Matches[[#This Row],[Home Team Goals]]-World_Cup_Matches[[#This Row],[Away Team Goals]]</f>
        <v>2</v>
      </c>
      <c r="W62" s="4" t="str">
        <f>IF(World_Cup_Matches[[#This Row],[Home Team Goals]]&gt;World_Cup_Matches[[#This Row],[Away Team Goals]],World_Cup_Matches[[#This Row],[Home Team Name]],IF(World_Cup_Matches[[#This Row],[Away Team Goals]]&gt;World_Cup_Matches[[#This Row],[Home Team Goals]], World_Cup_Matches[[#This Row],[Away Team Name]],"Draw"))</f>
        <v>Spain</v>
      </c>
      <c r="X62" s="4" t="str">
        <f>IF(World_Cup_Matches[[#This Row],[Home Team Goals]]&gt;World_Cup_Matches[[#This Row],[Away Team Goals]],"Hime Win",IF(World_Cup_Matches[[#This Row],[Away Team Goals]]&gt;World_Cup_Matches[[#This Row],[Home Team Goals]],"Away win","Draw"))</f>
        <v>Hime Win</v>
      </c>
    </row>
    <row r="63" spans="1:24" x14ac:dyDescent="0.2">
      <c r="A63" s="19">
        <v>1950</v>
      </c>
      <c r="B63" s="15" t="s">
        <v>250</v>
      </c>
      <c r="C63" s="3" t="s">
        <v>49</v>
      </c>
      <c r="D63" s="3" t="s">
        <v>228</v>
      </c>
      <c r="E63" s="3" t="s">
        <v>229</v>
      </c>
      <c r="F63" s="3" t="s">
        <v>117</v>
      </c>
      <c r="G63" s="11">
        <v>2</v>
      </c>
      <c r="H63" s="11">
        <v>2</v>
      </c>
      <c r="I63" s="3" t="s">
        <v>68</v>
      </c>
      <c r="J63" s="3" t="s">
        <v>1842</v>
      </c>
      <c r="K63" s="3">
        <v>7903</v>
      </c>
      <c r="L63" s="11">
        <v>2</v>
      </c>
      <c r="M63" s="11">
        <v>1</v>
      </c>
      <c r="N63" s="3" t="s">
        <v>251</v>
      </c>
      <c r="O63" s="3" t="s">
        <v>252</v>
      </c>
      <c r="P63" s="3" t="s">
        <v>253</v>
      </c>
      <c r="Q63" s="11">
        <v>208</v>
      </c>
      <c r="R63" s="11">
        <v>1228</v>
      </c>
      <c r="S63" s="3" t="s">
        <v>121</v>
      </c>
      <c r="T63" s="4" t="s">
        <v>69</v>
      </c>
      <c r="U63" s="11">
        <f>World_Cup_Matches[[#This Row],[Home Team Goals]]+World_Cup_Matches[[#This Row],[Away Team Goals]]</f>
        <v>4</v>
      </c>
      <c r="V63" s="11">
        <f>World_Cup_Matches[[#This Row],[Home Team Goals]]-World_Cup_Matches[[#This Row],[Away Team Goals]]</f>
        <v>0</v>
      </c>
      <c r="W63" s="4" t="str">
        <f>IF(World_Cup_Matches[[#This Row],[Home Team Goals]]&gt;World_Cup_Matches[[#This Row],[Away Team Goals]],World_Cup_Matches[[#This Row],[Home Team Name]],IF(World_Cup_Matches[[#This Row],[Away Team Goals]]&gt;World_Cup_Matches[[#This Row],[Home Team Goals]], World_Cup_Matches[[#This Row],[Away Team Name]],"Draw"))</f>
        <v>Draw</v>
      </c>
      <c r="X63" s="4" t="str">
        <f>IF(World_Cup_Matches[[#This Row],[Home Team Goals]]&gt;World_Cup_Matches[[#This Row],[Away Team Goals]],"Hime Win",IF(World_Cup_Matches[[#This Row],[Away Team Goals]]&gt;World_Cup_Matches[[#This Row],[Home Team Goals]],"Away win","Draw"))</f>
        <v>Draw</v>
      </c>
    </row>
    <row r="64" spans="1:24" x14ac:dyDescent="0.2">
      <c r="A64" s="19">
        <v>1950</v>
      </c>
      <c r="B64" s="15" t="s">
        <v>246</v>
      </c>
      <c r="C64" s="3" t="s">
        <v>40</v>
      </c>
      <c r="D64" s="3" t="s">
        <v>236</v>
      </c>
      <c r="E64" s="3" t="s">
        <v>237</v>
      </c>
      <c r="F64" s="3" t="s">
        <v>33</v>
      </c>
      <c r="G64" s="11">
        <v>1</v>
      </c>
      <c r="H64" s="11">
        <v>0</v>
      </c>
      <c r="I64" s="3" t="s">
        <v>223</v>
      </c>
      <c r="J64" s="3" t="s">
        <v>1842</v>
      </c>
      <c r="K64" s="3">
        <v>10151</v>
      </c>
      <c r="L64" s="11">
        <v>1</v>
      </c>
      <c r="M64" s="11">
        <v>0</v>
      </c>
      <c r="N64" s="3" t="s">
        <v>102</v>
      </c>
      <c r="O64" s="3" t="s">
        <v>168</v>
      </c>
      <c r="P64" s="3" t="s">
        <v>238</v>
      </c>
      <c r="Q64" s="11">
        <v>208</v>
      </c>
      <c r="R64" s="11">
        <v>1202</v>
      </c>
      <c r="S64" s="3" t="s">
        <v>33</v>
      </c>
      <c r="T64" s="4" t="s">
        <v>227</v>
      </c>
      <c r="U64" s="11">
        <f>World_Cup_Matches[[#This Row],[Home Team Goals]]+World_Cup_Matches[[#This Row],[Away Team Goals]]</f>
        <v>1</v>
      </c>
      <c r="V64" s="11">
        <f>World_Cup_Matches[[#This Row],[Home Team Goals]]-World_Cup_Matches[[#This Row],[Away Team Goals]]</f>
        <v>1</v>
      </c>
      <c r="W64" s="4" t="str">
        <f>IF(World_Cup_Matches[[#This Row],[Home Team Goals]]&gt;World_Cup_Matches[[#This Row],[Away Team Goals]],World_Cup_Matches[[#This Row],[Home Team Name]],IF(World_Cup_Matches[[#This Row],[Away Team Goals]]&gt;World_Cup_Matches[[#This Row],[Home Team Goals]], World_Cup_Matches[[#This Row],[Away Team Name]],"Draw"))</f>
        <v>USA</v>
      </c>
      <c r="X64" s="4" t="str">
        <f>IF(World_Cup_Matches[[#This Row],[Home Team Goals]]&gt;World_Cup_Matches[[#This Row],[Away Team Goals]],"Hime Win",IF(World_Cup_Matches[[#This Row],[Away Team Goals]]&gt;World_Cup_Matches[[#This Row],[Home Team Goals]],"Away win","Draw"))</f>
        <v>Hime Win</v>
      </c>
    </row>
    <row r="65" spans="1:24" x14ac:dyDescent="0.2">
      <c r="A65" s="19">
        <v>1950</v>
      </c>
      <c r="B65" s="15" t="s">
        <v>254</v>
      </c>
      <c r="C65" s="3" t="s">
        <v>21</v>
      </c>
      <c r="D65" s="3" t="s">
        <v>217</v>
      </c>
      <c r="E65" s="3" t="s">
        <v>218</v>
      </c>
      <c r="F65" s="3" t="s">
        <v>42</v>
      </c>
      <c r="G65" s="11">
        <v>2</v>
      </c>
      <c r="H65" s="11">
        <v>0</v>
      </c>
      <c r="I65" s="3" t="s">
        <v>41</v>
      </c>
      <c r="J65" s="3" t="s">
        <v>1842</v>
      </c>
      <c r="K65" s="3">
        <v>142429</v>
      </c>
      <c r="L65" s="11">
        <v>1</v>
      </c>
      <c r="M65" s="11">
        <v>0</v>
      </c>
      <c r="N65" s="3" t="s">
        <v>220</v>
      </c>
      <c r="O65" s="3" t="s">
        <v>111</v>
      </c>
      <c r="P65" s="3" t="s">
        <v>231</v>
      </c>
      <c r="Q65" s="11">
        <v>208</v>
      </c>
      <c r="R65" s="11">
        <v>1191</v>
      </c>
      <c r="S65" s="3" t="s">
        <v>47</v>
      </c>
      <c r="T65" s="4" t="s">
        <v>46</v>
      </c>
      <c r="U65" s="11">
        <f>World_Cup_Matches[[#This Row],[Home Team Goals]]+World_Cup_Matches[[#This Row],[Away Team Goals]]</f>
        <v>2</v>
      </c>
      <c r="V65" s="11">
        <f>World_Cup_Matches[[#This Row],[Home Team Goals]]-World_Cup_Matches[[#This Row],[Away Team Goals]]</f>
        <v>2</v>
      </c>
      <c r="W65" s="4" t="str">
        <f>IF(World_Cup_Matches[[#This Row],[Home Team Goals]]&gt;World_Cup_Matches[[#This Row],[Away Team Goals]],World_Cup_Matches[[#This Row],[Home Team Name]],IF(World_Cup_Matches[[#This Row],[Away Team Goals]]&gt;World_Cup_Matches[[#This Row],[Home Team Goals]], World_Cup_Matches[[#This Row],[Away Team Name]],"Draw"))</f>
        <v>Brazil</v>
      </c>
      <c r="X65" s="4" t="str">
        <f>IF(World_Cup_Matches[[#This Row],[Home Team Goals]]&gt;World_Cup_Matches[[#This Row],[Away Team Goals]],"Hime Win",IF(World_Cup_Matches[[#This Row],[Away Team Goals]]&gt;World_Cup_Matches[[#This Row],[Home Team Goals]],"Away win","Draw"))</f>
        <v>Hime Win</v>
      </c>
    </row>
    <row r="66" spans="1:24" x14ac:dyDescent="0.2">
      <c r="A66" s="19">
        <v>1950</v>
      </c>
      <c r="B66" s="15" t="s">
        <v>255</v>
      </c>
      <c r="C66" s="3" t="s">
        <v>40</v>
      </c>
      <c r="D66" s="3" t="s">
        <v>217</v>
      </c>
      <c r="E66" s="3" t="s">
        <v>218</v>
      </c>
      <c r="F66" s="3" t="s">
        <v>131</v>
      </c>
      <c r="G66" s="11">
        <v>1</v>
      </c>
      <c r="H66" s="11">
        <v>0</v>
      </c>
      <c r="I66" s="3" t="s">
        <v>223</v>
      </c>
      <c r="J66" s="3" t="s">
        <v>1842</v>
      </c>
      <c r="K66" s="3">
        <v>74462</v>
      </c>
      <c r="L66" s="11">
        <v>0</v>
      </c>
      <c r="M66" s="11">
        <v>0</v>
      </c>
      <c r="N66" s="3" t="s">
        <v>238</v>
      </c>
      <c r="O66" s="3" t="s">
        <v>234</v>
      </c>
      <c r="P66" s="3" t="s">
        <v>102</v>
      </c>
      <c r="Q66" s="11">
        <v>208</v>
      </c>
      <c r="R66" s="11">
        <v>1199</v>
      </c>
      <c r="S66" s="3" t="s">
        <v>135</v>
      </c>
      <c r="T66" s="4" t="s">
        <v>227</v>
      </c>
      <c r="U66" s="11">
        <f>World_Cup_Matches[[#This Row],[Home Team Goals]]+World_Cup_Matches[[#This Row],[Away Team Goals]]</f>
        <v>1</v>
      </c>
      <c r="V66" s="11">
        <f>World_Cup_Matches[[#This Row],[Home Team Goals]]-World_Cup_Matches[[#This Row],[Away Team Goals]]</f>
        <v>1</v>
      </c>
      <c r="W66" s="4" t="str">
        <f>IF(World_Cup_Matches[[#This Row],[Home Team Goals]]&gt;World_Cup_Matches[[#This Row],[Away Team Goals]],World_Cup_Matches[[#This Row],[Home Team Name]],IF(World_Cup_Matches[[#This Row],[Away Team Goals]]&gt;World_Cup_Matches[[#This Row],[Home Team Goals]], World_Cup_Matches[[#This Row],[Away Team Name]],"Draw"))</f>
        <v>Spain</v>
      </c>
      <c r="X66" s="4" t="str">
        <f>IF(World_Cup_Matches[[#This Row],[Home Team Goals]]&gt;World_Cup_Matches[[#This Row],[Away Team Goals]],"Hime Win",IF(World_Cup_Matches[[#This Row],[Away Team Goals]]&gt;World_Cup_Matches[[#This Row],[Home Team Goals]],"Away win","Draw"))</f>
        <v>Hime Win</v>
      </c>
    </row>
    <row r="67" spans="1:24" x14ac:dyDescent="0.2">
      <c r="A67" s="19">
        <v>1950</v>
      </c>
      <c r="B67" s="15" t="s">
        <v>255</v>
      </c>
      <c r="C67" s="3" t="s">
        <v>49</v>
      </c>
      <c r="D67" s="3" t="s">
        <v>232</v>
      </c>
      <c r="E67" s="3" t="s">
        <v>233</v>
      </c>
      <c r="F67" s="3" t="s">
        <v>138</v>
      </c>
      <c r="G67" s="11">
        <v>2</v>
      </c>
      <c r="H67" s="11">
        <v>0</v>
      </c>
      <c r="I67" s="3" t="s">
        <v>68</v>
      </c>
      <c r="J67" s="3" t="s">
        <v>1842</v>
      </c>
      <c r="K67" s="3">
        <v>25811</v>
      </c>
      <c r="L67" s="11">
        <v>1</v>
      </c>
      <c r="M67" s="11">
        <v>0</v>
      </c>
      <c r="N67" s="3" t="s">
        <v>256</v>
      </c>
      <c r="O67" s="3" t="s">
        <v>253</v>
      </c>
      <c r="P67" s="3" t="s">
        <v>168</v>
      </c>
      <c r="Q67" s="11">
        <v>208</v>
      </c>
      <c r="R67" s="11">
        <v>1218</v>
      </c>
      <c r="S67" s="3" t="s">
        <v>142</v>
      </c>
      <c r="T67" s="4" t="s">
        <v>69</v>
      </c>
      <c r="U67" s="11">
        <f>World_Cup_Matches[[#This Row],[Home Team Goals]]+World_Cup_Matches[[#This Row],[Away Team Goals]]</f>
        <v>2</v>
      </c>
      <c r="V67" s="11">
        <f>World_Cup_Matches[[#This Row],[Home Team Goals]]-World_Cup_Matches[[#This Row],[Away Team Goals]]</f>
        <v>2</v>
      </c>
      <c r="W67" s="4" t="str">
        <f>IF(World_Cup_Matches[[#This Row],[Home Team Goals]]&gt;World_Cup_Matches[[#This Row],[Away Team Goals]],World_Cup_Matches[[#This Row],[Home Team Name]],IF(World_Cup_Matches[[#This Row],[Away Team Goals]]&gt;World_Cup_Matches[[#This Row],[Home Team Goals]], World_Cup_Matches[[#This Row],[Away Team Name]],"Draw"))</f>
        <v>Italy</v>
      </c>
      <c r="X67" s="4" t="str">
        <f>IF(World_Cup_Matches[[#This Row],[Home Team Goals]]&gt;World_Cup_Matches[[#This Row],[Away Team Goals]],"Hime Win",IF(World_Cup_Matches[[#This Row],[Away Team Goals]]&gt;World_Cup_Matches[[#This Row],[Home Team Goals]],"Away win","Draw"))</f>
        <v>Hime Win</v>
      </c>
    </row>
    <row r="68" spans="1:24" x14ac:dyDescent="0.2">
      <c r="A68" s="19">
        <v>1950</v>
      </c>
      <c r="B68" s="15" t="s">
        <v>255</v>
      </c>
      <c r="C68" s="3" t="s">
        <v>31</v>
      </c>
      <c r="D68" s="3" t="s">
        <v>236</v>
      </c>
      <c r="E68" s="3" t="s">
        <v>237</v>
      </c>
      <c r="F68" s="3" t="s">
        <v>72</v>
      </c>
      <c r="G68" s="11">
        <v>8</v>
      </c>
      <c r="H68" s="11">
        <v>0</v>
      </c>
      <c r="I68" s="3" t="s">
        <v>65</v>
      </c>
      <c r="J68" s="3" t="s">
        <v>1842</v>
      </c>
      <c r="K68" s="3">
        <v>5284</v>
      </c>
      <c r="L68" s="11">
        <v>4</v>
      </c>
      <c r="M68" s="11">
        <v>0</v>
      </c>
      <c r="N68" s="3" t="s">
        <v>219</v>
      </c>
      <c r="O68" s="3" t="s">
        <v>230</v>
      </c>
      <c r="P68" s="3" t="s">
        <v>252</v>
      </c>
      <c r="Q68" s="11">
        <v>208</v>
      </c>
      <c r="R68" s="11">
        <v>1185</v>
      </c>
      <c r="S68" s="3" t="s">
        <v>73</v>
      </c>
      <c r="T68" s="4" t="s">
        <v>66</v>
      </c>
      <c r="U68" s="11">
        <f>World_Cup_Matches[[#This Row],[Home Team Goals]]+World_Cup_Matches[[#This Row],[Away Team Goals]]</f>
        <v>8</v>
      </c>
      <c r="V68" s="11">
        <f>World_Cup_Matches[[#This Row],[Home Team Goals]]-World_Cup_Matches[[#This Row],[Away Team Goals]]</f>
        <v>8</v>
      </c>
      <c r="W68" s="4" t="str">
        <f>IF(World_Cup_Matches[[#This Row],[Home Team Goals]]&gt;World_Cup_Matches[[#This Row],[Away Team Goals]],World_Cup_Matches[[#This Row],[Home Team Name]],IF(World_Cup_Matches[[#This Row],[Away Team Goals]]&gt;World_Cup_Matches[[#This Row],[Home Team Goals]], World_Cup_Matches[[#This Row],[Away Team Name]],"Draw"))</f>
        <v>Uruguay</v>
      </c>
      <c r="X68" s="4" t="str">
        <f>IF(World_Cup_Matches[[#This Row],[Home Team Goals]]&gt;World_Cup_Matches[[#This Row],[Away Team Goals]],"Hime Win",IF(World_Cup_Matches[[#This Row],[Away Team Goals]]&gt;World_Cup_Matches[[#This Row],[Home Team Goals]],"Away win","Draw"))</f>
        <v>Hime Win</v>
      </c>
    </row>
    <row r="69" spans="1:24" x14ac:dyDescent="0.2">
      <c r="A69" s="19">
        <v>1950</v>
      </c>
      <c r="B69" s="15" t="s">
        <v>257</v>
      </c>
      <c r="C69" s="3" t="s">
        <v>21</v>
      </c>
      <c r="D69" s="3" t="s">
        <v>243</v>
      </c>
      <c r="E69" s="3" t="s">
        <v>244</v>
      </c>
      <c r="F69" s="3" t="s">
        <v>108</v>
      </c>
      <c r="G69" s="11">
        <v>2</v>
      </c>
      <c r="H69" s="11">
        <v>1</v>
      </c>
      <c r="I69" s="3" t="s">
        <v>25</v>
      </c>
      <c r="J69" s="3" t="s">
        <v>1842</v>
      </c>
      <c r="K69" s="3">
        <v>3580</v>
      </c>
      <c r="L69" s="11">
        <v>2</v>
      </c>
      <c r="M69" s="11">
        <v>0</v>
      </c>
      <c r="N69" s="3" t="s">
        <v>110</v>
      </c>
      <c r="O69" s="3" t="s">
        <v>226</v>
      </c>
      <c r="P69" s="3" t="s">
        <v>241</v>
      </c>
      <c r="Q69" s="11">
        <v>208</v>
      </c>
      <c r="R69" s="11">
        <v>1222</v>
      </c>
      <c r="S69" s="3" t="s">
        <v>113</v>
      </c>
      <c r="T69" s="4" t="s">
        <v>30</v>
      </c>
      <c r="U69" s="11">
        <f>World_Cup_Matches[[#This Row],[Home Team Goals]]+World_Cup_Matches[[#This Row],[Away Team Goals]]</f>
        <v>3</v>
      </c>
      <c r="V69" s="11">
        <f>World_Cup_Matches[[#This Row],[Home Team Goals]]-World_Cup_Matches[[#This Row],[Away Team Goals]]</f>
        <v>1</v>
      </c>
      <c r="W69" s="4" t="str">
        <f>IF(World_Cup_Matches[[#This Row],[Home Team Goals]]&gt;World_Cup_Matches[[#This Row],[Away Team Goals]],World_Cup_Matches[[#This Row],[Home Team Name]],IF(World_Cup_Matches[[#This Row],[Away Team Goals]]&gt;World_Cup_Matches[[#This Row],[Home Team Goals]], World_Cup_Matches[[#This Row],[Away Team Name]],"Draw"))</f>
        <v>Switzerland</v>
      </c>
      <c r="X69" s="4" t="str">
        <f>IF(World_Cup_Matches[[#This Row],[Home Team Goals]]&gt;World_Cup_Matches[[#This Row],[Away Team Goals]],"Hime Win",IF(World_Cup_Matches[[#This Row],[Away Team Goals]]&gt;World_Cup_Matches[[#This Row],[Home Team Goals]],"Away win","Draw"))</f>
        <v>Hime Win</v>
      </c>
    </row>
    <row r="70" spans="1:24" x14ac:dyDescent="0.2">
      <c r="A70" s="19">
        <v>1950</v>
      </c>
      <c r="B70" s="15" t="s">
        <v>255</v>
      </c>
      <c r="C70" s="3" t="s">
        <v>40</v>
      </c>
      <c r="D70" s="3" t="s">
        <v>258</v>
      </c>
      <c r="E70" s="3" t="s">
        <v>259</v>
      </c>
      <c r="F70" s="3" t="s">
        <v>61</v>
      </c>
      <c r="G70" s="11">
        <v>5</v>
      </c>
      <c r="H70" s="11">
        <v>2</v>
      </c>
      <c r="I70" s="3" t="s">
        <v>33</v>
      </c>
      <c r="J70" s="3" t="s">
        <v>1842</v>
      </c>
      <c r="K70" s="3">
        <v>8501</v>
      </c>
      <c r="L70" s="11">
        <v>2</v>
      </c>
      <c r="M70" s="11">
        <v>0</v>
      </c>
      <c r="N70" s="3" t="s">
        <v>225</v>
      </c>
      <c r="O70" s="3" t="s">
        <v>260</v>
      </c>
      <c r="P70" s="3" t="s">
        <v>249</v>
      </c>
      <c r="Q70" s="11">
        <v>208</v>
      </c>
      <c r="R70" s="11">
        <v>1194</v>
      </c>
      <c r="S70" s="3" t="s">
        <v>63</v>
      </c>
      <c r="T70" s="4" t="s">
        <v>33</v>
      </c>
      <c r="U70" s="11">
        <f>World_Cup_Matches[[#This Row],[Home Team Goals]]+World_Cup_Matches[[#This Row],[Away Team Goals]]</f>
        <v>7</v>
      </c>
      <c r="V70" s="11">
        <f>World_Cup_Matches[[#This Row],[Home Team Goals]]-World_Cup_Matches[[#This Row],[Away Team Goals]]</f>
        <v>3</v>
      </c>
      <c r="W70" s="4" t="str">
        <f>IF(World_Cup_Matches[[#This Row],[Home Team Goals]]&gt;World_Cup_Matches[[#This Row],[Away Team Goals]],World_Cup_Matches[[#This Row],[Home Team Name]],IF(World_Cup_Matches[[#This Row],[Away Team Goals]]&gt;World_Cup_Matches[[#This Row],[Home Team Goals]], World_Cup_Matches[[#This Row],[Away Team Name]],"Draw"))</f>
        <v>Chile</v>
      </c>
      <c r="X70" s="4" t="str">
        <f>IF(World_Cup_Matches[[#This Row],[Home Team Goals]]&gt;World_Cup_Matches[[#This Row],[Away Team Goals]],"Hime Win",IF(World_Cup_Matches[[#This Row],[Away Team Goals]]&gt;World_Cup_Matches[[#This Row],[Home Team Goals]],"Away win","Draw"))</f>
        <v>Hime Win</v>
      </c>
    </row>
    <row r="71" spans="1:24" x14ac:dyDescent="0.2">
      <c r="A71" s="19">
        <v>1950</v>
      </c>
      <c r="B71" s="15" t="s">
        <v>261</v>
      </c>
      <c r="C71" s="3" t="s">
        <v>262</v>
      </c>
      <c r="D71" s="3" t="s">
        <v>232</v>
      </c>
      <c r="E71" s="3" t="s">
        <v>233</v>
      </c>
      <c r="F71" s="3" t="s">
        <v>72</v>
      </c>
      <c r="G71" s="11">
        <v>2</v>
      </c>
      <c r="H71" s="11">
        <v>2</v>
      </c>
      <c r="I71" s="3" t="s">
        <v>131</v>
      </c>
      <c r="J71" s="3" t="s">
        <v>1842</v>
      </c>
      <c r="K71" s="3">
        <v>44802</v>
      </c>
      <c r="L71" s="11">
        <v>1</v>
      </c>
      <c r="M71" s="11">
        <v>2</v>
      </c>
      <c r="N71" s="3" t="s">
        <v>220</v>
      </c>
      <c r="O71" s="3" t="s">
        <v>102</v>
      </c>
      <c r="P71" s="3" t="s">
        <v>249</v>
      </c>
      <c r="Q71" s="11">
        <v>209</v>
      </c>
      <c r="R71" s="11">
        <v>1207</v>
      </c>
      <c r="S71" s="3" t="s">
        <v>73</v>
      </c>
      <c r="T71" s="4" t="s">
        <v>135</v>
      </c>
      <c r="U71" s="11">
        <f>World_Cup_Matches[[#This Row],[Home Team Goals]]+World_Cup_Matches[[#This Row],[Away Team Goals]]</f>
        <v>4</v>
      </c>
      <c r="V71" s="11">
        <f>World_Cup_Matches[[#This Row],[Home Team Goals]]-World_Cup_Matches[[#This Row],[Away Team Goals]]</f>
        <v>0</v>
      </c>
      <c r="W71" s="4" t="str">
        <f>IF(World_Cup_Matches[[#This Row],[Home Team Goals]]&gt;World_Cup_Matches[[#This Row],[Away Team Goals]],World_Cup_Matches[[#This Row],[Home Team Name]],IF(World_Cup_Matches[[#This Row],[Away Team Goals]]&gt;World_Cup_Matches[[#This Row],[Home Team Goals]], World_Cup_Matches[[#This Row],[Away Team Name]],"Draw"))</f>
        <v>Draw</v>
      </c>
      <c r="X71" s="4" t="str">
        <f>IF(World_Cup_Matches[[#This Row],[Home Team Goals]]&gt;World_Cup_Matches[[#This Row],[Away Team Goals]],"Hime Win",IF(World_Cup_Matches[[#This Row],[Away Team Goals]]&gt;World_Cup_Matches[[#This Row],[Home Team Goals]],"Away win","Draw"))</f>
        <v>Draw</v>
      </c>
    </row>
    <row r="72" spans="1:24" x14ac:dyDescent="0.2">
      <c r="A72" s="19">
        <v>1950</v>
      </c>
      <c r="B72" s="15" t="s">
        <v>261</v>
      </c>
      <c r="C72" s="3" t="s">
        <v>262</v>
      </c>
      <c r="D72" s="3" t="s">
        <v>217</v>
      </c>
      <c r="E72" s="3" t="s">
        <v>218</v>
      </c>
      <c r="F72" s="3" t="s">
        <v>42</v>
      </c>
      <c r="G72" s="11">
        <v>7</v>
      </c>
      <c r="H72" s="11">
        <v>1</v>
      </c>
      <c r="I72" s="3" t="s">
        <v>117</v>
      </c>
      <c r="J72" s="3" t="s">
        <v>1842</v>
      </c>
      <c r="K72" s="3">
        <v>138886</v>
      </c>
      <c r="L72" s="11">
        <v>3</v>
      </c>
      <c r="M72" s="11">
        <v>0</v>
      </c>
      <c r="N72" s="3" t="s">
        <v>256</v>
      </c>
      <c r="O72" s="3" t="s">
        <v>253</v>
      </c>
      <c r="P72" s="3" t="s">
        <v>168</v>
      </c>
      <c r="Q72" s="11">
        <v>209</v>
      </c>
      <c r="R72" s="11">
        <v>1189</v>
      </c>
      <c r="S72" s="3" t="s">
        <v>47</v>
      </c>
      <c r="T72" s="4" t="s">
        <v>121</v>
      </c>
      <c r="U72" s="11">
        <f>World_Cup_Matches[[#This Row],[Home Team Goals]]+World_Cup_Matches[[#This Row],[Away Team Goals]]</f>
        <v>8</v>
      </c>
      <c r="V72" s="11">
        <f>World_Cup_Matches[[#This Row],[Home Team Goals]]-World_Cup_Matches[[#This Row],[Away Team Goals]]</f>
        <v>6</v>
      </c>
      <c r="W72" s="4" t="str">
        <f>IF(World_Cup_Matches[[#This Row],[Home Team Goals]]&gt;World_Cup_Matches[[#This Row],[Away Team Goals]],World_Cup_Matches[[#This Row],[Home Team Name]],IF(World_Cup_Matches[[#This Row],[Away Team Goals]]&gt;World_Cup_Matches[[#This Row],[Home Team Goals]], World_Cup_Matches[[#This Row],[Away Team Name]],"Draw"))</f>
        <v>Brazil</v>
      </c>
      <c r="X72" s="4" t="str">
        <f>IF(World_Cup_Matches[[#This Row],[Home Team Goals]]&gt;World_Cup_Matches[[#This Row],[Away Team Goals]],"Hime Win",IF(World_Cup_Matches[[#This Row],[Away Team Goals]]&gt;World_Cup_Matches[[#This Row],[Home Team Goals]],"Away win","Draw"))</f>
        <v>Hime Win</v>
      </c>
    </row>
    <row r="73" spans="1:24" x14ac:dyDescent="0.2">
      <c r="A73" s="19">
        <v>1950</v>
      </c>
      <c r="B73" s="15" t="s">
        <v>263</v>
      </c>
      <c r="C73" s="3" t="s">
        <v>262</v>
      </c>
      <c r="D73" s="3" t="s">
        <v>217</v>
      </c>
      <c r="E73" s="3" t="s">
        <v>218</v>
      </c>
      <c r="F73" s="3" t="s">
        <v>42</v>
      </c>
      <c r="G73" s="11">
        <v>6</v>
      </c>
      <c r="H73" s="11">
        <v>1</v>
      </c>
      <c r="I73" s="3" t="s">
        <v>131</v>
      </c>
      <c r="J73" s="3" t="s">
        <v>1842</v>
      </c>
      <c r="K73" s="3">
        <v>152772</v>
      </c>
      <c r="L73" s="11">
        <v>3</v>
      </c>
      <c r="M73" s="11">
        <v>0</v>
      </c>
      <c r="N73" s="3" t="s">
        <v>245</v>
      </c>
      <c r="O73" s="3" t="s">
        <v>221</v>
      </c>
      <c r="P73" s="3" t="s">
        <v>231</v>
      </c>
      <c r="Q73" s="11">
        <v>209</v>
      </c>
      <c r="R73" s="11">
        <v>1186</v>
      </c>
      <c r="S73" s="3" t="s">
        <v>47</v>
      </c>
      <c r="T73" s="4" t="s">
        <v>135</v>
      </c>
      <c r="U73" s="11">
        <f>World_Cup_Matches[[#This Row],[Home Team Goals]]+World_Cup_Matches[[#This Row],[Away Team Goals]]</f>
        <v>7</v>
      </c>
      <c r="V73" s="11">
        <f>World_Cup_Matches[[#This Row],[Home Team Goals]]-World_Cup_Matches[[#This Row],[Away Team Goals]]</f>
        <v>5</v>
      </c>
      <c r="W73" s="4" t="str">
        <f>IF(World_Cup_Matches[[#This Row],[Home Team Goals]]&gt;World_Cup_Matches[[#This Row],[Away Team Goals]],World_Cup_Matches[[#This Row],[Home Team Name]],IF(World_Cup_Matches[[#This Row],[Away Team Goals]]&gt;World_Cup_Matches[[#This Row],[Home Team Goals]], World_Cup_Matches[[#This Row],[Away Team Name]],"Draw"))</f>
        <v>Brazil</v>
      </c>
      <c r="X73" s="4" t="str">
        <f>IF(World_Cup_Matches[[#This Row],[Home Team Goals]]&gt;World_Cup_Matches[[#This Row],[Away Team Goals]],"Hime Win",IF(World_Cup_Matches[[#This Row],[Away Team Goals]]&gt;World_Cup_Matches[[#This Row],[Home Team Goals]],"Away win","Draw"))</f>
        <v>Hime Win</v>
      </c>
    </row>
    <row r="74" spans="1:24" x14ac:dyDescent="0.2">
      <c r="A74" s="19">
        <v>1950</v>
      </c>
      <c r="B74" s="15" t="s">
        <v>263</v>
      </c>
      <c r="C74" s="3" t="s">
        <v>262</v>
      </c>
      <c r="D74" s="3" t="s">
        <v>232</v>
      </c>
      <c r="E74" s="3" t="s">
        <v>233</v>
      </c>
      <c r="F74" s="3" t="s">
        <v>72</v>
      </c>
      <c r="G74" s="11">
        <v>3</v>
      </c>
      <c r="H74" s="11">
        <v>2</v>
      </c>
      <c r="I74" s="3" t="s">
        <v>117</v>
      </c>
      <c r="J74" s="3" t="s">
        <v>1842</v>
      </c>
      <c r="K74" s="3">
        <v>7987</v>
      </c>
      <c r="L74" s="11">
        <v>1</v>
      </c>
      <c r="M74" s="11">
        <v>2</v>
      </c>
      <c r="N74" s="3" t="s">
        <v>238</v>
      </c>
      <c r="O74" s="3" t="s">
        <v>111</v>
      </c>
      <c r="P74" s="3" t="s">
        <v>242</v>
      </c>
      <c r="Q74" s="11">
        <v>209</v>
      </c>
      <c r="R74" s="11">
        <v>1231</v>
      </c>
      <c r="S74" s="3" t="s">
        <v>73</v>
      </c>
      <c r="T74" s="4" t="s">
        <v>121</v>
      </c>
      <c r="U74" s="11">
        <f>World_Cup_Matches[[#This Row],[Home Team Goals]]+World_Cup_Matches[[#This Row],[Away Team Goals]]</f>
        <v>5</v>
      </c>
      <c r="V74" s="11">
        <f>World_Cup_Matches[[#This Row],[Home Team Goals]]-World_Cup_Matches[[#This Row],[Away Team Goals]]</f>
        <v>1</v>
      </c>
      <c r="W74" s="4" t="str">
        <f>IF(World_Cup_Matches[[#This Row],[Home Team Goals]]&gt;World_Cup_Matches[[#This Row],[Away Team Goals]],World_Cup_Matches[[#This Row],[Home Team Name]],IF(World_Cup_Matches[[#This Row],[Away Team Goals]]&gt;World_Cup_Matches[[#This Row],[Home Team Goals]], World_Cup_Matches[[#This Row],[Away Team Name]],"Draw"))</f>
        <v>Uruguay</v>
      </c>
      <c r="X74" s="4" t="str">
        <f>IF(World_Cup_Matches[[#This Row],[Home Team Goals]]&gt;World_Cup_Matches[[#This Row],[Away Team Goals]],"Hime Win",IF(World_Cup_Matches[[#This Row],[Away Team Goals]]&gt;World_Cup_Matches[[#This Row],[Home Team Goals]],"Away win","Draw"))</f>
        <v>Hime Win</v>
      </c>
    </row>
    <row r="75" spans="1:24" x14ac:dyDescent="0.2">
      <c r="A75" s="19">
        <v>1950</v>
      </c>
      <c r="B75" s="15" t="s">
        <v>264</v>
      </c>
      <c r="C75" s="3" t="s">
        <v>262</v>
      </c>
      <c r="D75" s="3" t="s">
        <v>232</v>
      </c>
      <c r="E75" s="3" t="s">
        <v>233</v>
      </c>
      <c r="F75" s="3" t="s">
        <v>117</v>
      </c>
      <c r="G75" s="11">
        <v>3</v>
      </c>
      <c r="H75" s="11">
        <v>1</v>
      </c>
      <c r="I75" s="3" t="s">
        <v>131</v>
      </c>
      <c r="J75" s="3" t="s">
        <v>1842</v>
      </c>
      <c r="K75" s="3">
        <v>11227</v>
      </c>
      <c r="L75" s="11">
        <v>2</v>
      </c>
      <c r="M75" s="11">
        <v>0</v>
      </c>
      <c r="N75" s="3" t="s">
        <v>224</v>
      </c>
      <c r="O75" s="3" t="s">
        <v>234</v>
      </c>
      <c r="P75" s="3" t="s">
        <v>253</v>
      </c>
      <c r="Q75" s="11">
        <v>209</v>
      </c>
      <c r="R75" s="11">
        <v>1206</v>
      </c>
      <c r="S75" s="3" t="s">
        <v>121</v>
      </c>
      <c r="T75" s="4" t="s">
        <v>135</v>
      </c>
      <c r="U75" s="11">
        <f>World_Cup_Matches[[#This Row],[Home Team Goals]]+World_Cup_Matches[[#This Row],[Away Team Goals]]</f>
        <v>4</v>
      </c>
      <c r="V75" s="11">
        <f>World_Cup_Matches[[#This Row],[Home Team Goals]]-World_Cup_Matches[[#This Row],[Away Team Goals]]</f>
        <v>2</v>
      </c>
      <c r="W75" s="4" t="str">
        <f>IF(World_Cup_Matches[[#This Row],[Home Team Goals]]&gt;World_Cup_Matches[[#This Row],[Away Team Goals]],World_Cup_Matches[[#This Row],[Home Team Name]],IF(World_Cup_Matches[[#This Row],[Away Team Goals]]&gt;World_Cup_Matches[[#This Row],[Home Team Goals]], World_Cup_Matches[[#This Row],[Away Team Name]],"Draw"))</f>
        <v>Sweden</v>
      </c>
      <c r="X75" s="4" t="str">
        <f>IF(World_Cup_Matches[[#This Row],[Home Team Goals]]&gt;World_Cup_Matches[[#This Row],[Away Team Goals]],"Hime Win",IF(World_Cup_Matches[[#This Row],[Away Team Goals]]&gt;World_Cup_Matches[[#This Row],[Home Team Goals]],"Away win","Draw"))</f>
        <v>Hime Win</v>
      </c>
    </row>
    <row r="76" spans="1:24" x14ac:dyDescent="0.2">
      <c r="A76" s="19">
        <v>1950</v>
      </c>
      <c r="B76" s="15" t="s">
        <v>264</v>
      </c>
      <c r="C76" s="3" t="s">
        <v>262</v>
      </c>
      <c r="D76" s="3" t="s">
        <v>217</v>
      </c>
      <c r="E76" s="3" t="s">
        <v>218</v>
      </c>
      <c r="F76" s="3" t="s">
        <v>72</v>
      </c>
      <c r="G76" s="11">
        <v>2</v>
      </c>
      <c r="H76" s="11">
        <v>1</v>
      </c>
      <c r="I76" s="3" t="s">
        <v>42</v>
      </c>
      <c r="J76" s="3" t="s">
        <v>1842</v>
      </c>
      <c r="K76" s="3">
        <v>173850</v>
      </c>
      <c r="L76" s="11">
        <v>0</v>
      </c>
      <c r="M76" s="11">
        <v>0</v>
      </c>
      <c r="N76" s="3" t="s">
        <v>219</v>
      </c>
      <c r="O76" s="3" t="s">
        <v>256</v>
      </c>
      <c r="P76" s="3" t="s">
        <v>221</v>
      </c>
      <c r="Q76" s="11">
        <v>209</v>
      </c>
      <c r="R76" s="11">
        <v>1190</v>
      </c>
      <c r="S76" s="3" t="s">
        <v>73</v>
      </c>
      <c r="T76" s="4" t="s">
        <v>47</v>
      </c>
      <c r="U76" s="11">
        <f>World_Cup_Matches[[#This Row],[Home Team Goals]]+World_Cup_Matches[[#This Row],[Away Team Goals]]</f>
        <v>3</v>
      </c>
      <c r="V76" s="11">
        <f>World_Cup_Matches[[#This Row],[Home Team Goals]]-World_Cup_Matches[[#This Row],[Away Team Goals]]</f>
        <v>1</v>
      </c>
      <c r="W76" s="4" t="str">
        <f>IF(World_Cup_Matches[[#This Row],[Home Team Goals]]&gt;World_Cup_Matches[[#This Row],[Away Team Goals]],World_Cup_Matches[[#This Row],[Home Team Name]],IF(World_Cup_Matches[[#This Row],[Away Team Goals]]&gt;World_Cup_Matches[[#This Row],[Home Team Goals]], World_Cup_Matches[[#This Row],[Away Team Name]],"Draw"))</f>
        <v>Uruguay</v>
      </c>
      <c r="X76" s="4" t="str">
        <f>IF(World_Cup_Matches[[#This Row],[Home Team Goals]]&gt;World_Cup_Matches[[#This Row],[Away Team Goals]],"Hime Win",IF(World_Cup_Matches[[#This Row],[Away Team Goals]]&gt;World_Cup_Matches[[#This Row],[Home Team Goals]],"Away win","Draw"))</f>
        <v>Hime Win</v>
      </c>
    </row>
    <row r="77" spans="1:24" x14ac:dyDescent="0.2">
      <c r="A77" s="19">
        <v>1954</v>
      </c>
      <c r="B77" s="15" t="s">
        <v>265</v>
      </c>
      <c r="C77" s="3" t="s">
        <v>49</v>
      </c>
      <c r="D77" s="3" t="s">
        <v>266</v>
      </c>
      <c r="E77" s="3" t="s">
        <v>267</v>
      </c>
      <c r="F77" s="3" t="s">
        <v>72</v>
      </c>
      <c r="G77" s="11">
        <v>2</v>
      </c>
      <c r="H77" s="11">
        <v>0</v>
      </c>
      <c r="I77" s="3" t="s">
        <v>145</v>
      </c>
      <c r="J77" s="3" t="s">
        <v>1842</v>
      </c>
      <c r="K77" s="3">
        <v>20500</v>
      </c>
      <c r="L77" s="11">
        <v>0</v>
      </c>
      <c r="M77" s="11">
        <v>0</v>
      </c>
      <c r="N77" s="3" t="s">
        <v>256</v>
      </c>
      <c r="O77" s="3" t="s">
        <v>268</v>
      </c>
      <c r="P77" s="3" t="s">
        <v>269</v>
      </c>
      <c r="Q77" s="11">
        <v>211</v>
      </c>
      <c r="R77" s="11">
        <v>1315</v>
      </c>
      <c r="S77" s="3" t="s">
        <v>73</v>
      </c>
      <c r="T77" s="4" t="s">
        <v>148</v>
      </c>
      <c r="U77" s="11">
        <f>World_Cup_Matches[[#This Row],[Home Team Goals]]+World_Cup_Matches[[#This Row],[Away Team Goals]]</f>
        <v>2</v>
      </c>
      <c r="V77" s="11">
        <f>World_Cup_Matches[[#This Row],[Home Team Goals]]-World_Cup_Matches[[#This Row],[Away Team Goals]]</f>
        <v>2</v>
      </c>
      <c r="W77" s="4" t="str">
        <f>IF(World_Cup_Matches[[#This Row],[Home Team Goals]]&gt;World_Cup_Matches[[#This Row],[Away Team Goals]],World_Cup_Matches[[#This Row],[Home Team Name]],IF(World_Cup_Matches[[#This Row],[Away Team Goals]]&gt;World_Cup_Matches[[#This Row],[Home Team Goals]], World_Cup_Matches[[#This Row],[Away Team Name]],"Draw"))</f>
        <v>Uruguay</v>
      </c>
      <c r="X77" s="4" t="str">
        <f>IF(World_Cup_Matches[[#This Row],[Home Team Goals]]&gt;World_Cup_Matches[[#This Row],[Away Team Goals]],"Hime Win",IF(World_Cup_Matches[[#This Row],[Away Team Goals]]&gt;World_Cup_Matches[[#This Row],[Home Team Goals]],"Away win","Draw"))</f>
        <v>Hime Win</v>
      </c>
    </row>
    <row r="78" spans="1:24" x14ac:dyDescent="0.2">
      <c r="A78" s="19">
        <v>1954</v>
      </c>
      <c r="B78" s="15" t="s">
        <v>265</v>
      </c>
      <c r="C78" s="3" t="s">
        <v>49</v>
      </c>
      <c r="D78" s="3" t="s">
        <v>270</v>
      </c>
      <c r="E78" s="3" t="s">
        <v>271</v>
      </c>
      <c r="F78" s="3" t="s">
        <v>91</v>
      </c>
      <c r="G78" s="11">
        <v>1</v>
      </c>
      <c r="H78" s="11">
        <v>0</v>
      </c>
      <c r="I78" s="3" t="s">
        <v>272</v>
      </c>
      <c r="J78" s="3" t="s">
        <v>1842</v>
      </c>
      <c r="K78" s="3">
        <v>25000</v>
      </c>
      <c r="L78" s="11">
        <v>1</v>
      </c>
      <c r="M78" s="11">
        <v>0</v>
      </c>
      <c r="N78" s="3" t="s">
        <v>273</v>
      </c>
      <c r="O78" s="3" t="s">
        <v>230</v>
      </c>
      <c r="P78" s="3" t="s">
        <v>274</v>
      </c>
      <c r="Q78" s="11">
        <v>211</v>
      </c>
      <c r="R78" s="11">
        <v>1236</v>
      </c>
      <c r="S78" s="3" t="s">
        <v>96</v>
      </c>
      <c r="T78" s="4" t="s">
        <v>275</v>
      </c>
      <c r="U78" s="11">
        <f>World_Cup_Matches[[#This Row],[Home Team Goals]]+World_Cup_Matches[[#This Row],[Away Team Goals]]</f>
        <v>1</v>
      </c>
      <c r="V78" s="11">
        <f>World_Cup_Matches[[#This Row],[Home Team Goals]]-World_Cup_Matches[[#This Row],[Away Team Goals]]</f>
        <v>1</v>
      </c>
      <c r="W78" s="4" t="str">
        <f>IF(World_Cup_Matches[[#This Row],[Home Team Goals]]&gt;World_Cup_Matches[[#This Row],[Away Team Goals]],World_Cup_Matches[[#This Row],[Home Team Name]],IF(World_Cup_Matches[[#This Row],[Away Team Goals]]&gt;World_Cup_Matches[[#This Row],[Home Team Goals]], World_Cup_Matches[[#This Row],[Away Team Name]],"Draw"))</f>
        <v>Austria</v>
      </c>
      <c r="X78" s="4" t="str">
        <f>IF(World_Cup_Matches[[#This Row],[Home Team Goals]]&gt;World_Cup_Matches[[#This Row],[Away Team Goals]],"Hime Win",IF(World_Cup_Matches[[#This Row],[Away Team Goals]]&gt;World_Cup_Matches[[#This Row],[Home Team Goals]],"Away win","Draw"))</f>
        <v>Hime Win</v>
      </c>
    </row>
    <row r="79" spans="1:24" x14ac:dyDescent="0.2">
      <c r="A79" s="19">
        <v>1954</v>
      </c>
      <c r="B79" s="15" t="s">
        <v>265</v>
      </c>
      <c r="C79" s="3" t="s">
        <v>21</v>
      </c>
      <c r="D79" s="3" t="s">
        <v>276</v>
      </c>
      <c r="E79" s="3" t="s">
        <v>277</v>
      </c>
      <c r="F79" s="3" t="s">
        <v>42</v>
      </c>
      <c r="G79" s="11">
        <v>5</v>
      </c>
      <c r="H79" s="11">
        <v>0</v>
      </c>
      <c r="I79" s="3" t="s">
        <v>25</v>
      </c>
      <c r="J79" s="3" t="s">
        <v>1842</v>
      </c>
      <c r="K79" s="3">
        <v>13470</v>
      </c>
      <c r="L79" s="11">
        <v>4</v>
      </c>
      <c r="M79" s="11">
        <v>0</v>
      </c>
      <c r="N79" s="3" t="s">
        <v>278</v>
      </c>
      <c r="O79" s="3" t="s">
        <v>279</v>
      </c>
      <c r="P79" s="3" t="s">
        <v>231</v>
      </c>
      <c r="Q79" s="11">
        <v>211</v>
      </c>
      <c r="R79" s="11">
        <v>1249</v>
      </c>
      <c r="S79" s="3" t="s">
        <v>47</v>
      </c>
      <c r="T79" s="4" t="s">
        <v>30</v>
      </c>
      <c r="U79" s="11">
        <f>World_Cup_Matches[[#This Row],[Home Team Goals]]+World_Cup_Matches[[#This Row],[Away Team Goals]]</f>
        <v>5</v>
      </c>
      <c r="V79" s="11">
        <f>World_Cup_Matches[[#This Row],[Home Team Goals]]-World_Cup_Matches[[#This Row],[Away Team Goals]]</f>
        <v>5</v>
      </c>
      <c r="W79" s="4" t="str">
        <f>IF(World_Cup_Matches[[#This Row],[Home Team Goals]]&gt;World_Cup_Matches[[#This Row],[Away Team Goals]],World_Cup_Matches[[#This Row],[Home Team Name]],IF(World_Cup_Matches[[#This Row],[Away Team Goals]]&gt;World_Cup_Matches[[#This Row],[Home Team Goals]], World_Cup_Matches[[#This Row],[Away Team Name]],"Draw"))</f>
        <v>Brazil</v>
      </c>
      <c r="X79" s="4" t="str">
        <f>IF(World_Cup_Matches[[#This Row],[Home Team Goals]]&gt;World_Cup_Matches[[#This Row],[Away Team Goals]],"Hime Win",IF(World_Cup_Matches[[#This Row],[Away Team Goals]]&gt;World_Cup_Matches[[#This Row],[Home Team Goals]],"Away win","Draw"))</f>
        <v>Hime Win</v>
      </c>
    </row>
    <row r="80" spans="1:24" x14ac:dyDescent="0.2">
      <c r="A80" s="19">
        <v>1954</v>
      </c>
      <c r="B80" s="15" t="s">
        <v>265</v>
      </c>
      <c r="C80" s="3" t="s">
        <v>21</v>
      </c>
      <c r="D80" s="3" t="s">
        <v>280</v>
      </c>
      <c r="E80" s="3" t="s">
        <v>281</v>
      </c>
      <c r="F80" s="3" t="s">
        <v>41</v>
      </c>
      <c r="G80" s="11">
        <v>1</v>
      </c>
      <c r="H80" s="11">
        <v>0</v>
      </c>
      <c r="I80" s="3" t="s">
        <v>24</v>
      </c>
      <c r="J80" s="3" t="s">
        <v>1842</v>
      </c>
      <c r="K80" s="3">
        <v>16000</v>
      </c>
      <c r="L80" s="11">
        <v>1</v>
      </c>
      <c r="M80" s="11">
        <v>0</v>
      </c>
      <c r="N80" s="3" t="s">
        <v>220</v>
      </c>
      <c r="O80" s="3" t="s">
        <v>282</v>
      </c>
      <c r="P80" s="3" t="s">
        <v>283</v>
      </c>
      <c r="Q80" s="11">
        <v>211</v>
      </c>
      <c r="R80" s="11">
        <v>1276</v>
      </c>
      <c r="S80" s="3" t="s">
        <v>46</v>
      </c>
      <c r="T80" s="4" t="s">
        <v>29</v>
      </c>
      <c r="U80" s="11">
        <f>World_Cup_Matches[[#This Row],[Home Team Goals]]+World_Cup_Matches[[#This Row],[Away Team Goals]]</f>
        <v>1</v>
      </c>
      <c r="V80" s="11">
        <f>World_Cup_Matches[[#This Row],[Home Team Goals]]-World_Cup_Matches[[#This Row],[Away Team Goals]]</f>
        <v>1</v>
      </c>
      <c r="W80" s="4" t="str">
        <f>IF(World_Cup_Matches[[#This Row],[Home Team Goals]]&gt;World_Cup_Matches[[#This Row],[Away Team Goals]],World_Cup_Matches[[#This Row],[Home Team Name]],IF(World_Cup_Matches[[#This Row],[Away Team Goals]]&gt;World_Cup_Matches[[#This Row],[Home Team Goals]], World_Cup_Matches[[#This Row],[Away Team Name]],"Draw"))</f>
        <v>Yugoslavia</v>
      </c>
      <c r="X80" s="4" t="str">
        <f>IF(World_Cup_Matches[[#This Row],[Home Team Goals]]&gt;World_Cup_Matches[[#This Row],[Away Team Goals]],"Hime Win",IF(World_Cup_Matches[[#This Row],[Away Team Goals]]&gt;World_Cup_Matches[[#This Row],[Home Team Goals]],"Away win","Draw"))</f>
        <v>Hime Win</v>
      </c>
    </row>
    <row r="81" spans="1:24" x14ac:dyDescent="0.2">
      <c r="A81" s="19">
        <v>1954</v>
      </c>
      <c r="B81" s="15" t="s">
        <v>284</v>
      </c>
      <c r="C81" s="3" t="s">
        <v>40</v>
      </c>
      <c r="D81" s="3" t="s">
        <v>266</v>
      </c>
      <c r="E81" s="3" t="s">
        <v>267</v>
      </c>
      <c r="F81" s="3" t="s">
        <v>285</v>
      </c>
      <c r="G81" s="11">
        <v>4</v>
      </c>
      <c r="H81" s="11">
        <v>1</v>
      </c>
      <c r="I81" s="3" t="s">
        <v>286</v>
      </c>
      <c r="J81" s="3" t="s">
        <v>1842</v>
      </c>
      <c r="K81" s="3">
        <v>28000</v>
      </c>
      <c r="L81" s="11">
        <v>1</v>
      </c>
      <c r="M81" s="11">
        <v>1</v>
      </c>
      <c r="N81" s="3" t="s">
        <v>231</v>
      </c>
      <c r="O81" s="3" t="s">
        <v>287</v>
      </c>
      <c r="P81" s="3" t="s">
        <v>288</v>
      </c>
      <c r="Q81" s="11">
        <v>211</v>
      </c>
      <c r="R81" s="11">
        <v>1283</v>
      </c>
      <c r="S81" s="3" t="s">
        <v>289</v>
      </c>
      <c r="T81" s="4" t="s">
        <v>290</v>
      </c>
      <c r="U81" s="11">
        <f>World_Cup_Matches[[#This Row],[Home Team Goals]]+World_Cup_Matches[[#This Row],[Away Team Goals]]</f>
        <v>5</v>
      </c>
      <c r="V81" s="11">
        <f>World_Cup_Matches[[#This Row],[Home Team Goals]]-World_Cup_Matches[[#This Row],[Away Team Goals]]</f>
        <v>3</v>
      </c>
      <c r="W81" s="4" t="str">
        <f>IF(World_Cup_Matches[[#This Row],[Home Team Goals]]&gt;World_Cup_Matches[[#This Row],[Away Team Goals]],World_Cup_Matches[[#This Row],[Home Team Name]],IF(World_Cup_Matches[[#This Row],[Away Team Goals]]&gt;World_Cup_Matches[[#This Row],[Home Team Goals]], World_Cup_Matches[[#This Row],[Away Team Name]],"Draw"))</f>
        <v>Germany FR</v>
      </c>
      <c r="X81" s="4" t="str">
        <f>IF(World_Cup_Matches[[#This Row],[Home Team Goals]]&gt;World_Cup_Matches[[#This Row],[Away Team Goals]],"Hime Win",IF(World_Cup_Matches[[#This Row],[Away Team Goals]]&gt;World_Cup_Matches[[#This Row],[Home Team Goals]],"Away win","Draw"))</f>
        <v>Hime Win</v>
      </c>
    </row>
    <row r="82" spans="1:24" x14ac:dyDescent="0.2">
      <c r="A82" s="19">
        <v>1954</v>
      </c>
      <c r="B82" s="15" t="s">
        <v>284</v>
      </c>
      <c r="C82" s="3" t="s">
        <v>40</v>
      </c>
      <c r="D82" s="3" t="s">
        <v>270</v>
      </c>
      <c r="E82" s="3" t="s">
        <v>271</v>
      </c>
      <c r="F82" s="3" t="s">
        <v>99</v>
      </c>
      <c r="G82" s="11">
        <v>9</v>
      </c>
      <c r="H82" s="11">
        <v>0</v>
      </c>
      <c r="I82" s="3" t="s">
        <v>291</v>
      </c>
      <c r="J82" s="3" t="s">
        <v>1842</v>
      </c>
      <c r="K82" s="3">
        <v>13000</v>
      </c>
      <c r="L82" s="11">
        <v>4</v>
      </c>
      <c r="M82" s="11">
        <v>0</v>
      </c>
      <c r="N82" s="3" t="s">
        <v>292</v>
      </c>
      <c r="O82" s="3" t="s">
        <v>293</v>
      </c>
      <c r="P82" s="3" t="s">
        <v>294</v>
      </c>
      <c r="Q82" s="11">
        <v>211</v>
      </c>
      <c r="R82" s="11">
        <v>1294</v>
      </c>
      <c r="S82" s="3" t="s">
        <v>104</v>
      </c>
      <c r="T82" s="4" t="s">
        <v>295</v>
      </c>
      <c r="U82" s="11">
        <f>World_Cup_Matches[[#This Row],[Home Team Goals]]+World_Cup_Matches[[#This Row],[Away Team Goals]]</f>
        <v>9</v>
      </c>
      <c r="V82" s="11">
        <f>World_Cup_Matches[[#This Row],[Home Team Goals]]-World_Cup_Matches[[#This Row],[Away Team Goals]]</f>
        <v>9</v>
      </c>
      <c r="W82" s="4" t="str">
        <f>IF(World_Cup_Matches[[#This Row],[Home Team Goals]]&gt;World_Cup_Matches[[#This Row],[Away Team Goals]],World_Cup_Matches[[#This Row],[Home Team Name]],IF(World_Cup_Matches[[#This Row],[Away Team Goals]]&gt;World_Cup_Matches[[#This Row],[Home Team Goals]], World_Cup_Matches[[#This Row],[Away Team Name]],"Draw"))</f>
        <v>Hungary</v>
      </c>
      <c r="X82" s="4" t="str">
        <f>IF(World_Cup_Matches[[#This Row],[Home Team Goals]]&gt;World_Cup_Matches[[#This Row],[Away Team Goals]],"Hime Win",IF(World_Cup_Matches[[#This Row],[Away Team Goals]]&gt;World_Cup_Matches[[#This Row],[Home Team Goals]],"Away win","Draw"))</f>
        <v>Hime Win</v>
      </c>
    </row>
    <row r="83" spans="1:24" x14ac:dyDescent="0.2">
      <c r="A83" s="19">
        <v>1954</v>
      </c>
      <c r="B83" s="15" t="s">
        <v>296</v>
      </c>
      <c r="C83" s="3" t="s">
        <v>31</v>
      </c>
      <c r="D83" s="3" t="s">
        <v>297</v>
      </c>
      <c r="E83" s="3" t="s">
        <v>298</v>
      </c>
      <c r="F83" s="3" t="s">
        <v>223</v>
      </c>
      <c r="G83" s="11">
        <v>4</v>
      </c>
      <c r="H83" s="11">
        <v>4</v>
      </c>
      <c r="I83" s="3" t="s">
        <v>34</v>
      </c>
      <c r="J83" s="3" t="s">
        <v>1842</v>
      </c>
      <c r="K83" s="3">
        <v>14000</v>
      </c>
      <c r="L83" s="11">
        <v>0</v>
      </c>
      <c r="M83" s="11">
        <v>0</v>
      </c>
      <c r="N83" s="3" t="s">
        <v>299</v>
      </c>
      <c r="O83" s="3" t="s">
        <v>300</v>
      </c>
      <c r="P83" s="3" t="s">
        <v>301</v>
      </c>
      <c r="Q83" s="11">
        <v>211</v>
      </c>
      <c r="R83" s="11">
        <v>1240</v>
      </c>
      <c r="S83" s="3" t="s">
        <v>227</v>
      </c>
      <c r="T83" s="4" t="s">
        <v>38</v>
      </c>
      <c r="U83" s="11">
        <f>World_Cup_Matches[[#This Row],[Home Team Goals]]+World_Cup_Matches[[#This Row],[Away Team Goals]]</f>
        <v>8</v>
      </c>
      <c r="V83" s="11">
        <f>World_Cup_Matches[[#This Row],[Home Team Goals]]-World_Cup_Matches[[#This Row],[Away Team Goals]]</f>
        <v>0</v>
      </c>
      <c r="W83" s="4" t="str">
        <f>IF(World_Cup_Matches[[#This Row],[Home Team Goals]]&gt;World_Cup_Matches[[#This Row],[Away Team Goals]],World_Cup_Matches[[#This Row],[Home Team Name]],IF(World_Cup_Matches[[#This Row],[Away Team Goals]]&gt;World_Cup_Matches[[#This Row],[Home Team Goals]], World_Cup_Matches[[#This Row],[Away Team Name]],"Draw"))</f>
        <v>Draw</v>
      </c>
      <c r="X83" s="4" t="str">
        <f>IF(World_Cup_Matches[[#This Row],[Home Team Goals]]&gt;World_Cup_Matches[[#This Row],[Away Team Goals]],"Hime Win",IF(World_Cup_Matches[[#This Row],[Away Team Goals]]&gt;World_Cup_Matches[[#This Row],[Home Team Goals]],"Away win","Draw"))</f>
        <v>Draw</v>
      </c>
    </row>
    <row r="84" spans="1:24" x14ac:dyDescent="0.2">
      <c r="A84" s="19">
        <v>1954</v>
      </c>
      <c r="B84" s="15" t="s">
        <v>302</v>
      </c>
      <c r="C84" s="3" t="s">
        <v>31</v>
      </c>
      <c r="D84" s="3" t="s">
        <v>280</v>
      </c>
      <c r="E84" s="3" t="s">
        <v>281</v>
      </c>
      <c r="F84" s="3" t="s">
        <v>108</v>
      </c>
      <c r="G84" s="11">
        <v>2</v>
      </c>
      <c r="H84" s="11">
        <v>1</v>
      </c>
      <c r="I84" s="3" t="s">
        <v>138</v>
      </c>
      <c r="J84" s="3" t="s">
        <v>1842</v>
      </c>
      <c r="K84" s="3">
        <v>43000</v>
      </c>
      <c r="L84" s="11">
        <v>1</v>
      </c>
      <c r="M84" s="11">
        <v>1</v>
      </c>
      <c r="N84" s="3" t="s">
        <v>230</v>
      </c>
      <c r="O84" s="3" t="s">
        <v>283</v>
      </c>
      <c r="P84" s="3" t="s">
        <v>248</v>
      </c>
      <c r="Q84" s="11">
        <v>211</v>
      </c>
      <c r="R84" s="11">
        <v>1300</v>
      </c>
      <c r="S84" s="3" t="s">
        <v>113</v>
      </c>
      <c r="T84" s="4" t="s">
        <v>142</v>
      </c>
      <c r="U84" s="11">
        <f>World_Cup_Matches[[#This Row],[Home Team Goals]]+World_Cup_Matches[[#This Row],[Away Team Goals]]</f>
        <v>3</v>
      </c>
      <c r="V84" s="11">
        <f>World_Cup_Matches[[#This Row],[Home Team Goals]]-World_Cup_Matches[[#This Row],[Away Team Goals]]</f>
        <v>1</v>
      </c>
      <c r="W84" s="4" t="str">
        <f>IF(World_Cup_Matches[[#This Row],[Home Team Goals]]&gt;World_Cup_Matches[[#This Row],[Away Team Goals]],World_Cup_Matches[[#This Row],[Home Team Name]],IF(World_Cup_Matches[[#This Row],[Away Team Goals]]&gt;World_Cup_Matches[[#This Row],[Home Team Goals]], World_Cup_Matches[[#This Row],[Away Team Name]],"Draw"))</f>
        <v>Switzerland</v>
      </c>
      <c r="X84" s="4" t="str">
        <f>IF(World_Cup_Matches[[#This Row],[Home Team Goals]]&gt;World_Cup_Matches[[#This Row],[Away Team Goals]],"Hime Win",IF(World_Cup_Matches[[#This Row],[Away Team Goals]]&gt;World_Cup_Matches[[#This Row],[Home Team Goals]],"Away win","Draw"))</f>
        <v>Hime Win</v>
      </c>
    </row>
    <row r="85" spans="1:24" x14ac:dyDescent="0.2">
      <c r="A85" s="19">
        <v>1954</v>
      </c>
      <c r="B85" s="15" t="s">
        <v>303</v>
      </c>
      <c r="C85" s="3" t="s">
        <v>49</v>
      </c>
      <c r="D85" s="3" t="s">
        <v>297</v>
      </c>
      <c r="E85" s="3" t="s">
        <v>298</v>
      </c>
      <c r="F85" s="3" t="s">
        <v>72</v>
      </c>
      <c r="G85" s="11">
        <v>7</v>
      </c>
      <c r="H85" s="11">
        <v>0</v>
      </c>
      <c r="I85" s="3" t="s">
        <v>272</v>
      </c>
      <c r="J85" s="3" t="s">
        <v>1842</v>
      </c>
      <c r="K85" s="3">
        <v>34000</v>
      </c>
      <c r="L85" s="11">
        <v>2</v>
      </c>
      <c r="M85" s="11">
        <v>0</v>
      </c>
      <c r="N85" s="3" t="s">
        <v>304</v>
      </c>
      <c r="O85" s="3" t="s">
        <v>278</v>
      </c>
      <c r="P85" s="3" t="s">
        <v>305</v>
      </c>
      <c r="Q85" s="11">
        <v>211</v>
      </c>
      <c r="R85" s="11">
        <v>1313</v>
      </c>
      <c r="S85" s="3" t="s">
        <v>73</v>
      </c>
      <c r="T85" s="4" t="s">
        <v>275</v>
      </c>
      <c r="U85" s="11">
        <f>World_Cup_Matches[[#This Row],[Home Team Goals]]+World_Cup_Matches[[#This Row],[Away Team Goals]]</f>
        <v>7</v>
      </c>
      <c r="V85" s="11">
        <f>World_Cup_Matches[[#This Row],[Home Team Goals]]-World_Cup_Matches[[#This Row],[Away Team Goals]]</f>
        <v>7</v>
      </c>
      <c r="W85" s="4" t="str">
        <f>IF(World_Cup_Matches[[#This Row],[Home Team Goals]]&gt;World_Cup_Matches[[#This Row],[Away Team Goals]],World_Cup_Matches[[#This Row],[Home Team Name]],IF(World_Cup_Matches[[#This Row],[Away Team Goals]]&gt;World_Cup_Matches[[#This Row],[Home Team Goals]], World_Cup_Matches[[#This Row],[Away Team Name]],"Draw"))</f>
        <v>Uruguay</v>
      </c>
      <c r="X85" s="4" t="str">
        <f>IF(World_Cup_Matches[[#This Row],[Home Team Goals]]&gt;World_Cup_Matches[[#This Row],[Away Team Goals]],"Hime Win",IF(World_Cup_Matches[[#This Row],[Away Team Goals]]&gt;World_Cup_Matches[[#This Row],[Home Team Goals]],"Away win","Draw"))</f>
        <v>Hime Win</v>
      </c>
    </row>
    <row r="86" spans="1:24" x14ac:dyDescent="0.2">
      <c r="A86" s="19">
        <v>1954</v>
      </c>
      <c r="B86" s="15" t="s">
        <v>306</v>
      </c>
      <c r="C86" s="3" t="s">
        <v>49</v>
      </c>
      <c r="D86" s="3" t="s">
        <v>270</v>
      </c>
      <c r="E86" s="3" t="s">
        <v>271</v>
      </c>
      <c r="F86" s="3" t="s">
        <v>91</v>
      </c>
      <c r="G86" s="11">
        <v>5</v>
      </c>
      <c r="H86" s="11">
        <v>0</v>
      </c>
      <c r="I86" s="3" t="s">
        <v>145</v>
      </c>
      <c r="J86" s="3" t="s">
        <v>1842</v>
      </c>
      <c r="K86" s="3">
        <v>26000</v>
      </c>
      <c r="L86" s="11">
        <v>4</v>
      </c>
      <c r="M86" s="11">
        <v>0</v>
      </c>
      <c r="N86" s="3" t="s">
        <v>307</v>
      </c>
      <c r="O86" s="3" t="s">
        <v>308</v>
      </c>
      <c r="P86" s="3" t="s">
        <v>274</v>
      </c>
      <c r="Q86" s="11">
        <v>211</v>
      </c>
      <c r="R86" s="11">
        <v>1238</v>
      </c>
      <c r="S86" s="3" t="s">
        <v>96</v>
      </c>
      <c r="T86" s="4" t="s">
        <v>148</v>
      </c>
      <c r="U86" s="11">
        <f>World_Cup_Matches[[#This Row],[Home Team Goals]]+World_Cup_Matches[[#This Row],[Away Team Goals]]</f>
        <v>5</v>
      </c>
      <c r="V86" s="11">
        <f>World_Cup_Matches[[#This Row],[Home Team Goals]]-World_Cup_Matches[[#This Row],[Away Team Goals]]</f>
        <v>5</v>
      </c>
      <c r="W86" s="4" t="str">
        <f>IF(World_Cup_Matches[[#This Row],[Home Team Goals]]&gt;World_Cup_Matches[[#This Row],[Away Team Goals]],World_Cup_Matches[[#This Row],[Home Team Name]],IF(World_Cup_Matches[[#This Row],[Away Team Goals]]&gt;World_Cup_Matches[[#This Row],[Home Team Goals]], World_Cup_Matches[[#This Row],[Away Team Name]],"Draw"))</f>
        <v>Austria</v>
      </c>
      <c r="X86" s="4" t="str">
        <f>IF(World_Cup_Matches[[#This Row],[Home Team Goals]]&gt;World_Cup_Matches[[#This Row],[Away Team Goals]],"Hime Win",IF(World_Cup_Matches[[#This Row],[Away Team Goals]]&gt;World_Cup_Matches[[#This Row],[Home Team Goals]],"Away win","Draw"))</f>
        <v>Hime Win</v>
      </c>
    </row>
    <row r="87" spans="1:24" x14ac:dyDescent="0.2">
      <c r="A87" s="19">
        <v>1954</v>
      </c>
      <c r="B87" s="15" t="s">
        <v>309</v>
      </c>
      <c r="C87" s="3" t="s">
        <v>21</v>
      </c>
      <c r="D87" s="3" t="s">
        <v>276</v>
      </c>
      <c r="E87" s="3" t="s">
        <v>277</v>
      </c>
      <c r="F87" s="3" t="s">
        <v>24</v>
      </c>
      <c r="G87" s="11">
        <v>3</v>
      </c>
      <c r="H87" s="11">
        <v>2</v>
      </c>
      <c r="I87" s="3" t="s">
        <v>25</v>
      </c>
      <c r="J87" s="3" t="s">
        <v>1842</v>
      </c>
      <c r="K87" s="3">
        <v>19000</v>
      </c>
      <c r="L87" s="11">
        <v>1</v>
      </c>
      <c r="M87" s="11">
        <v>0</v>
      </c>
      <c r="N87" s="3" t="s">
        <v>283</v>
      </c>
      <c r="O87" s="3" t="s">
        <v>273</v>
      </c>
      <c r="P87" s="3" t="s">
        <v>282</v>
      </c>
      <c r="Q87" s="11">
        <v>211</v>
      </c>
      <c r="R87" s="11">
        <v>1275</v>
      </c>
      <c r="S87" s="3" t="s">
        <v>29</v>
      </c>
      <c r="T87" s="4" t="s">
        <v>30</v>
      </c>
      <c r="U87" s="11">
        <f>World_Cup_Matches[[#This Row],[Home Team Goals]]+World_Cup_Matches[[#This Row],[Away Team Goals]]</f>
        <v>5</v>
      </c>
      <c r="V87" s="11">
        <f>World_Cup_Matches[[#This Row],[Home Team Goals]]-World_Cup_Matches[[#This Row],[Away Team Goals]]</f>
        <v>1</v>
      </c>
      <c r="W87" s="4" t="str">
        <f>IF(World_Cup_Matches[[#This Row],[Home Team Goals]]&gt;World_Cup_Matches[[#This Row],[Away Team Goals]],World_Cup_Matches[[#This Row],[Home Team Name]],IF(World_Cup_Matches[[#This Row],[Away Team Goals]]&gt;World_Cup_Matches[[#This Row],[Home Team Goals]], World_Cup_Matches[[#This Row],[Away Team Name]],"Draw"))</f>
        <v>France</v>
      </c>
      <c r="X87" s="4" t="str">
        <f>IF(World_Cup_Matches[[#This Row],[Home Team Goals]]&gt;World_Cup_Matches[[#This Row],[Away Team Goals]],"Hime Win",IF(World_Cup_Matches[[#This Row],[Away Team Goals]]&gt;World_Cup_Matches[[#This Row],[Home Team Goals]],"Away win","Draw"))</f>
        <v>Hime Win</v>
      </c>
    </row>
    <row r="88" spans="1:24" x14ac:dyDescent="0.2">
      <c r="A88" s="19">
        <v>1954</v>
      </c>
      <c r="B88" s="15" t="s">
        <v>306</v>
      </c>
      <c r="C88" s="3" t="s">
        <v>21</v>
      </c>
      <c r="D88" s="3" t="s">
        <v>280</v>
      </c>
      <c r="E88" s="3" t="s">
        <v>281</v>
      </c>
      <c r="F88" s="3" t="s">
        <v>42</v>
      </c>
      <c r="G88" s="11">
        <v>1</v>
      </c>
      <c r="H88" s="11">
        <v>1</v>
      </c>
      <c r="I88" s="3" t="s">
        <v>41</v>
      </c>
      <c r="J88" s="3" t="s">
        <v>1842</v>
      </c>
      <c r="K88" s="3">
        <v>24637</v>
      </c>
      <c r="L88" s="11">
        <v>0</v>
      </c>
      <c r="M88" s="11">
        <v>0</v>
      </c>
      <c r="N88" s="3" t="s">
        <v>310</v>
      </c>
      <c r="O88" s="3" t="s">
        <v>256</v>
      </c>
      <c r="P88" s="3" t="s">
        <v>293</v>
      </c>
      <c r="Q88" s="11">
        <v>211</v>
      </c>
      <c r="R88" s="11">
        <v>1252</v>
      </c>
      <c r="S88" s="3" t="s">
        <v>47</v>
      </c>
      <c r="T88" s="4" t="s">
        <v>46</v>
      </c>
      <c r="U88" s="11">
        <f>World_Cup_Matches[[#This Row],[Home Team Goals]]+World_Cup_Matches[[#This Row],[Away Team Goals]]</f>
        <v>2</v>
      </c>
      <c r="V88" s="11">
        <f>World_Cup_Matches[[#This Row],[Home Team Goals]]-World_Cup_Matches[[#This Row],[Away Team Goals]]</f>
        <v>0</v>
      </c>
      <c r="W88" s="4" t="str">
        <f>IF(World_Cup_Matches[[#This Row],[Home Team Goals]]&gt;World_Cup_Matches[[#This Row],[Away Team Goals]],World_Cup_Matches[[#This Row],[Home Team Name]],IF(World_Cup_Matches[[#This Row],[Away Team Goals]]&gt;World_Cup_Matches[[#This Row],[Home Team Goals]], World_Cup_Matches[[#This Row],[Away Team Name]],"Draw"))</f>
        <v>Draw</v>
      </c>
      <c r="X88" s="4" t="str">
        <f>IF(World_Cup_Matches[[#This Row],[Home Team Goals]]&gt;World_Cup_Matches[[#This Row],[Away Team Goals]],"Hime Win",IF(World_Cup_Matches[[#This Row],[Away Team Goals]]&gt;World_Cup_Matches[[#This Row],[Home Team Goals]],"Away win","Draw"))</f>
        <v>Draw</v>
      </c>
    </row>
    <row r="89" spans="1:24" x14ac:dyDescent="0.2">
      <c r="A89" s="19">
        <v>1954</v>
      </c>
      <c r="B89" s="15" t="s">
        <v>311</v>
      </c>
      <c r="C89" s="3" t="s">
        <v>40</v>
      </c>
      <c r="D89" s="3" t="s">
        <v>297</v>
      </c>
      <c r="E89" s="3" t="s">
        <v>298</v>
      </c>
      <c r="F89" s="3" t="s">
        <v>99</v>
      </c>
      <c r="G89" s="11">
        <v>8</v>
      </c>
      <c r="H89" s="11">
        <v>3</v>
      </c>
      <c r="I89" s="3" t="s">
        <v>285</v>
      </c>
      <c r="J89" s="3" t="s">
        <v>1842</v>
      </c>
      <c r="K89" s="3">
        <v>56000</v>
      </c>
      <c r="L89" s="11">
        <v>3</v>
      </c>
      <c r="M89" s="11">
        <v>1</v>
      </c>
      <c r="N89" s="3" t="s">
        <v>268</v>
      </c>
      <c r="O89" s="3" t="s">
        <v>269</v>
      </c>
      <c r="P89" s="3" t="s">
        <v>220</v>
      </c>
      <c r="Q89" s="11">
        <v>211</v>
      </c>
      <c r="R89" s="11">
        <v>1277</v>
      </c>
      <c r="S89" s="3" t="s">
        <v>104</v>
      </c>
      <c r="T89" s="4" t="s">
        <v>289</v>
      </c>
      <c r="U89" s="11">
        <f>World_Cup_Matches[[#This Row],[Home Team Goals]]+World_Cup_Matches[[#This Row],[Away Team Goals]]</f>
        <v>11</v>
      </c>
      <c r="V89" s="11">
        <f>World_Cup_Matches[[#This Row],[Home Team Goals]]-World_Cup_Matches[[#This Row],[Away Team Goals]]</f>
        <v>5</v>
      </c>
      <c r="W89" s="4" t="str">
        <f>IF(World_Cup_Matches[[#This Row],[Home Team Goals]]&gt;World_Cup_Matches[[#This Row],[Away Team Goals]],World_Cup_Matches[[#This Row],[Home Team Name]],IF(World_Cup_Matches[[#This Row],[Away Team Goals]]&gt;World_Cup_Matches[[#This Row],[Home Team Goals]], World_Cup_Matches[[#This Row],[Away Team Name]],"Draw"))</f>
        <v>Hungary</v>
      </c>
      <c r="X89" s="4" t="str">
        <f>IF(World_Cup_Matches[[#This Row],[Home Team Goals]]&gt;World_Cup_Matches[[#This Row],[Away Team Goals]],"Hime Win",IF(World_Cup_Matches[[#This Row],[Away Team Goals]]&gt;World_Cup_Matches[[#This Row],[Home Team Goals]],"Away win","Draw"))</f>
        <v>Hime Win</v>
      </c>
    </row>
    <row r="90" spans="1:24" x14ac:dyDescent="0.2">
      <c r="A90" s="19">
        <v>1954</v>
      </c>
      <c r="B90" s="15" t="s">
        <v>312</v>
      </c>
      <c r="C90" s="3" t="s">
        <v>40</v>
      </c>
      <c r="D90" s="3" t="s">
        <v>276</v>
      </c>
      <c r="E90" s="3" t="s">
        <v>277</v>
      </c>
      <c r="F90" s="3" t="s">
        <v>286</v>
      </c>
      <c r="G90" s="11">
        <v>7</v>
      </c>
      <c r="H90" s="11">
        <v>0</v>
      </c>
      <c r="I90" s="3" t="s">
        <v>291</v>
      </c>
      <c r="J90" s="3" t="s">
        <v>1842</v>
      </c>
      <c r="K90" s="3">
        <v>4000</v>
      </c>
      <c r="L90" s="11">
        <v>4</v>
      </c>
      <c r="M90" s="11">
        <v>0</v>
      </c>
      <c r="N90" s="3" t="s">
        <v>248</v>
      </c>
      <c r="O90" s="3" t="s">
        <v>304</v>
      </c>
      <c r="P90" s="3" t="s">
        <v>279</v>
      </c>
      <c r="Q90" s="11">
        <v>211</v>
      </c>
      <c r="R90" s="11">
        <v>1304</v>
      </c>
      <c r="S90" s="3" t="s">
        <v>290</v>
      </c>
      <c r="T90" s="4" t="s">
        <v>295</v>
      </c>
      <c r="U90" s="11">
        <f>World_Cup_Matches[[#This Row],[Home Team Goals]]+World_Cup_Matches[[#This Row],[Away Team Goals]]</f>
        <v>7</v>
      </c>
      <c r="V90" s="11">
        <f>World_Cup_Matches[[#This Row],[Home Team Goals]]-World_Cup_Matches[[#This Row],[Away Team Goals]]</f>
        <v>7</v>
      </c>
      <c r="W90" s="4" t="str">
        <f>IF(World_Cup_Matches[[#This Row],[Home Team Goals]]&gt;World_Cup_Matches[[#This Row],[Away Team Goals]],World_Cup_Matches[[#This Row],[Home Team Name]],IF(World_Cup_Matches[[#This Row],[Away Team Goals]]&gt;World_Cup_Matches[[#This Row],[Home Team Goals]], World_Cup_Matches[[#This Row],[Away Team Name]],"Draw"))</f>
        <v>Turkey</v>
      </c>
      <c r="X90" s="4" t="str">
        <f>IF(World_Cup_Matches[[#This Row],[Home Team Goals]]&gt;World_Cup_Matches[[#This Row],[Away Team Goals]],"Hime Win",IF(World_Cup_Matches[[#This Row],[Away Team Goals]]&gt;World_Cup_Matches[[#This Row],[Home Team Goals]],"Away win","Draw"))</f>
        <v>Hime Win</v>
      </c>
    </row>
    <row r="91" spans="1:24" x14ac:dyDescent="0.2">
      <c r="A91" s="19">
        <v>1954</v>
      </c>
      <c r="B91" s="15" t="s">
        <v>313</v>
      </c>
      <c r="C91" s="3" t="s">
        <v>31</v>
      </c>
      <c r="D91" s="3" t="s">
        <v>266</v>
      </c>
      <c r="E91" s="3" t="s">
        <v>267</v>
      </c>
      <c r="F91" s="3" t="s">
        <v>223</v>
      </c>
      <c r="G91" s="11">
        <v>2</v>
      </c>
      <c r="H91" s="11">
        <v>0</v>
      </c>
      <c r="I91" s="3" t="s">
        <v>108</v>
      </c>
      <c r="J91" s="3" t="s">
        <v>1842</v>
      </c>
      <c r="K91" s="3">
        <v>43500</v>
      </c>
      <c r="L91" s="11">
        <v>1</v>
      </c>
      <c r="M91" s="11">
        <v>0</v>
      </c>
      <c r="N91" s="3" t="s">
        <v>287</v>
      </c>
      <c r="O91" s="3" t="s">
        <v>231</v>
      </c>
      <c r="P91" s="3" t="s">
        <v>307</v>
      </c>
      <c r="Q91" s="11">
        <v>211</v>
      </c>
      <c r="R91" s="11">
        <v>1263</v>
      </c>
      <c r="S91" s="3" t="s">
        <v>227</v>
      </c>
      <c r="T91" s="4" t="s">
        <v>113</v>
      </c>
      <c r="U91" s="11">
        <f>World_Cup_Matches[[#This Row],[Home Team Goals]]+World_Cup_Matches[[#This Row],[Away Team Goals]]</f>
        <v>2</v>
      </c>
      <c r="V91" s="11">
        <f>World_Cup_Matches[[#This Row],[Home Team Goals]]-World_Cup_Matches[[#This Row],[Away Team Goals]]</f>
        <v>2</v>
      </c>
      <c r="W91" s="4" t="str">
        <f>IF(World_Cup_Matches[[#This Row],[Home Team Goals]]&gt;World_Cup_Matches[[#This Row],[Away Team Goals]],World_Cup_Matches[[#This Row],[Home Team Name]],IF(World_Cup_Matches[[#This Row],[Away Team Goals]]&gt;World_Cup_Matches[[#This Row],[Home Team Goals]], World_Cup_Matches[[#This Row],[Away Team Name]],"Draw"))</f>
        <v>England</v>
      </c>
      <c r="X91" s="4" t="str">
        <f>IF(World_Cup_Matches[[#This Row],[Home Team Goals]]&gt;World_Cup_Matches[[#This Row],[Away Team Goals]],"Hime Win",IF(World_Cup_Matches[[#This Row],[Away Team Goals]]&gt;World_Cup_Matches[[#This Row],[Home Team Goals]],"Away win","Draw"))</f>
        <v>Hime Win</v>
      </c>
    </row>
    <row r="92" spans="1:24" x14ac:dyDescent="0.2">
      <c r="A92" s="19">
        <v>1954</v>
      </c>
      <c r="B92" s="15" t="s">
        <v>312</v>
      </c>
      <c r="C92" s="3" t="s">
        <v>31</v>
      </c>
      <c r="D92" s="3" t="s">
        <v>314</v>
      </c>
      <c r="E92" s="3" t="s">
        <v>315</v>
      </c>
      <c r="F92" s="3" t="s">
        <v>138</v>
      </c>
      <c r="G92" s="11">
        <v>4</v>
      </c>
      <c r="H92" s="11">
        <v>1</v>
      </c>
      <c r="I92" s="3" t="s">
        <v>34</v>
      </c>
      <c r="J92" s="3" t="s">
        <v>1842</v>
      </c>
      <c r="K92" s="3">
        <v>24000</v>
      </c>
      <c r="L92" s="11">
        <v>1</v>
      </c>
      <c r="M92" s="11">
        <v>0</v>
      </c>
      <c r="N92" s="3" t="s">
        <v>294</v>
      </c>
      <c r="O92" s="3" t="s">
        <v>292</v>
      </c>
      <c r="P92" s="3" t="s">
        <v>299</v>
      </c>
      <c r="Q92" s="11">
        <v>211</v>
      </c>
      <c r="R92" s="11">
        <v>1243</v>
      </c>
      <c r="S92" s="3" t="s">
        <v>142</v>
      </c>
      <c r="T92" s="4" t="s">
        <v>38</v>
      </c>
      <c r="U92" s="11">
        <f>World_Cup_Matches[[#This Row],[Home Team Goals]]+World_Cup_Matches[[#This Row],[Away Team Goals]]</f>
        <v>5</v>
      </c>
      <c r="V92" s="11">
        <f>World_Cup_Matches[[#This Row],[Home Team Goals]]-World_Cup_Matches[[#This Row],[Away Team Goals]]</f>
        <v>3</v>
      </c>
      <c r="W92" s="4" t="str">
        <f>IF(World_Cup_Matches[[#This Row],[Home Team Goals]]&gt;World_Cup_Matches[[#This Row],[Away Team Goals]],World_Cup_Matches[[#This Row],[Home Team Name]],IF(World_Cup_Matches[[#This Row],[Away Team Goals]]&gt;World_Cup_Matches[[#This Row],[Home Team Goals]], World_Cup_Matches[[#This Row],[Away Team Name]],"Draw"))</f>
        <v>Italy</v>
      </c>
      <c r="X92" s="4" t="str">
        <f>IF(World_Cup_Matches[[#This Row],[Home Team Goals]]&gt;World_Cup_Matches[[#This Row],[Away Team Goals]],"Hime Win",IF(World_Cup_Matches[[#This Row],[Away Team Goals]]&gt;World_Cup_Matches[[#This Row],[Home Team Goals]],"Away win","Draw"))</f>
        <v>Hime Win</v>
      </c>
    </row>
    <row r="93" spans="1:24" x14ac:dyDescent="0.2">
      <c r="A93" s="19">
        <v>1954</v>
      </c>
      <c r="B93" s="15" t="s">
        <v>316</v>
      </c>
      <c r="C93" s="3" t="s">
        <v>40</v>
      </c>
      <c r="D93" s="3" t="s">
        <v>270</v>
      </c>
      <c r="E93" s="3" t="s">
        <v>271</v>
      </c>
      <c r="F93" s="3" t="s">
        <v>285</v>
      </c>
      <c r="G93" s="11">
        <v>7</v>
      </c>
      <c r="H93" s="11">
        <v>2</v>
      </c>
      <c r="I93" s="3" t="s">
        <v>286</v>
      </c>
      <c r="J93" s="3" t="s">
        <v>1842</v>
      </c>
      <c r="K93" s="3">
        <v>17000</v>
      </c>
      <c r="L93" s="11">
        <v>3</v>
      </c>
      <c r="M93" s="11">
        <v>1</v>
      </c>
      <c r="N93" s="3" t="s">
        <v>292</v>
      </c>
      <c r="O93" s="3" t="s">
        <v>310</v>
      </c>
      <c r="P93" s="3" t="s">
        <v>308</v>
      </c>
      <c r="Q93" s="11">
        <v>211</v>
      </c>
      <c r="R93" s="11">
        <v>1284</v>
      </c>
      <c r="S93" s="3" t="s">
        <v>289</v>
      </c>
      <c r="T93" s="4" t="s">
        <v>290</v>
      </c>
      <c r="U93" s="11">
        <f>World_Cup_Matches[[#This Row],[Home Team Goals]]+World_Cup_Matches[[#This Row],[Away Team Goals]]</f>
        <v>9</v>
      </c>
      <c r="V93" s="11">
        <f>World_Cup_Matches[[#This Row],[Home Team Goals]]-World_Cup_Matches[[#This Row],[Away Team Goals]]</f>
        <v>5</v>
      </c>
      <c r="W93" s="4" t="str">
        <f>IF(World_Cup_Matches[[#This Row],[Home Team Goals]]&gt;World_Cup_Matches[[#This Row],[Away Team Goals]],World_Cup_Matches[[#This Row],[Home Team Name]],IF(World_Cup_Matches[[#This Row],[Away Team Goals]]&gt;World_Cup_Matches[[#This Row],[Home Team Goals]], World_Cup_Matches[[#This Row],[Away Team Name]],"Draw"))</f>
        <v>Germany FR</v>
      </c>
      <c r="X93" s="4" t="str">
        <f>IF(World_Cup_Matches[[#This Row],[Home Team Goals]]&gt;World_Cup_Matches[[#This Row],[Away Team Goals]],"Hime Win",IF(World_Cup_Matches[[#This Row],[Away Team Goals]]&gt;World_Cup_Matches[[#This Row],[Home Team Goals]],"Away win","Draw"))</f>
        <v>Hime Win</v>
      </c>
    </row>
    <row r="94" spans="1:24" x14ac:dyDescent="0.2">
      <c r="A94" s="19">
        <v>1954</v>
      </c>
      <c r="B94" s="15" t="s">
        <v>316</v>
      </c>
      <c r="C94" s="3" t="s">
        <v>31</v>
      </c>
      <c r="D94" s="3" t="s">
        <v>297</v>
      </c>
      <c r="E94" s="3" t="s">
        <v>298</v>
      </c>
      <c r="F94" s="3" t="s">
        <v>108</v>
      </c>
      <c r="G94" s="11">
        <v>4</v>
      </c>
      <c r="H94" s="11">
        <v>1</v>
      </c>
      <c r="I94" s="3" t="s">
        <v>138</v>
      </c>
      <c r="J94" s="3" t="s">
        <v>1842</v>
      </c>
      <c r="K94" s="3">
        <v>30000</v>
      </c>
      <c r="L94" s="11">
        <v>1</v>
      </c>
      <c r="M94" s="11">
        <v>0</v>
      </c>
      <c r="N94" s="3" t="s">
        <v>220</v>
      </c>
      <c r="O94" s="3" t="s">
        <v>231</v>
      </c>
      <c r="P94" s="3" t="s">
        <v>268</v>
      </c>
      <c r="Q94" s="11">
        <v>211</v>
      </c>
      <c r="R94" s="11">
        <v>1301</v>
      </c>
      <c r="S94" s="3" t="s">
        <v>113</v>
      </c>
      <c r="T94" s="4" t="s">
        <v>142</v>
      </c>
      <c r="U94" s="11">
        <f>World_Cup_Matches[[#This Row],[Home Team Goals]]+World_Cup_Matches[[#This Row],[Away Team Goals]]</f>
        <v>5</v>
      </c>
      <c r="V94" s="11">
        <f>World_Cup_Matches[[#This Row],[Home Team Goals]]-World_Cup_Matches[[#This Row],[Away Team Goals]]</f>
        <v>3</v>
      </c>
      <c r="W94" s="4" t="str">
        <f>IF(World_Cup_Matches[[#This Row],[Home Team Goals]]&gt;World_Cup_Matches[[#This Row],[Away Team Goals]],World_Cup_Matches[[#This Row],[Home Team Name]],IF(World_Cup_Matches[[#This Row],[Away Team Goals]]&gt;World_Cup_Matches[[#This Row],[Home Team Goals]], World_Cup_Matches[[#This Row],[Away Team Name]],"Draw"))</f>
        <v>Switzerland</v>
      </c>
      <c r="X94" s="4" t="str">
        <f>IF(World_Cup_Matches[[#This Row],[Home Team Goals]]&gt;World_Cup_Matches[[#This Row],[Away Team Goals]],"Hime Win",IF(World_Cup_Matches[[#This Row],[Away Team Goals]]&gt;World_Cup_Matches[[#This Row],[Home Team Goals]],"Away win","Draw"))</f>
        <v>Hime Win</v>
      </c>
    </row>
    <row r="95" spans="1:24" x14ac:dyDescent="0.2">
      <c r="A95" s="19">
        <v>1954</v>
      </c>
      <c r="B95" s="15" t="s">
        <v>317</v>
      </c>
      <c r="C95" s="3" t="s">
        <v>150</v>
      </c>
      <c r="D95" s="3" t="s">
        <v>297</v>
      </c>
      <c r="E95" s="3" t="s">
        <v>298</v>
      </c>
      <c r="F95" s="3" t="s">
        <v>72</v>
      </c>
      <c r="G95" s="11">
        <v>4</v>
      </c>
      <c r="H95" s="11">
        <v>2</v>
      </c>
      <c r="I95" s="3" t="s">
        <v>223</v>
      </c>
      <c r="J95" s="3" t="s">
        <v>1842</v>
      </c>
      <c r="K95" s="3">
        <v>28000</v>
      </c>
      <c r="L95" s="11">
        <v>2</v>
      </c>
      <c r="M95" s="11">
        <v>1</v>
      </c>
      <c r="N95" s="3" t="s">
        <v>294</v>
      </c>
      <c r="O95" s="3" t="s">
        <v>307</v>
      </c>
      <c r="P95" s="3" t="s">
        <v>304</v>
      </c>
      <c r="Q95" s="11">
        <v>212</v>
      </c>
      <c r="R95" s="11">
        <v>1264</v>
      </c>
      <c r="S95" s="3" t="s">
        <v>73</v>
      </c>
      <c r="T95" s="4" t="s">
        <v>227</v>
      </c>
      <c r="U95" s="11">
        <f>World_Cup_Matches[[#This Row],[Home Team Goals]]+World_Cup_Matches[[#This Row],[Away Team Goals]]</f>
        <v>6</v>
      </c>
      <c r="V95" s="11">
        <f>World_Cup_Matches[[#This Row],[Home Team Goals]]-World_Cup_Matches[[#This Row],[Away Team Goals]]</f>
        <v>2</v>
      </c>
      <c r="W95" s="4" t="str">
        <f>IF(World_Cup_Matches[[#This Row],[Home Team Goals]]&gt;World_Cup_Matches[[#This Row],[Away Team Goals]],World_Cup_Matches[[#This Row],[Home Team Name]],IF(World_Cup_Matches[[#This Row],[Away Team Goals]]&gt;World_Cup_Matches[[#This Row],[Home Team Goals]], World_Cup_Matches[[#This Row],[Away Team Name]],"Draw"))</f>
        <v>Uruguay</v>
      </c>
      <c r="X95" s="4" t="str">
        <f>IF(World_Cup_Matches[[#This Row],[Home Team Goals]]&gt;World_Cup_Matches[[#This Row],[Away Team Goals]],"Hime Win",IF(World_Cup_Matches[[#This Row],[Away Team Goals]]&gt;World_Cup_Matches[[#This Row],[Home Team Goals]],"Away win","Draw"))</f>
        <v>Hime Win</v>
      </c>
    </row>
    <row r="96" spans="1:24" x14ac:dyDescent="0.2">
      <c r="A96" s="19">
        <v>1954</v>
      </c>
      <c r="B96" s="15" t="s">
        <v>317</v>
      </c>
      <c r="C96" s="3" t="s">
        <v>150</v>
      </c>
      <c r="D96" s="3" t="s">
        <v>280</v>
      </c>
      <c r="E96" s="3" t="s">
        <v>281</v>
      </c>
      <c r="F96" s="3" t="s">
        <v>91</v>
      </c>
      <c r="G96" s="11">
        <v>7</v>
      </c>
      <c r="H96" s="11">
        <v>5</v>
      </c>
      <c r="I96" s="3" t="s">
        <v>108</v>
      </c>
      <c r="J96" s="3" t="s">
        <v>1842</v>
      </c>
      <c r="K96" s="3">
        <v>35000</v>
      </c>
      <c r="L96" s="11">
        <v>5</v>
      </c>
      <c r="M96" s="11">
        <v>4</v>
      </c>
      <c r="N96" s="3" t="s">
        <v>310</v>
      </c>
      <c r="O96" s="3" t="s">
        <v>283</v>
      </c>
      <c r="P96" s="3" t="s">
        <v>299</v>
      </c>
      <c r="Q96" s="11">
        <v>212</v>
      </c>
      <c r="R96" s="11">
        <v>1237</v>
      </c>
      <c r="S96" s="3" t="s">
        <v>96</v>
      </c>
      <c r="T96" s="4" t="s">
        <v>113</v>
      </c>
      <c r="U96" s="11">
        <f>World_Cup_Matches[[#This Row],[Home Team Goals]]+World_Cup_Matches[[#This Row],[Away Team Goals]]</f>
        <v>12</v>
      </c>
      <c r="V96" s="11">
        <f>World_Cup_Matches[[#This Row],[Home Team Goals]]-World_Cup_Matches[[#This Row],[Away Team Goals]]</f>
        <v>2</v>
      </c>
      <c r="W96" s="4" t="str">
        <f>IF(World_Cup_Matches[[#This Row],[Home Team Goals]]&gt;World_Cup_Matches[[#This Row],[Away Team Goals]],World_Cup_Matches[[#This Row],[Home Team Name]],IF(World_Cup_Matches[[#This Row],[Away Team Goals]]&gt;World_Cup_Matches[[#This Row],[Home Team Goals]], World_Cup_Matches[[#This Row],[Away Team Name]],"Draw"))</f>
        <v>Austria</v>
      </c>
      <c r="X96" s="4" t="str">
        <f>IF(World_Cup_Matches[[#This Row],[Home Team Goals]]&gt;World_Cup_Matches[[#This Row],[Away Team Goals]],"Hime Win",IF(World_Cup_Matches[[#This Row],[Away Team Goals]]&gt;World_Cup_Matches[[#This Row],[Home Team Goals]],"Away win","Draw"))</f>
        <v>Hime Win</v>
      </c>
    </row>
    <row r="97" spans="1:24" x14ac:dyDescent="0.2">
      <c r="A97" s="19">
        <v>1954</v>
      </c>
      <c r="B97" s="15" t="s">
        <v>318</v>
      </c>
      <c r="C97" s="3" t="s">
        <v>150</v>
      </c>
      <c r="D97" s="3" t="s">
        <v>276</v>
      </c>
      <c r="E97" s="3" t="s">
        <v>277</v>
      </c>
      <c r="F97" s="3" t="s">
        <v>285</v>
      </c>
      <c r="G97" s="11">
        <v>2</v>
      </c>
      <c r="H97" s="11">
        <v>0</v>
      </c>
      <c r="I97" s="3" t="s">
        <v>41</v>
      </c>
      <c r="J97" s="3" t="s">
        <v>1842</v>
      </c>
      <c r="K97" s="3">
        <v>17000</v>
      </c>
      <c r="L97" s="11">
        <v>1</v>
      </c>
      <c r="M97" s="11">
        <v>0</v>
      </c>
      <c r="N97" s="3" t="s">
        <v>287</v>
      </c>
      <c r="O97" s="3" t="s">
        <v>273</v>
      </c>
      <c r="P97" s="3" t="s">
        <v>300</v>
      </c>
      <c r="Q97" s="11">
        <v>212</v>
      </c>
      <c r="R97" s="11">
        <v>1285</v>
      </c>
      <c r="S97" s="3" t="s">
        <v>289</v>
      </c>
      <c r="T97" s="4" t="s">
        <v>46</v>
      </c>
      <c r="U97" s="11">
        <f>World_Cup_Matches[[#This Row],[Home Team Goals]]+World_Cup_Matches[[#This Row],[Away Team Goals]]</f>
        <v>2</v>
      </c>
      <c r="V97" s="11">
        <f>World_Cup_Matches[[#This Row],[Home Team Goals]]-World_Cup_Matches[[#This Row],[Away Team Goals]]</f>
        <v>2</v>
      </c>
      <c r="W97" s="4" t="str">
        <f>IF(World_Cup_Matches[[#This Row],[Home Team Goals]]&gt;World_Cup_Matches[[#This Row],[Away Team Goals]],World_Cup_Matches[[#This Row],[Home Team Name]],IF(World_Cup_Matches[[#This Row],[Away Team Goals]]&gt;World_Cup_Matches[[#This Row],[Home Team Goals]], World_Cup_Matches[[#This Row],[Away Team Name]],"Draw"))</f>
        <v>Germany FR</v>
      </c>
      <c r="X97" s="4" t="str">
        <f>IF(World_Cup_Matches[[#This Row],[Home Team Goals]]&gt;World_Cup_Matches[[#This Row],[Away Team Goals]],"Hime Win",IF(World_Cup_Matches[[#This Row],[Away Team Goals]]&gt;World_Cup_Matches[[#This Row],[Home Team Goals]],"Away win","Draw"))</f>
        <v>Hime Win</v>
      </c>
    </row>
    <row r="98" spans="1:24" x14ac:dyDescent="0.2">
      <c r="A98" s="19">
        <v>1954</v>
      </c>
      <c r="B98" s="15" t="s">
        <v>318</v>
      </c>
      <c r="C98" s="3" t="s">
        <v>150</v>
      </c>
      <c r="D98" s="3" t="s">
        <v>266</v>
      </c>
      <c r="E98" s="3" t="s">
        <v>267</v>
      </c>
      <c r="F98" s="3" t="s">
        <v>99</v>
      </c>
      <c r="G98" s="11">
        <v>4</v>
      </c>
      <c r="H98" s="11">
        <v>2</v>
      </c>
      <c r="I98" s="3" t="s">
        <v>42</v>
      </c>
      <c r="J98" s="3" t="s">
        <v>1842</v>
      </c>
      <c r="K98" s="3">
        <v>40000</v>
      </c>
      <c r="L98" s="11">
        <v>2</v>
      </c>
      <c r="M98" s="11">
        <v>1</v>
      </c>
      <c r="N98" s="3" t="s">
        <v>256</v>
      </c>
      <c r="O98" s="3" t="s">
        <v>268</v>
      </c>
      <c r="P98" s="3" t="s">
        <v>278</v>
      </c>
      <c r="Q98" s="11">
        <v>212</v>
      </c>
      <c r="R98" s="11">
        <v>1248</v>
      </c>
      <c r="S98" s="3" t="s">
        <v>104</v>
      </c>
      <c r="T98" s="4" t="s">
        <v>47</v>
      </c>
      <c r="U98" s="11">
        <f>World_Cup_Matches[[#This Row],[Home Team Goals]]+World_Cup_Matches[[#This Row],[Away Team Goals]]</f>
        <v>6</v>
      </c>
      <c r="V98" s="11">
        <f>World_Cup_Matches[[#This Row],[Home Team Goals]]-World_Cup_Matches[[#This Row],[Away Team Goals]]</f>
        <v>2</v>
      </c>
      <c r="W98" s="4" t="str">
        <f>IF(World_Cup_Matches[[#This Row],[Home Team Goals]]&gt;World_Cup_Matches[[#This Row],[Away Team Goals]],World_Cup_Matches[[#This Row],[Home Team Name]],IF(World_Cup_Matches[[#This Row],[Away Team Goals]]&gt;World_Cup_Matches[[#This Row],[Home Team Goals]], World_Cup_Matches[[#This Row],[Away Team Name]],"Draw"))</f>
        <v>Hungary</v>
      </c>
      <c r="X98" s="4" t="str">
        <f>IF(World_Cup_Matches[[#This Row],[Home Team Goals]]&gt;World_Cup_Matches[[#This Row],[Away Team Goals]],"Hime Win",IF(World_Cup_Matches[[#This Row],[Away Team Goals]]&gt;World_Cup_Matches[[#This Row],[Home Team Goals]],"Away win","Draw"))</f>
        <v>Hime Win</v>
      </c>
    </row>
    <row r="99" spans="1:24" x14ac:dyDescent="0.2">
      <c r="A99" s="19">
        <v>1954</v>
      </c>
      <c r="B99" s="15" t="s">
        <v>319</v>
      </c>
      <c r="C99" s="3" t="s">
        <v>83</v>
      </c>
      <c r="D99" s="3" t="s">
        <v>297</v>
      </c>
      <c r="E99" s="3" t="s">
        <v>298</v>
      </c>
      <c r="F99" s="3" t="s">
        <v>285</v>
      </c>
      <c r="G99" s="11">
        <v>6</v>
      </c>
      <c r="H99" s="11">
        <v>1</v>
      </c>
      <c r="I99" s="3" t="s">
        <v>91</v>
      </c>
      <c r="J99" s="3" t="s">
        <v>1842</v>
      </c>
      <c r="K99" s="3">
        <v>58000</v>
      </c>
      <c r="L99" s="11">
        <v>1</v>
      </c>
      <c r="M99" s="11">
        <v>0</v>
      </c>
      <c r="N99" s="3" t="s">
        <v>304</v>
      </c>
      <c r="O99" s="3" t="s">
        <v>256</v>
      </c>
      <c r="P99" s="3" t="s">
        <v>300</v>
      </c>
      <c r="Q99" s="11">
        <v>462</v>
      </c>
      <c r="R99" s="11">
        <v>1233</v>
      </c>
      <c r="S99" s="3" t="s">
        <v>289</v>
      </c>
      <c r="T99" s="4" t="s">
        <v>96</v>
      </c>
      <c r="U99" s="11">
        <f>World_Cup_Matches[[#This Row],[Home Team Goals]]+World_Cup_Matches[[#This Row],[Away Team Goals]]</f>
        <v>7</v>
      </c>
      <c r="V99" s="11">
        <f>World_Cup_Matches[[#This Row],[Home Team Goals]]-World_Cup_Matches[[#This Row],[Away Team Goals]]</f>
        <v>5</v>
      </c>
      <c r="W99" s="4" t="str">
        <f>IF(World_Cup_Matches[[#This Row],[Home Team Goals]]&gt;World_Cup_Matches[[#This Row],[Away Team Goals]],World_Cup_Matches[[#This Row],[Home Team Name]],IF(World_Cup_Matches[[#This Row],[Away Team Goals]]&gt;World_Cup_Matches[[#This Row],[Home Team Goals]], World_Cup_Matches[[#This Row],[Away Team Name]],"Draw"))</f>
        <v>Germany FR</v>
      </c>
      <c r="X99" s="4" t="str">
        <f>IF(World_Cup_Matches[[#This Row],[Home Team Goals]]&gt;World_Cup_Matches[[#This Row],[Away Team Goals]],"Hime Win",IF(World_Cup_Matches[[#This Row],[Away Team Goals]]&gt;World_Cup_Matches[[#This Row],[Home Team Goals]],"Away win","Draw"))</f>
        <v>Hime Win</v>
      </c>
    </row>
    <row r="100" spans="1:24" x14ac:dyDescent="0.2">
      <c r="A100" s="19">
        <v>1954</v>
      </c>
      <c r="B100" s="15" t="s">
        <v>319</v>
      </c>
      <c r="C100" s="3" t="s">
        <v>83</v>
      </c>
      <c r="D100" s="3" t="s">
        <v>280</v>
      </c>
      <c r="E100" s="3" t="s">
        <v>281</v>
      </c>
      <c r="F100" s="3" t="s">
        <v>99</v>
      </c>
      <c r="G100" s="11">
        <v>4</v>
      </c>
      <c r="H100" s="11">
        <v>2</v>
      </c>
      <c r="I100" s="3" t="s">
        <v>72</v>
      </c>
      <c r="J100" s="3" t="s">
        <v>320</v>
      </c>
      <c r="K100" s="3">
        <v>45000</v>
      </c>
      <c r="L100" s="11">
        <v>0</v>
      </c>
      <c r="M100" s="11">
        <v>0</v>
      </c>
      <c r="N100" s="3" t="s">
        <v>220</v>
      </c>
      <c r="O100" s="3" t="s">
        <v>310</v>
      </c>
      <c r="P100" s="3" t="s">
        <v>292</v>
      </c>
      <c r="Q100" s="11">
        <v>462</v>
      </c>
      <c r="R100" s="11">
        <v>1295</v>
      </c>
      <c r="S100" s="3" t="s">
        <v>104</v>
      </c>
      <c r="T100" s="4" t="s">
        <v>73</v>
      </c>
      <c r="U100" s="11">
        <f>World_Cup_Matches[[#This Row],[Home Team Goals]]+World_Cup_Matches[[#This Row],[Away Team Goals]]</f>
        <v>6</v>
      </c>
      <c r="V100" s="11">
        <f>World_Cup_Matches[[#This Row],[Home Team Goals]]-World_Cup_Matches[[#This Row],[Away Team Goals]]</f>
        <v>2</v>
      </c>
      <c r="W100" s="4" t="str">
        <f>IF(World_Cup_Matches[[#This Row],[Home Team Goals]]&gt;World_Cup_Matches[[#This Row],[Away Team Goals]],World_Cup_Matches[[#This Row],[Home Team Name]],IF(World_Cup_Matches[[#This Row],[Away Team Goals]]&gt;World_Cup_Matches[[#This Row],[Home Team Goals]], World_Cup_Matches[[#This Row],[Away Team Name]],"Draw"))</f>
        <v>Hungary</v>
      </c>
      <c r="X100" s="4" t="str">
        <f>IF(World_Cup_Matches[[#This Row],[Home Team Goals]]&gt;World_Cup_Matches[[#This Row],[Away Team Goals]],"Hime Win",IF(World_Cup_Matches[[#This Row],[Away Team Goals]]&gt;World_Cup_Matches[[#This Row],[Home Team Goals]],"Away win","Draw"))</f>
        <v>Hime Win</v>
      </c>
    </row>
    <row r="101" spans="1:24" x14ac:dyDescent="0.2">
      <c r="A101" s="19">
        <v>1954</v>
      </c>
      <c r="B101" s="15" t="s">
        <v>321</v>
      </c>
      <c r="C101" s="3" t="s">
        <v>155</v>
      </c>
      <c r="D101" s="3" t="s">
        <v>270</v>
      </c>
      <c r="E101" s="3" t="s">
        <v>271</v>
      </c>
      <c r="F101" s="3" t="s">
        <v>91</v>
      </c>
      <c r="G101" s="11">
        <v>3</v>
      </c>
      <c r="H101" s="11">
        <v>1</v>
      </c>
      <c r="I101" s="3" t="s">
        <v>72</v>
      </c>
      <c r="J101" s="3" t="s">
        <v>1842</v>
      </c>
      <c r="K101" s="3">
        <v>32000</v>
      </c>
      <c r="L101" s="11">
        <v>1</v>
      </c>
      <c r="M101" s="11">
        <v>1</v>
      </c>
      <c r="N101" s="3" t="s">
        <v>278</v>
      </c>
      <c r="O101" s="3" t="s">
        <v>287</v>
      </c>
      <c r="P101" s="3" t="s">
        <v>256</v>
      </c>
      <c r="Q101" s="11">
        <v>3485</v>
      </c>
      <c r="R101" s="11">
        <v>1239</v>
      </c>
      <c r="S101" s="3" t="s">
        <v>96</v>
      </c>
      <c r="T101" s="4" t="s">
        <v>73</v>
      </c>
      <c r="U101" s="11">
        <f>World_Cup_Matches[[#This Row],[Home Team Goals]]+World_Cup_Matches[[#This Row],[Away Team Goals]]</f>
        <v>4</v>
      </c>
      <c r="V101" s="11">
        <f>World_Cup_Matches[[#This Row],[Home Team Goals]]-World_Cup_Matches[[#This Row],[Away Team Goals]]</f>
        <v>2</v>
      </c>
      <c r="W101" s="4" t="str">
        <f>IF(World_Cup_Matches[[#This Row],[Home Team Goals]]&gt;World_Cup_Matches[[#This Row],[Away Team Goals]],World_Cup_Matches[[#This Row],[Home Team Name]],IF(World_Cup_Matches[[#This Row],[Away Team Goals]]&gt;World_Cup_Matches[[#This Row],[Home Team Goals]], World_Cup_Matches[[#This Row],[Away Team Name]],"Draw"))</f>
        <v>Austria</v>
      </c>
      <c r="X101" s="4" t="str">
        <f>IF(World_Cup_Matches[[#This Row],[Home Team Goals]]&gt;World_Cup_Matches[[#This Row],[Away Team Goals]],"Hime Win",IF(World_Cup_Matches[[#This Row],[Away Team Goals]]&gt;World_Cup_Matches[[#This Row],[Home Team Goals]],"Away win","Draw"))</f>
        <v>Hime Win</v>
      </c>
    </row>
    <row r="102" spans="1:24" x14ac:dyDescent="0.2">
      <c r="A102" s="19">
        <v>1954</v>
      </c>
      <c r="B102" s="15" t="s">
        <v>322</v>
      </c>
      <c r="C102" s="3" t="s">
        <v>86</v>
      </c>
      <c r="D102" s="3" t="s">
        <v>266</v>
      </c>
      <c r="E102" s="3" t="s">
        <v>267</v>
      </c>
      <c r="F102" s="3" t="s">
        <v>285</v>
      </c>
      <c r="G102" s="11">
        <v>3</v>
      </c>
      <c r="H102" s="11">
        <v>2</v>
      </c>
      <c r="I102" s="3" t="s">
        <v>99</v>
      </c>
      <c r="J102" s="3" t="s">
        <v>1842</v>
      </c>
      <c r="K102" s="3">
        <v>62500</v>
      </c>
      <c r="L102" s="11">
        <v>2</v>
      </c>
      <c r="M102" s="11">
        <v>2</v>
      </c>
      <c r="N102" s="3" t="s">
        <v>268</v>
      </c>
      <c r="O102" s="3" t="s">
        <v>304</v>
      </c>
      <c r="P102" s="3" t="s">
        <v>220</v>
      </c>
      <c r="Q102" s="11">
        <v>3484</v>
      </c>
      <c r="R102" s="11">
        <v>1278</v>
      </c>
      <c r="S102" s="3" t="s">
        <v>289</v>
      </c>
      <c r="T102" s="4" t="s">
        <v>104</v>
      </c>
      <c r="U102" s="11">
        <f>World_Cup_Matches[[#This Row],[Home Team Goals]]+World_Cup_Matches[[#This Row],[Away Team Goals]]</f>
        <v>5</v>
      </c>
      <c r="V102" s="11">
        <f>World_Cup_Matches[[#This Row],[Home Team Goals]]-World_Cup_Matches[[#This Row],[Away Team Goals]]</f>
        <v>1</v>
      </c>
      <c r="W102" s="4" t="str">
        <f>IF(World_Cup_Matches[[#This Row],[Home Team Goals]]&gt;World_Cup_Matches[[#This Row],[Away Team Goals]],World_Cup_Matches[[#This Row],[Home Team Name]],IF(World_Cup_Matches[[#This Row],[Away Team Goals]]&gt;World_Cup_Matches[[#This Row],[Home Team Goals]], World_Cup_Matches[[#This Row],[Away Team Name]],"Draw"))</f>
        <v>Germany FR</v>
      </c>
      <c r="X102" s="4" t="str">
        <f>IF(World_Cup_Matches[[#This Row],[Home Team Goals]]&gt;World_Cup_Matches[[#This Row],[Away Team Goals]],"Hime Win",IF(World_Cup_Matches[[#This Row],[Away Team Goals]]&gt;World_Cup_Matches[[#This Row],[Home Team Goals]],"Away win","Draw"))</f>
        <v>Hime Win</v>
      </c>
    </row>
    <row r="103" spans="1:24" x14ac:dyDescent="0.2">
      <c r="A103" s="19">
        <v>1958</v>
      </c>
      <c r="B103" s="15" t="s">
        <v>323</v>
      </c>
      <c r="C103" s="3" t="s">
        <v>49</v>
      </c>
      <c r="D103" s="3" t="s">
        <v>324</v>
      </c>
      <c r="E103" s="3" t="s">
        <v>325</v>
      </c>
      <c r="F103" s="3" t="s">
        <v>117</v>
      </c>
      <c r="G103" s="11">
        <v>3</v>
      </c>
      <c r="H103" s="11">
        <v>0</v>
      </c>
      <c r="I103" s="3" t="s">
        <v>25</v>
      </c>
      <c r="J103" s="3" t="s">
        <v>1842</v>
      </c>
      <c r="K103" s="3">
        <v>34107</v>
      </c>
      <c r="L103" s="11">
        <v>1</v>
      </c>
      <c r="M103" s="11">
        <v>0</v>
      </c>
      <c r="N103" s="3" t="s">
        <v>326</v>
      </c>
      <c r="O103" s="3" t="s">
        <v>327</v>
      </c>
      <c r="P103" s="3" t="s">
        <v>328</v>
      </c>
      <c r="Q103" s="11">
        <v>220</v>
      </c>
      <c r="R103" s="11">
        <v>1415</v>
      </c>
      <c r="S103" s="3" t="s">
        <v>121</v>
      </c>
      <c r="T103" s="4" t="s">
        <v>30</v>
      </c>
      <c r="U103" s="11">
        <f>World_Cup_Matches[[#This Row],[Home Team Goals]]+World_Cup_Matches[[#This Row],[Away Team Goals]]</f>
        <v>3</v>
      </c>
      <c r="V103" s="11">
        <f>World_Cup_Matches[[#This Row],[Home Team Goals]]-World_Cup_Matches[[#This Row],[Away Team Goals]]</f>
        <v>3</v>
      </c>
      <c r="W103" s="4" t="str">
        <f>IF(World_Cup_Matches[[#This Row],[Home Team Goals]]&gt;World_Cup_Matches[[#This Row],[Away Team Goals]],World_Cup_Matches[[#This Row],[Home Team Name]],IF(World_Cup_Matches[[#This Row],[Away Team Goals]]&gt;World_Cup_Matches[[#This Row],[Home Team Goals]], World_Cup_Matches[[#This Row],[Away Team Name]],"Draw"))</f>
        <v>Sweden</v>
      </c>
      <c r="X103" s="4" t="str">
        <f>IF(World_Cup_Matches[[#This Row],[Home Team Goals]]&gt;World_Cup_Matches[[#This Row],[Away Team Goals]],"Hime Win",IF(World_Cup_Matches[[#This Row],[Away Team Goals]]&gt;World_Cup_Matches[[#This Row],[Home Team Goals]],"Away win","Draw"))</f>
        <v>Hime Win</v>
      </c>
    </row>
    <row r="104" spans="1:24" x14ac:dyDescent="0.2">
      <c r="A104" s="19">
        <v>1958</v>
      </c>
      <c r="B104" s="15" t="s">
        <v>329</v>
      </c>
      <c r="C104" s="3" t="s">
        <v>31</v>
      </c>
      <c r="D104" s="3" t="s">
        <v>330</v>
      </c>
      <c r="E104" s="3" t="s">
        <v>331</v>
      </c>
      <c r="F104" s="3" t="s">
        <v>332</v>
      </c>
      <c r="G104" s="11">
        <v>2</v>
      </c>
      <c r="H104" s="11">
        <v>2</v>
      </c>
      <c r="I104" s="3" t="s">
        <v>223</v>
      </c>
      <c r="J104" s="3" t="s">
        <v>1842</v>
      </c>
      <c r="K104" s="3">
        <v>49348</v>
      </c>
      <c r="L104" s="11">
        <v>1</v>
      </c>
      <c r="M104" s="11">
        <v>0</v>
      </c>
      <c r="N104" s="3" t="s">
        <v>287</v>
      </c>
      <c r="O104" s="3" t="s">
        <v>333</v>
      </c>
      <c r="P104" s="3" t="s">
        <v>334</v>
      </c>
      <c r="Q104" s="11">
        <v>220</v>
      </c>
      <c r="R104" s="11">
        <v>1372</v>
      </c>
      <c r="S104" s="3" t="s">
        <v>335</v>
      </c>
      <c r="T104" s="4" t="s">
        <v>227</v>
      </c>
      <c r="U104" s="11">
        <f>World_Cup_Matches[[#This Row],[Home Team Goals]]+World_Cup_Matches[[#This Row],[Away Team Goals]]</f>
        <v>4</v>
      </c>
      <c r="V104" s="11">
        <f>World_Cup_Matches[[#This Row],[Home Team Goals]]-World_Cup_Matches[[#This Row],[Away Team Goals]]</f>
        <v>0</v>
      </c>
      <c r="W104" s="4" t="str">
        <f>IF(World_Cup_Matches[[#This Row],[Home Team Goals]]&gt;World_Cup_Matches[[#This Row],[Away Team Goals]],World_Cup_Matches[[#This Row],[Home Team Name]],IF(World_Cup_Matches[[#This Row],[Away Team Goals]]&gt;World_Cup_Matches[[#This Row],[Home Team Goals]], World_Cup_Matches[[#This Row],[Away Team Name]],"Draw"))</f>
        <v>Draw</v>
      </c>
      <c r="X104" s="4" t="str">
        <f>IF(World_Cup_Matches[[#This Row],[Home Team Goals]]&gt;World_Cup_Matches[[#This Row],[Away Team Goals]],"Hime Win",IF(World_Cup_Matches[[#This Row],[Away Team Goals]]&gt;World_Cup_Matches[[#This Row],[Home Team Goals]],"Away win","Draw"))</f>
        <v>Draw</v>
      </c>
    </row>
    <row r="105" spans="1:24" x14ac:dyDescent="0.2">
      <c r="A105" s="19">
        <v>1958</v>
      </c>
      <c r="B105" s="15" t="s">
        <v>329</v>
      </c>
      <c r="C105" s="3" t="s">
        <v>21</v>
      </c>
      <c r="D105" s="3" t="s">
        <v>336</v>
      </c>
      <c r="E105" s="3" t="s">
        <v>337</v>
      </c>
      <c r="F105" s="3" t="s">
        <v>56</v>
      </c>
      <c r="G105" s="11">
        <v>1</v>
      </c>
      <c r="H105" s="11">
        <v>3</v>
      </c>
      <c r="I105" s="3" t="s">
        <v>285</v>
      </c>
      <c r="J105" s="3" t="s">
        <v>1842</v>
      </c>
      <c r="K105" s="3">
        <v>31156</v>
      </c>
      <c r="L105" s="11">
        <v>1</v>
      </c>
      <c r="M105" s="11">
        <v>2</v>
      </c>
      <c r="N105" s="3" t="s">
        <v>245</v>
      </c>
      <c r="O105" s="3" t="s">
        <v>338</v>
      </c>
      <c r="P105" s="3" t="s">
        <v>339</v>
      </c>
      <c r="Q105" s="11">
        <v>220</v>
      </c>
      <c r="R105" s="11">
        <v>1323</v>
      </c>
      <c r="S105" s="3" t="s">
        <v>59</v>
      </c>
      <c r="T105" s="4" t="s">
        <v>289</v>
      </c>
      <c r="U105" s="11">
        <f>World_Cup_Matches[[#This Row],[Home Team Goals]]+World_Cup_Matches[[#This Row],[Away Team Goals]]</f>
        <v>4</v>
      </c>
      <c r="V105" s="11">
        <f>World_Cup_Matches[[#This Row],[Home Team Goals]]-World_Cup_Matches[[#This Row],[Away Team Goals]]</f>
        <v>-2</v>
      </c>
      <c r="W105" s="4" t="str">
        <f>IF(World_Cup_Matches[[#This Row],[Home Team Goals]]&gt;World_Cup_Matches[[#This Row],[Away Team Goals]],World_Cup_Matches[[#This Row],[Home Team Name]],IF(World_Cup_Matches[[#This Row],[Away Team Goals]]&gt;World_Cup_Matches[[#This Row],[Home Team Goals]], World_Cup_Matches[[#This Row],[Away Team Name]],"Draw"))</f>
        <v>Germany FR</v>
      </c>
      <c r="X105" s="4" t="str">
        <f>IF(World_Cup_Matches[[#This Row],[Home Team Goals]]&gt;World_Cup_Matches[[#This Row],[Away Team Goals]],"Hime Win",IF(World_Cup_Matches[[#This Row],[Away Team Goals]]&gt;World_Cup_Matches[[#This Row],[Home Team Goals]],"Away win","Draw"))</f>
        <v>Away win</v>
      </c>
    </row>
    <row r="106" spans="1:24" x14ac:dyDescent="0.2">
      <c r="A106" s="19">
        <v>1958</v>
      </c>
      <c r="B106" s="15" t="s">
        <v>329</v>
      </c>
      <c r="C106" s="3" t="s">
        <v>49</v>
      </c>
      <c r="D106" s="3" t="s">
        <v>340</v>
      </c>
      <c r="E106" s="3" t="s">
        <v>341</v>
      </c>
      <c r="F106" s="3" t="s">
        <v>99</v>
      </c>
      <c r="G106" s="11">
        <v>1</v>
      </c>
      <c r="H106" s="11">
        <v>1</v>
      </c>
      <c r="I106" s="3" t="s">
        <v>342</v>
      </c>
      <c r="J106" s="3" t="s">
        <v>1842</v>
      </c>
      <c r="K106" s="3">
        <v>15343</v>
      </c>
      <c r="L106" s="11">
        <v>1</v>
      </c>
      <c r="M106" s="11">
        <v>1</v>
      </c>
      <c r="N106" s="3" t="s">
        <v>343</v>
      </c>
      <c r="O106" s="3" t="s">
        <v>252</v>
      </c>
      <c r="P106" s="3" t="s">
        <v>344</v>
      </c>
      <c r="Q106" s="11">
        <v>220</v>
      </c>
      <c r="R106" s="11">
        <v>1407</v>
      </c>
      <c r="S106" s="3" t="s">
        <v>104</v>
      </c>
      <c r="T106" s="4" t="s">
        <v>345</v>
      </c>
      <c r="U106" s="11">
        <f>World_Cup_Matches[[#This Row],[Home Team Goals]]+World_Cup_Matches[[#This Row],[Away Team Goals]]</f>
        <v>2</v>
      </c>
      <c r="V106" s="11">
        <f>World_Cup_Matches[[#This Row],[Home Team Goals]]-World_Cup_Matches[[#This Row],[Away Team Goals]]</f>
        <v>0</v>
      </c>
      <c r="W106" s="4" t="str">
        <f>IF(World_Cup_Matches[[#This Row],[Home Team Goals]]&gt;World_Cup_Matches[[#This Row],[Away Team Goals]],World_Cup_Matches[[#This Row],[Home Team Name]],IF(World_Cup_Matches[[#This Row],[Away Team Goals]]&gt;World_Cup_Matches[[#This Row],[Home Team Goals]], World_Cup_Matches[[#This Row],[Away Team Name]],"Draw"))</f>
        <v>Draw</v>
      </c>
      <c r="X106" s="4" t="str">
        <f>IF(World_Cup_Matches[[#This Row],[Home Team Goals]]&gt;World_Cup_Matches[[#This Row],[Away Team Goals]],"Hime Win",IF(World_Cup_Matches[[#This Row],[Away Team Goals]]&gt;World_Cup_Matches[[#This Row],[Home Team Goals]],"Away win","Draw"))</f>
        <v>Draw</v>
      </c>
    </row>
    <row r="107" spans="1:24" x14ac:dyDescent="0.2">
      <c r="A107" s="19">
        <v>1958</v>
      </c>
      <c r="B107" s="15" t="s">
        <v>329</v>
      </c>
      <c r="C107" s="3" t="s">
        <v>40</v>
      </c>
      <c r="D107" s="3" t="s">
        <v>346</v>
      </c>
      <c r="E107" s="3" t="s">
        <v>347</v>
      </c>
      <c r="F107" s="3" t="s">
        <v>24</v>
      </c>
      <c r="G107" s="11">
        <v>7</v>
      </c>
      <c r="H107" s="11">
        <v>3</v>
      </c>
      <c r="I107" s="3" t="s">
        <v>68</v>
      </c>
      <c r="J107" s="3" t="s">
        <v>1842</v>
      </c>
      <c r="K107" s="3">
        <v>16518</v>
      </c>
      <c r="L107" s="11">
        <v>2</v>
      </c>
      <c r="M107" s="11">
        <v>2</v>
      </c>
      <c r="N107" s="3" t="s">
        <v>348</v>
      </c>
      <c r="O107" s="3" t="s">
        <v>220</v>
      </c>
      <c r="P107" s="3" t="s">
        <v>349</v>
      </c>
      <c r="Q107" s="11">
        <v>220</v>
      </c>
      <c r="R107" s="11">
        <v>1386</v>
      </c>
      <c r="S107" s="3" t="s">
        <v>29</v>
      </c>
      <c r="T107" s="4" t="s">
        <v>69</v>
      </c>
      <c r="U107" s="11">
        <f>World_Cup_Matches[[#This Row],[Home Team Goals]]+World_Cup_Matches[[#This Row],[Away Team Goals]]</f>
        <v>10</v>
      </c>
      <c r="V107" s="11">
        <f>World_Cup_Matches[[#This Row],[Home Team Goals]]-World_Cup_Matches[[#This Row],[Away Team Goals]]</f>
        <v>4</v>
      </c>
      <c r="W107" s="4" t="str">
        <f>IF(World_Cup_Matches[[#This Row],[Home Team Goals]]&gt;World_Cup_Matches[[#This Row],[Away Team Goals]],World_Cup_Matches[[#This Row],[Home Team Name]],IF(World_Cup_Matches[[#This Row],[Away Team Goals]]&gt;World_Cup_Matches[[#This Row],[Home Team Goals]], World_Cup_Matches[[#This Row],[Away Team Name]],"Draw"))</f>
        <v>France</v>
      </c>
      <c r="X107" s="4" t="str">
        <f>IF(World_Cup_Matches[[#This Row],[Home Team Goals]]&gt;World_Cup_Matches[[#This Row],[Away Team Goals]],"Hime Win",IF(World_Cup_Matches[[#This Row],[Away Team Goals]]&gt;World_Cup_Matches[[#This Row],[Home Team Goals]],"Away win","Draw"))</f>
        <v>Hime Win</v>
      </c>
    </row>
    <row r="108" spans="1:24" x14ac:dyDescent="0.2">
      <c r="A108" s="19">
        <v>1958</v>
      </c>
      <c r="B108" s="15" t="s">
        <v>329</v>
      </c>
      <c r="C108" s="3" t="s">
        <v>40</v>
      </c>
      <c r="D108" s="3" t="s">
        <v>350</v>
      </c>
      <c r="E108" s="3" t="s">
        <v>351</v>
      </c>
      <c r="F108" s="3" t="s">
        <v>41</v>
      </c>
      <c r="G108" s="11">
        <v>1</v>
      </c>
      <c r="H108" s="11">
        <v>1</v>
      </c>
      <c r="I108" s="3" t="s">
        <v>272</v>
      </c>
      <c r="J108" s="3" t="s">
        <v>1842</v>
      </c>
      <c r="K108" s="3">
        <v>9591</v>
      </c>
      <c r="L108" s="11">
        <v>1</v>
      </c>
      <c r="M108" s="11">
        <v>0</v>
      </c>
      <c r="N108" s="3" t="s">
        <v>278</v>
      </c>
      <c r="O108" s="3" t="s">
        <v>304</v>
      </c>
      <c r="P108" s="3" t="s">
        <v>352</v>
      </c>
      <c r="Q108" s="11">
        <v>220</v>
      </c>
      <c r="R108" s="11">
        <v>1434</v>
      </c>
      <c r="S108" s="3" t="s">
        <v>46</v>
      </c>
      <c r="T108" s="4" t="s">
        <v>275</v>
      </c>
      <c r="U108" s="11">
        <f>World_Cup_Matches[[#This Row],[Home Team Goals]]+World_Cup_Matches[[#This Row],[Away Team Goals]]</f>
        <v>2</v>
      </c>
      <c r="V108" s="11">
        <f>World_Cup_Matches[[#This Row],[Home Team Goals]]-World_Cup_Matches[[#This Row],[Away Team Goals]]</f>
        <v>0</v>
      </c>
      <c r="W108" s="4" t="str">
        <f>IF(World_Cup_Matches[[#This Row],[Home Team Goals]]&gt;World_Cup_Matches[[#This Row],[Away Team Goals]],World_Cup_Matches[[#This Row],[Home Team Name]],IF(World_Cup_Matches[[#This Row],[Away Team Goals]]&gt;World_Cup_Matches[[#This Row],[Home Team Goals]], World_Cup_Matches[[#This Row],[Away Team Name]],"Draw"))</f>
        <v>Draw</v>
      </c>
      <c r="X108" s="4" t="str">
        <f>IF(World_Cup_Matches[[#This Row],[Home Team Goals]]&gt;World_Cup_Matches[[#This Row],[Away Team Goals]],"Hime Win",IF(World_Cup_Matches[[#This Row],[Away Team Goals]]&gt;World_Cup_Matches[[#This Row],[Home Team Goals]],"Away win","Draw"))</f>
        <v>Draw</v>
      </c>
    </row>
    <row r="109" spans="1:24" x14ac:dyDescent="0.2">
      <c r="A109" s="19">
        <v>1958</v>
      </c>
      <c r="B109" s="15" t="s">
        <v>329</v>
      </c>
      <c r="C109" s="3" t="s">
        <v>31</v>
      </c>
      <c r="D109" s="3" t="s">
        <v>353</v>
      </c>
      <c r="E109" s="3" t="s">
        <v>354</v>
      </c>
      <c r="F109" s="3" t="s">
        <v>42</v>
      </c>
      <c r="G109" s="11">
        <v>3</v>
      </c>
      <c r="H109" s="11">
        <v>0</v>
      </c>
      <c r="I109" s="3" t="s">
        <v>91</v>
      </c>
      <c r="J109" s="3" t="s">
        <v>1842</v>
      </c>
      <c r="K109" s="3">
        <v>17788</v>
      </c>
      <c r="L109" s="11">
        <v>1</v>
      </c>
      <c r="M109" s="11">
        <v>0</v>
      </c>
      <c r="N109" s="3" t="s">
        <v>355</v>
      </c>
      <c r="O109" s="3" t="s">
        <v>356</v>
      </c>
      <c r="P109" s="3" t="s">
        <v>357</v>
      </c>
      <c r="Q109" s="11">
        <v>220</v>
      </c>
      <c r="R109" s="11">
        <v>1326</v>
      </c>
      <c r="S109" s="3" t="s">
        <v>47</v>
      </c>
      <c r="T109" s="4" t="s">
        <v>96</v>
      </c>
      <c r="U109" s="11">
        <f>World_Cup_Matches[[#This Row],[Home Team Goals]]+World_Cup_Matches[[#This Row],[Away Team Goals]]</f>
        <v>3</v>
      </c>
      <c r="V109" s="11">
        <f>World_Cup_Matches[[#This Row],[Home Team Goals]]-World_Cup_Matches[[#This Row],[Away Team Goals]]</f>
        <v>3</v>
      </c>
      <c r="W109" s="4" t="str">
        <f>IF(World_Cup_Matches[[#This Row],[Home Team Goals]]&gt;World_Cup_Matches[[#This Row],[Away Team Goals]],World_Cup_Matches[[#This Row],[Home Team Name]],IF(World_Cup_Matches[[#This Row],[Away Team Goals]]&gt;World_Cup_Matches[[#This Row],[Home Team Goals]], World_Cup_Matches[[#This Row],[Away Team Name]],"Draw"))</f>
        <v>Brazil</v>
      </c>
      <c r="X109" s="4" t="str">
        <f>IF(World_Cup_Matches[[#This Row],[Home Team Goals]]&gt;World_Cup_Matches[[#This Row],[Away Team Goals]],"Hime Win",IF(World_Cup_Matches[[#This Row],[Away Team Goals]]&gt;World_Cup_Matches[[#This Row],[Home Team Goals]],"Away win","Draw"))</f>
        <v>Hime Win</v>
      </c>
    </row>
    <row r="110" spans="1:24" x14ac:dyDescent="0.2">
      <c r="A110" s="19">
        <v>1958</v>
      </c>
      <c r="B110" s="15" t="s">
        <v>329</v>
      </c>
      <c r="C110" s="3" t="s">
        <v>21</v>
      </c>
      <c r="D110" s="3" t="s">
        <v>358</v>
      </c>
      <c r="E110" s="3" t="s">
        <v>359</v>
      </c>
      <c r="F110" s="3" t="s">
        <v>360</v>
      </c>
      <c r="G110" s="11">
        <v>1</v>
      </c>
      <c r="H110" s="11">
        <v>0</v>
      </c>
      <c r="I110" s="3" t="s">
        <v>145</v>
      </c>
      <c r="J110" s="3" t="s">
        <v>1842</v>
      </c>
      <c r="K110" s="3">
        <v>10647</v>
      </c>
      <c r="L110" s="11">
        <v>1</v>
      </c>
      <c r="M110" s="11">
        <v>0</v>
      </c>
      <c r="N110" s="3" t="s">
        <v>361</v>
      </c>
      <c r="O110" s="3" t="s">
        <v>256</v>
      </c>
      <c r="P110" s="3" t="s">
        <v>362</v>
      </c>
      <c r="Q110" s="11">
        <v>220</v>
      </c>
      <c r="R110" s="11">
        <v>1421</v>
      </c>
      <c r="S110" s="3" t="s">
        <v>363</v>
      </c>
      <c r="T110" s="4" t="s">
        <v>148</v>
      </c>
      <c r="U110" s="11">
        <f>World_Cup_Matches[[#This Row],[Home Team Goals]]+World_Cup_Matches[[#This Row],[Away Team Goals]]</f>
        <v>1</v>
      </c>
      <c r="V110" s="11">
        <f>World_Cup_Matches[[#This Row],[Home Team Goals]]-World_Cup_Matches[[#This Row],[Away Team Goals]]</f>
        <v>1</v>
      </c>
      <c r="W110" s="4" t="str">
        <f>IF(World_Cup_Matches[[#This Row],[Home Team Goals]]&gt;World_Cup_Matches[[#This Row],[Away Team Goals]],World_Cup_Matches[[#This Row],[Home Team Name]],IF(World_Cup_Matches[[#This Row],[Away Team Goals]]&gt;World_Cup_Matches[[#This Row],[Home Team Goals]], World_Cup_Matches[[#This Row],[Away Team Name]],"Draw"))</f>
        <v>Northern Ireland</v>
      </c>
      <c r="X110" s="4" t="str">
        <f>IF(World_Cup_Matches[[#This Row],[Home Team Goals]]&gt;World_Cup_Matches[[#This Row],[Away Team Goals]],"Hime Win",IF(World_Cup_Matches[[#This Row],[Away Team Goals]]&gt;World_Cup_Matches[[#This Row],[Home Team Goals]],"Away win","Draw"))</f>
        <v>Hime Win</v>
      </c>
    </row>
    <row r="111" spans="1:24" x14ac:dyDescent="0.2">
      <c r="A111" s="19">
        <v>1958</v>
      </c>
      <c r="B111" s="15" t="s">
        <v>364</v>
      </c>
      <c r="C111" s="3" t="s">
        <v>31</v>
      </c>
      <c r="D111" s="3" t="s">
        <v>330</v>
      </c>
      <c r="E111" s="3" t="s">
        <v>331</v>
      </c>
      <c r="F111" s="3" t="s">
        <v>42</v>
      </c>
      <c r="G111" s="11">
        <v>0</v>
      </c>
      <c r="H111" s="11">
        <v>0</v>
      </c>
      <c r="I111" s="3" t="s">
        <v>223</v>
      </c>
      <c r="J111" s="3" t="s">
        <v>1842</v>
      </c>
      <c r="K111" s="3">
        <v>40895</v>
      </c>
      <c r="L111" s="11">
        <v>0</v>
      </c>
      <c r="M111" s="11">
        <v>0</v>
      </c>
      <c r="N111" s="3" t="s">
        <v>356</v>
      </c>
      <c r="O111" s="3" t="s">
        <v>365</v>
      </c>
      <c r="P111" s="3" t="s">
        <v>287</v>
      </c>
      <c r="Q111" s="11">
        <v>220</v>
      </c>
      <c r="R111" s="11">
        <v>1339</v>
      </c>
      <c r="S111" s="3" t="s">
        <v>47</v>
      </c>
      <c r="T111" s="4" t="s">
        <v>227</v>
      </c>
      <c r="U111" s="11">
        <f>World_Cup_Matches[[#This Row],[Home Team Goals]]+World_Cup_Matches[[#This Row],[Away Team Goals]]</f>
        <v>0</v>
      </c>
      <c r="V111" s="11">
        <f>World_Cup_Matches[[#This Row],[Home Team Goals]]-World_Cup_Matches[[#This Row],[Away Team Goals]]</f>
        <v>0</v>
      </c>
      <c r="W111" s="4" t="str">
        <f>IF(World_Cup_Matches[[#This Row],[Home Team Goals]]&gt;World_Cup_Matches[[#This Row],[Away Team Goals]],World_Cup_Matches[[#This Row],[Home Team Name]],IF(World_Cup_Matches[[#This Row],[Away Team Goals]]&gt;World_Cup_Matches[[#This Row],[Home Team Goals]], World_Cup_Matches[[#This Row],[Away Team Name]],"Draw"))</f>
        <v>Draw</v>
      </c>
      <c r="X111" s="4" t="str">
        <f>IF(World_Cup_Matches[[#This Row],[Home Team Goals]]&gt;World_Cup_Matches[[#This Row],[Away Team Goals]],"Hime Win",IF(World_Cup_Matches[[#This Row],[Away Team Goals]]&gt;World_Cup_Matches[[#This Row],[Home Team Goals]],"Away win","Draw"))</f>
        <v>Draw</v>
      </c>
    </row>
    <row r="112" spans="1:24" x14ac:dyDescent="0.2">
      <c r="A112" s="19">
        <v>1958</v>
      </c>
      <c r="B112" s="15" t="s">
        <v>364</v>
      </c>
      <c r="C112" s="3" t="s">
        <v>49</v>
      </c>
      <c r="D112" s="3" t="s">
        <v>324</v>
      </c>
      <c r="E112" s="3" t="s">
        <v>325</v>
      </c>
      <c r="F112" s="3" t="s">
        <v>25</v>
      </c>
      <c r="G112" s="11">
        <v>1</v>
      </c>
      <c r="H112" s="11">
        <v>1</v>
      </c>
      <c r="I112" s="3" t="s">
        <v>342</v>
      </c>
      <c r="J112" s="3" t="s">
        <v>1842</v>
      </c>
      <c r="K112" s="3">
        <v>15150</v>
      </c>
      <c r="L112" s="11">
        <v>0</v>
      </c>
      <c r="M112" s="11">
        <v>1</v>
      </c>
      <c r="N112" s="3" t="s">
        <v>252</v>
      </c>
      <c r="O112" s="3" t="s">
        <v>326</v>
      </c>
      <c r="P112" s="3" t="s">
        <v>343</v>
      </c>
      <c r="Q112" s="11">
        <v>220</v>
      </c>
      <c r="R112" s="11">
        <v>1418</v>
      </c>
      <c r="S112" s="3" t="s">
        <v>30</v>
      </c>
      <c r="T112" s="4" t="s">
        <v>345</v>
      </c>
      <c r="U112" s="11">
        <f>World_Cup_Matches[[#This Row],[Home Team Goals]]+World_Cup_Matches[[#This Row],[Away Team Goals]]</f>
        <v>2</v>
      </c>
      <c r="V112" s="11">
        <f>World_Cup_Matches[[#This Row],[Home Team Goals]]-World_Cup_Matches[[#This Row],[Away Team Goals]]</f>
        <v>0</v>
      </c>
      <c r="W112" s="4" t="str">
        <f>IF(World_Cup_Matches[[#This Row],[Home Team Goals]]&gt;World_Cup_Matches[[#This Row],[Away Team Goals]],World_Cup_Matches[[#This Row],[Home Team Name]],IF(World_Cup_Matches[[#This Row],[Away Team Goals]]&gt;World_Cup_Matches[[#This Row],[Home Team Goals]], World_Cup_Matches[[#This Row],[Away Team Name]],"Draw"))</f>
        <v>Draw</v>
      </c>
      <c r="X112" s="4" t="str">
        <f>IF(World_Cup_Matches[[#This Row],[Home Team Goals]]&gt;World_Cup_Matches[[#This Row],[Away Team Goals]],"Hime Win",IF(World_Cup_Matches[[#This Row],[Away Team Goals]]&gt;World_Cup_Matches[[#This Row],[Home Team Goals]],"Away win","Draw"))</f>
        <v>Draw</v>
      </c>
    </row>
    <row r="113" spans="1:24" x14ac:dyDescent="0.2">
      <c r="A113" s="19">
        <v>1958</v>
      </c>
      <c r="B113" s="15" t="s">
        <v>364</v>
      </c>
      <c r="C113" s="3" t="s">
        <v>40</v>
      </c>
      <c r="D113" s="3" t="s">
        <v>346</v>
      </c>
      <c r="E113" s="3" t="s">
        <v>347</v>
      </c>
      <c r="F113" s="3" t="s">
        <v>68</v>
      </c>
      <c r="G113" s="11">
        <v>3</v>
      </c>
      <c r="H113" s="11">
        <v>2</v>
      </c>
      <c r="I113" s="3" t="s">
        <v>272</v>
      </c>
      <c r="J113" s="3" t="s">
        <v>1842</v>
      </c>
      <c r="K113" s="3">
        <v>11665</v>
      </c>
      <c r="L113" s="11">
        <v>2</v>
      </c>
      <c r="M113" s="11">
        <v>1</v>
      </c>
      <c r="N113" s="3" t="s">
        <v>304</v>
      </c>
      <c r="O113" s="3" t="s">
        <v>348</v>
      </c>
      <c r="P113" s="3" t="s">
        <v>366</v>
      </c>
      <c r="Q113" s="11">
        <v>220</v>
      </c>
      <c r="R113" s="11">
        <v>1423</v>
      </c>
      <c r="S113" s="3" t="s">
        <v>69</v>
      </c>
      <c r="T113" s="4" t="s">
        <v>275</v>
      </c>
      <c r="U113" s="11">
        <f>World_Cup_Matches[[#This Row],[Home Team Goals]]+World_Cup_Matches[[#This Row],[Away Team Goals]]</f>
        <v>5</v>
      </c>
      <c r="V113" s="11">
        <f>World_Cup_Matches[[#This Row],[Home Team Goals]]-World_Cup_Matches[[#This Row],[Away Team Goals]]</f>
        <v>1</v>
      </c>
      <c r="W113" s="4" t="str">
        <f>IF(World_Cup_Matches[[#This Row],[Home Team Goals]]&gt;World_Cup_Matches[[#This Row],[Away Team Goals]],World_Cup_Matches[[#This Row],[Home Team Name]],IF(World_Cup_Matches[[#This Row],[Away Team Goals]]&gt;World_Cup_Matches[[#This Row],[Home Team Goals]], World_Cup_Matches[[#This Row],[Away Team Name]],"Draw"))</f>
        <v>Paraguay</v>
      </c>
      <c r="X113" s="4" t="str">
        <f>IF(World_Cup_Matches[[#This Row],[Home Team Goals]]&gt;World_Cup_Matches[[#This Row],[Away Team Goals]],"Hime Win",IF(World_Cup_Matches[[#This Row],[Away Team Goals]]&gt;World_Cup_Matches[[#This Row],[Home Team Goals]],"Away win","Draw"))</f>
        <v>Hime Win</v>
      </c>
    </row>
    <row r="114" spans="1:24" x14ac:dyDescent="0.2">
      <c r="A114" s="19">
        <v>1958</v>
      </c>
      <c r="B114" s="15" t="s">
        <v>364</v>
      </c>
      <c r="C114" s="3" t="s">
        <v>40</v>
      </c>
      <c r="D114" s="3" t="s">
        <v>350</v>
      </c>
      <c r="E114" s="3" t="s">
        <v>351</v>
      </c>
      <c r="F114" s="3" t="s">
        <v>41</v>
      </c>
      <c r="G114" s="11">
        <v>3</v>
      </c>
      <c r="H114" s="11">
        <v>2</v>
      </c>
      <c r="I114" s="3" t="s">
        <v>24</v>
      </c>
      <c r="J114" s="3" t="s">
        <v>1842</v>
      </c>
      <c r="K114" s="3">
        <v>12217</v>
      </c>
      <c r="L114" s="11">
        <v>1</v>
      </c>
      <c r="M114" s="11">
        <v>1</v>
      </c>
      <c r="N114" s="3" t="s">
        <v>220</v>
      </c>
      <c r="O114" s="3" t="s">
        <v>278</v>
      </c>
      <c r="P114" s="3" t="s">
        <v>367</v>
      </c>
      <c r="Q114" s="11">
        <v>220</v>
      </c>
      <c r="R114" s="11">
        <v>1388</v>
      </c>
      <c r="S114" s="3" t="s">
        <v>46</v>
      </c>
      <c r="T114" s="4" t="s">
        <v>29</v>
      </c>
      <c r="U114" s="11">
        <f>World_Cup_Matches[[#This Row],[Home Team Goals]]+World_Cup_Matches[[#This Row],[Away Team Goals]]</f>
        <v>5</v>
      </c>
      <c r="V114" s="11">
        <f>World_Cup_Matches[[#This Row],[Home Team Goals]]-World_Cup_Matches[[#This Row],[Away Team Goals]]</f>
        <v>1</v>
      </c>
      <c r="W114" s="4" t="str">
        <f>IF(World_Cup_Matches[[#This Row],[Home Team Goals]]&gt;World_Cup_Matches[[#This Row],[Away Team Goals]],World_Cup_Matches[[#This Row],[Home Team Name]],IF(World_Cup_Matches[[#This Row],[Away Team Goals]]&gt;World_Cup_Matches[[#This Row],[Home Team Goals]], World_Cup_Matches[[#This Row],[Away Team Name]],"Draw"))</f>
        <v>Yugoslavia</v>
      </c>
      <c r="X114" s="4" t="str">
        <f>IF(World_Cup_Matches[[#This Row],[Home Team Goals]]&gt;World_Cup_Matches[[#This Row],[Away Team Goals]],"Hime Win",IF(World_Cup_Matches[[#This Row],[Away Team Goals]]&gt;World_Cup_Matches[[#This Row],[Home Team Goals]],"Away win","Draw"))</f>
        <v>Hime Win</v>
      </c>
    </row>
    <row r="115" spans="1:24" x14ac:dyDescent="0.2">
      <c r="A115" s="19">
        <v>1958</v>
      </c>
      <c r="B115" s="15" t="s">
        <v>364</v>
      </c>
      <c r="C115" s="3" t="s">
        <v>31</v>
      </c>
      <c r="D115" s="3" t="s">
        <v>368</v>
      </c>
      <c r="E115" s="3" t="s">
        <v>369</v>
      </c>
      <c r="F115" s="3" t="s">
        <v>332</v>
      </c>
      <c r="G115" s="11">
        <v>2</v>
      </c>
      <c r="H115" s="11">
        <v>0</v>
      </c>
      <c r="I115" s="3" t="s">
        <v>91</v>
      </c>
      <c r="J115" s="3" t="s">
        <v>1842</v>
      </c>
      <c r="K115" s="3">
        <v>21239</v>
      </c>
      <c r="L115" s="11">
        <v>1</v>
      </c>
      <c r="M115" s="11">
        <v>0</v>
      </c>
      <c r="N115" s="3" t="s">
        <v>334</v>
      </c>
      <c r="O115" s="3" t="s">
        <v>333</v>
      </c>
      <c r="P115" s="3" t="s">
        <v>370</v>
      </c>
      <c r="Q115" s="11">
        <v>220</v>
      </c>
      <c r="R115" s="11">
        <v>1332</v>
      </c>
      <c r="S115" s="3" t="s">
        <v>335</v>
      </c>
      <c r="T115" s="4" t="s">
        <v>96</v>
      </c>
      <c r="U115" s="11">
        <f>World_Cup_Matches[[#This Row],[Home Team Goals]]+World_Cup_Matches[[#This Row],[Away Team Goals]]</f>
        <v>2</v>
      </c>
      <c r="V115" s="11">
        <f>World_Cup_Matches[[#This Row],[Home Team Goals]]-World_Cup_Matches[[#This Row],[Away Team Goals]]</f>
        <v>2</v>
      </c>
      <c r="W115" s="4" t="str">
        <f>IF(World_Cup_Matches[[#This Row],[Home Team Goals]]&gt;World_Cup_Matches[[#This Row],[Away Team Goals]],World_Cup_Matches[[#This Row],[Home Team Name]],IF(World_Cup_Matches[[#This Row],[Away Team Goals]]&gt;World_Cup_Matches[[#This Row],[Home Team Goals]], World_Cup_Matches[[#This Row],[Away Team Name]],"Draw"))</f>
        <v>Soviet Union</v>
      </c>
      <c r="X115" s="4" t="str">
        <f>IF(World_Cup_Matches[[#This Row],[Home Team Goals]]&gt;World_Cup_Matches[[#This Row],[Away Team Goals]],"Hime Win",IF(World_Cup_Matches[[#This Row],[Away Team Goals]]&gt;World_Cup_Matches[[#This Row],[Home Team Goals]],"Away win","Draw"))</f>
        <v>Hime Win</v>
      </c>
    </row>
    <row r="116" spans="1:24" x14ac:dyDescent="0.2">
      <c r="A116" s="19">
        <v>1958</v>
      </c>
      <c r="B116" s="15" t="s">
        <v>364</v>
      </c>
      <c r="C116" s="3" t="s">
        <v>21</v>
      </c>
      <c r="D116" s="3" t="s">
        <v>371</v>
      </c>
      <c r="E116" s="3" t="s">
        <v>372</v>
      </c>
      <c r="F116" s="3" t="s">
        <v>285</v>
      </c>
      <c r="G116" s="11">
        <v>2</v>
      </c>
      <c r="H116" s="11">
        <v>2</v>
      </c>
      <c r="I116" s="3" t="s">
        <v>145</v>
      </c>
      <c r="J116" s="3" t="s">
        <v>1842</v>
      </c>
      <c r="K116" s="3">
        <v>25000</v>
      </c>
      <c r="L116" s="11">
        <v>0</v>
      </c>
      <c r="M116" s="11">
        <v>2</v>
      </c>
      <c r="N116" s="3" t="s">
        <v>256</v>
      </c>
      <c r="O116" s="3" t="s">
        <v>245</v>
      </c>
      <c r="P116" s="3" t="s">
        <v>361</v>
      </c>
      <c r="Q116" s="11">
        <v>220</v>
      </c>
      <c r="R116" s="11">
        <v>1391</v>
      </c>
      <c r="S116" s="3" t="s">
        <v>289</v>
      </c>
      <c r="T116" s="4" t="s">
        <v>148</v>
      </c>
      <c r="U116" s="11">
        <f>World_Cup_Matches[[#This Row],[Home Team Goals]]+World_Cup_Matches[[#This Row],[Away Team Goals]]</f>
        <v>4</v>
      </c>
      <c r="V116" s="11">
        <f>World_Cup_Matches[[#This Row],[Home Team Goals]]-World_Cup_Matches[[#This Row],[Away Team Goals]]</f>
        <v>0</v>
      </c>
      <c r="W116" s="4" t="str">
        <f>IF(World_Cup_Matches[[#This Row],[Home Team Goals]]&gt;World_Cup_Matches[[#This Row],[Away Team Goals]],World_Cup_Matches[[#This Row],[Home Team Name]],IF(World_Cup_Matches[[#This Row],[Away Team Goals]]&gt;World_Cup_Matches[[#This Row],[Home Team Goals]], World_Cup_Matches[[#This Row],[Away Team Name]],"Draw"))</f>
        <v>Draw</v>
      </c>
      <c r="X116" s="4" t="str">
        <f>IF(World_Cup_Matches[[#This Row],[Home Team Goals]]&gt;World_Cup_Matches[[#This Row],[Away Team Goals]],"Hime Win",IF(World_Cup_Matches[[#This Row],[Away Team Goals]]&gt;World_Cup_Matches[[#This Row],[Home Team Goals]],"Away win","Draw"))</f>
        <v>Draw</v>
      </c>
    </row>
    <row r="117" spans="1:24" x14ac:dyDescent="0.2">
      <c r="A117" s="19">
        <v>1958</v>
      </c>
      <c r="B117" s="15" t="s">
        <v>364</v>
      </c>
      <c r="C117" s="3" t="s">
        <v>21</v>
      </c>
      <c r="D117" s="3" t="s">
        <v>358</v>
      </c>
      <c r="E117" s="3" t="s">
        <v>359</v>
      </c>
      <c r="F117" s="3" t="s">
        <v>56</v>
      </c>
      <c r="G117" s="11">
        <v>3</v>
      </c>
      <c r="H117" s="11">
        <v>1</v>
      </c>
      <c r="I117" s="3" t="s">
        <v>360</v>
      </c>
      <c r="J117" s="3" t="s">
        <v>1842</v>
      </c>
      <c r="K117" s="3">
        <v>14174</v>
      </c>
      <c r="L117" s="11">
        <v>1</v>
      </c>
      <c r="M117" s="11">
        <v>1</v>
      </c>
      <c r="N117" s="3" t="s">
        <v>339</v>
      </c>
      <c r="O117" s="3" t="s">
        <v>362</v>
      </c>
      <c r="P117" s="3" t="s">
        <v>338</v>
      </c>
      <c r="Q117" s="11">
        <v>220</v>
      </c>
      <c r="R117" s="11">
        <v>1324</v>
      </c>
      <c r="S117" s="3" t="s">
        <v>59</v>
      </c>
      <c r="T117" s="4" t="s">
        <v>363</v>
      </c>
      <c r="U117" s="11">
        <f>World_Cup_Matches[[#This Row],[Home Team Goals]]+World_Cup_Matches[[#This Row],[Away Team Goals]]</f>
        <v>4</v>
      </c>
      <c r="V117" s="11">
        <f>World_Cup_Matches[[#This Row],[Home Team Goals]]-World_Cup_Matches[[#This Row],[Away Team Goals]]</f>
        <v>2</v>
      </c>
      <c r="W117" s="4" t="str">
        <f>IF(World_Cup_Matches[[#This Row],[Home Team Goals]]&gt;World_Cup_Matches[[#This Row],[Away Team Goals]],World_Cup_Matches[[#This Row],[Home Team Name]],IF(World_Cup_Matches[[#This Row],[Away Team Goals]]&gt;World_Cup_Matches[[#This Row],[Home Team Goals]], World_Cup_Matches[[#This Row],[Away Team Name]],"Draw"))</f>
        <v>Argentina</v>
      </c>
      <c r="X117" s="4" t="str">
        <f>IF(World_Cup_Matches[[#This Row],[Home Team Goals]]&gt;World_Cup_Matches[[#This Row],[Away Team Goals]],"Hime Win",IF(World_Cup_Matches[[#This Row],[Away Team Goals]]&gt;World_Cup_Matches[[#This Row],[Home Team Goals]],"Away win","Draw"))</f>
        <v>Hime Win</v>
      </c>
    </row>
    <row r="118" spans="1:24" x14ac:dyDescent="0.2">
      <c r="A118" s="19">
        <v>1958</v>
      </c>
      <c r="B118" s="15" t="s">
        <v>373</v>
      </c>
      <c r="C118" s="3" t="s">
        <v>49</v>
      </c>
      <c r="D118" s="3" t="s">
        <v>324</v>
      </c>
      <c r="E118" s="3" t="s">
        <v>325</v>
      </c>
      <c r="F118" s="3" t="s">
        <v>117</v>
      </c>
      <c r="G118" s="11">
        <v>2</v>
      </c>
      <c r="H118" s="11">
        <v>1</v>
      </c>
      <c r="I118" s="3" t="s">
        <v>99</v>
      </c>
      <c r="J118" s="3" t="s">
        <v>1842</v>
      </c>
      <c r="K118" s="3">
        <v>38850</v>
      </c>
      <c r="L118" s="11">
        <v>1</v>
      </c>
      <c r="M118" s="11">
        <v>0</v>
      </c>
      <c r="N118" s="3" t="s">
        <v>327</v>
      </c>
      <c r="O118" s="3" t="s">
        <v>344</v>
      </c>
      <c r="P118" s="3" t="s">
        <v>367</v>
      </c>
      <c r="Q118" s="11">
        <v>220</v>
      </c>
      <c r="R118" s="11">
        <v>1406</v>
      </c>
      <c r="S118" s="3" t="s">
        <v>121</v>
      </c>
      <c r="T118" s="4" t="s">
        <v>104</v>
      </c>
      <c r="U118" s="11">
        <f>World_Cup_Matches[[#This Row],[Home Team Goals]]+World_Cup_Matches[[#This Row],[Away Team Goals]]</f>
        <v>3</v>
      </c>
      <c r="V118" s="11">
        <f>World_Cup_Matches[[#This Row],[Home Team Goals]]-World_Cup_Matches[[#This Row],[Away Team Goals]]</f>
        <v>1</v>
      </c>
      <c r="W118" s="4" t="str">
        <f>IF(World_Cup_Matches[[#This Row],[Home Team Goals]]&gt;World_Cup_Matches[[#This Row],[Away Team Goals]],World_Cup_Matches[[#This Row],[Home Team Name]],IF(World_Cup_Matches[[#This Row],[Away Team Goals]]&gt;World_Cup_Matches[[#This Row],[Home Team Goals]], World_Cup_Matches[[#This Row],[Away Team Name]],"Draw"))</f>
        <v>Sweden</v>
      </c>
      <c r="X118" s="4" t="str">
        <f>IF(World_Cup_Matches[[#This Row],[Home Team Goals]]&gt;World_Cup_Matches[[#This Row],[Away Team Goals]],"Hime Win",IF(World_Cup_Matches[[#This Row],[Away Team Goals]]&gt;World_Cup_Matches[[#This Row],[Home Team Goals]],"Away win","Draw"))</f>
        <v>Hime Win</v>
      </c>
    </row>
    <row r="119" spans="1:24" x14ac:dyDescent="0.2">
      <c r="A119" s="19">
        <v>1958</v>
      </c>
      <c r="B119" s="15" t="s">
        <v>374</v>
      </c>
      <c r="C119" s="3" t="s">
        <v>49</v>
      </c>
      <c r="D119" s="3" t="s">
        <v>324</v>
      </c>
      <c r="E119" s="3" t="s">
        <v>325</v>
      </c>
      <c r="F119" s="3" t="s">
        <v>117</v>
      </c>
      <c r="G119" s="11">
        <v>0</v>
      </c>
      <c r="H119" s="11">
        <v>0</v>
      </c>
      <c r="I119" s="3" t="s">
        <v>342</v>
      </c>
      <c r="J119" s="3" t="s">
        <v>1842</v>
      </c>
      <c r="K119" s="3">
        <v>30287</v>
      </c>
      <c r="L119" s="11">
        <v>0</v>
      </c>
      <c r="M119" s="11">
        <v>0</v>
      </c>
      <c r="N119" s="3" t="s">
        <v>344</v>
      </c>
      <c r="O119" s="3" t="s">
        <v>252</v>
      </c>
      <c r="P119" s="3" t="s">
        <v>326</v>
      </c>
      <c r="Q119" s="11">
        <v>220</v>
      </c>
      <c r="R119" s="11">
        <v>1438</v>
      </c>
      <c r="S119" s="3" t="s">
        <v>121</v>
      </c>
      <c r="T119" s="4" t="s">
        <v>345</v>
      </c>
      <c r="U119" s="11">
        <f>World_Cup_Matches[[#This Row],[Home Team Goals]]+World_Cup_Matches[[#This Row],[Away Team Goals]]</f>
        <v>0</v>
      </c>
      <c r="V119" s="11">
        <f>World_Cup_Matches[[#This Row],[Home Team Goals]]-World_Cup_Matches[[#This Row],[Away Team Goals]]</f>
        <v>0</v>
      </c>
      <c r="W119" s="4" t="str">
        <f>IF(World_Cup_Matches[[#This Row],[Home Team Goals]]&gt;World_Cup_Matches[[#This Row],[Away Team Goals]],World_Cup_Matches[[#This Row],[Home Team Name]],IF(World_Cup_Matches[[#This Row],[Away Team Goals]]&gt;World_Cup_Matches[[#This Row],[Home Team Goals]], World_Cup_Matches[[#This Row],[Away Team Name]],"Draw"))</f>
        <v>Draw</v>
      </c>
      <c r="X119" s="4" t="str">
        <f>IF(World_Cup_Matches[[#This Row],[Home Team Goals]]&gt;World_Cup_Matches[[#This Row],[Away Team Goals]],"Hime Win",IF(World_Cup_Matches[[#This Row],[Away Team Goals]]&gt;World_Cup_Matches[[#This Row],[Home Team Goals]],"Away win","Draw"))</f>
        <v>Draw</v>
      </c>
    </row>
    <row r="120" spans="1:24" x14ac:dyDescent="0.2">
      <c r="A120" s="19">
        <v>1958</v>
      </c>
      <c r="B120" s="15" t="s">
        <v>375</v>
      </c>
      <c r="C120" s="3" t="s">
        <v>31</v>
      </c>
      <c r="D120" s="3" t="s">
        <v>330</v>
      </c>
      <c r="E120" s="3" t="s">
        <v>331</v>
      </c>
      <c r="F120" s="3" t="s">
        <v>42</v>
      </c>
      <c r="G120" s="11">
        <v>2</v>
      </c>
      <c r="H120" s="11">
        <v>0</v>
      </c>
      <c r="I120" s="3" t="s">
        <v>332</v>
      </c>
      <c r="J120" s="3" t="s">
        <v>1842</v>
      </c>
      <c r="K120" s="3">
        <v>50928</v>
      </c>
      <c r="L120" s="11">
        <v>1</v>
      </c>
      <c r="M120" s="11">
        <v>0</v>
      </c>
      <c r="N120" s="3" t="s">
        <v>355</v>
      </c>
      <c r="O120" s="3" t="s">
        <v>333</v>
      </c>
      <c r="P120" s="3" t="s">
        <v>334</v>
      </c>
      <c r="Q120" s="11">
        <v>220</v>
      </c>
      <c r="R120" s="11">
        <v>1344</v>
      </c>
      <c r="S120" s="3" t="s">
        <v>47</v>
      </c>
      <c r="T120" s="4" t="s">
        <v>335</v>
      </c>
      <c r="U120" s="11">
        <f>World_Cup_Matches[[#This Row],[Home Team Goals]]+World_Cup_Matches[[#This Row],[Away Team Goals]]</f>
        <v>2</v>
      </c>
      <c r="V120" s="11">
        <f>World_Cup_Matches[[#This Row],[Home Team Goals]]-World_Cup_Matches[[#This Row],[Away Team Goals]]</f>
        <v>2</v>
      </c>
      <c r="W120" s="4" t="str">
        <f>IF(World_Cup_Matches[[#This Row],[Home Team Goals]]&gt;World_Cup_Matches[[#This Row],[Away Team Goals]],World_Cup_Matches[[#This Row],[Home Team Name]],IF(World_Cup_Matches[[#This Row],[Away Team Goals]]&gt;World_Cup_Matches[[#This Row],[Home Team Goals]], World_Cup_Matches[[#This Row],[Away Team Name]],"Draw"))</f>
        <v>Brazil</v>
      </c>
      <c r="X120" s="4" t="str">
        <f>IF(World_Cup_Matches[[#This Row],[Home Team Goals]]&gt;World_Cup_Matches[[#This Row],[Away Team Goals]],"Hime Win",IF(World_Cup_Matches[[#This Row],[Away Team Goals]]&gt;World_Cup_Matches[[#This Row],[Home Team Goals]],"Away win","Draw"))</f>
        <v>Hime Win</v>
      </c>
    </row>
    <row r="121" spans="1:24" x14ac:dyDescent="0.2">
      <c r="A121" s="19">
        <v>1958</v>
      </c>
      <c r="B121" s="15" t="s">
        <v>375</v>
      </c>
      <c r="C121" s="3" t="s">
        <v>21</v>
      </c>
      <c r="D121" s="3" t="s">
        <v>336</v>
      </c>
      <c r="E121" s="3" t="s">
        <v>337</v>
      </c>
      <c r="F121" s="3" t="s">
        <v>285</v>
      </c>
      <c r="G121" s="11">
        <v>2</v>
      </c>
      <c r="H121" s="11">
        <v>2</v>
      </c>
      <c r="I121" s="3" t="s">
        <v>360</v>
      </c>
      <c r="J121" s="3" t="s">
        <v>1842</v>
      </c>
      <c r="K121" s="3">
        <v>21990</v>
      </c>
      <c r="L121" s="11">
        <v>1</v>
      </c>
      <c r="M121" s="11">
        <v>1</v>
      </c>
      <c r="N121" s="3" t="s">
        <v>362</v>
      </c>
      <c r="O121" s="3" t="s">
        <v>339</v>
      </c>
      <c r="P121" s="3" t="s">
        <v>338</v>
      </c>
      <c r="Q121" s="11">
        <v>220</v>
      </c>
      <c r="R121" s="11">
        <v>1389</v>
      </c>
      <c r="S121" s="3" t="s">
        <v>289</v>
      </c>
      <c r="T121" s="4" t="s">
        <v>363</v>
      </c>
      <c r="U121" s="11">
        <f>World_Cup_Matches[[#This Row],[Home Team Goals]]+World_Cup_Matches[[#This Row],[Away Team Goals]]</f>
        <v>4</v>
      </c>
      <c r="V121" s="11">
        <f>World_Cup_Matches[[#This Row],[Home Team Goals]]-World_Cup_Matches[[#This Row],[Away Team Goals]]</f>
        <v>0</v>
      </c>
      <c r="W121" s="4" t="str">
        <f>IF(World_Cup_Matches[[#This Row],[Home Team Goals]]&gt;World_Cup_Matches[[#This Row],[Away Team Goals]],World_Cup_Matches[[#This Row],[Home Team Name]],IF(World_Cup_Matches[[#This Row],[Away Team Goals]]&gt;World_Cup_Matches[[#This Row],[Home Team Goals]], World_Cup_Matches[[#This Row],[Away Team Name]],"Draw"))</f>
        <v>Draw</v>
      </c>
      <c r="X121" s="4" t="str">
        <f>IF(World_Cup_Matches[[#This Row],[Home Team Goals]]&gt;World_Cup_Matches[[#This Row],[Away Team Goals]],"Hime Win",IF(World_Cup_Matches[[#This Row],[Away Team Goals]]&gt;World_Cup_Matches[[#This Row],[Home Team Goals]],"Away win","Draw"))</f>
        <v>Draw</v>
      </c>
    </row>
    <row r="122" spans="1:24" x14ac:dyDescent="0.2">
      <c r="A122" s="19">
        <v>1958</v>
      </c>
      <c r="B122" s="15" t="s">
        <v>375</v>
      </c>
      <c r="C122" s="3" t="s">
        <v>49</v>
      </c>
      <c r="D122" s="3" t="s">
        <v>340</v>
      </c>
      <c r="E122" s="3" t="s">
        <v>341</v>
      </c>
      <c r="F122" s="3" t="s">
        <v>99</v>
      </c>
      <c r="G122" s="11">
        <v>4</v>
      </c>
      <c r="H122" s="11">
        <v>0</v>
      </c>
      <c r="I122" s="3" t="s">
        <v>25</v>
      </c>
      <c r="J122" s="3" t="s">
        <v>1842</v>
      </c>
      <c r="K122" s="3">
        <v>13300</v>
      </c>
      <c r="L122" s="11">
        <v>1</v>
      </c>
      <c r="M122" s="11">
        <v>0</v>
      </c>
      <c r="N122" s="3" t="s">
        <v>328</v>
      </c>
      <c r="O122" s="3" t="s">
        <v>343</v>
      </c>
      <c r="P122" s="3" t="s">
        <v>327</v>
      </c>
      <c r="Q122" s="11">
        <v>220</v>
      </c>
      <c r="R122" s="11">
        <v>1403</v>
      </c>
      <c r="S122" s="3" t="s">
        <v>104</v>
      </c>
      <c r="T122" s="4" t="s">
        <v>30</v>
      </c>
      <c r="U122" s="11">
        <f>World_Cup_Matches[[#This Row],[Home Team Goals]]+World_Cup_Matches[[#This Row],[Away Team Goals]]</f>
        <v>4</v>
      </c>
      <c r="V122" s="11">
        <f>World_Cup_Matches[[#This Row],[Home Team Goals]]-World_Cup_Matches[[#This Row],[Away Team Goals]]</f>
        <v>4</v>
      </c>
      <c r="W122" s="4" t="str">
        <f>IF(World_Cup_Matches[[#This Row],[Home Team Goals]]&gt;World_Cup_Matches[[#This Row],[Away Team Goals]],World_Cup_Matches[[#This Row],[Home Team Name]],IF(World_Cup_Matches[[#This Row],[Away Team Goals]]&gt;World_Cup_Matches[[#This Row],[Home Team Goals]], World_Cup_Matches[[#This Row],[Away Team Name]],"Draw"))</f>
        <v>Hungary</v>
      </c>
      <c r="X122" s="4" t="str">
        <f>IF(World_Cup_Matches[[#This Row],[Home Team Goals]]&gt;World_Cup_Matches[[#This Row],[Away Team Goals]],"Hime Win",IF(World_Cup_Matches[[#This Row],[Away Team Goals]]&gt;World_Cup_Matches[[#This Row],[Home Team Goals]],"Away win","Draw"))</f>
        <v>Hime Win</v>
      </c>
    </row>
    <row r="123" spans="1:24" x14ac:dyDescent="0.2">
      <c r="A123" s="19">
        <v>1958</v>
      </c>
      <c r="B123" s="15" t="s">
        <v>375</v>
      </c>
      <c r="C123" s="3" t="s">
        <v>40</v>
      </c>
      <c r="D123" s="3" t="s">
        <v>376</v>
      </c>
      <c r="E123" s="3" t="s">
        <v>377</v>
      </c>
      <c r="F123" s="3" t="s">
        <v>68</v>
      </c>
      <c r="G123" s="11">
        <v>3</v>
      </c>
      <c r="H123" s="11">
        <v>3</v>
      </c>
      <c r="I123" s="3" t="s">
        <v>41</v>
      </c>
      <c r="J123" s="3" t="s">
        <v>1842</v>
      </c>
      <c r="K123" s="3">
        <v>13103</v>
      </c>
      <c r="L123" s="11">
        <v>1</v>
      </c>
      <c r="M123" s="11">
        <v>2</v>
      </c>
      <c r="N123" s="3" t="s">
        <v>352</v>
      </c>
      <c r="O123" s="3" t="s">
        <v>220</v>
      </c>
      <c r="P123" s="3" t="s">
        <v>348</v>
      </c>
      <c r="Q123" s="11">
        <v>220</v>
      </c>
      <c r="R123" s="11">
        <v>1426</v>
      </c>
      <c r="S123" s="3" t="s">
        <v>69</v>
      </c>
      <c r="T123" s="4" t="s">
        <v>46</v>
      </c>
      <c r="U123" s="11">
        <f>World_Cup_Matches[[#This Row],[Home Team Goals]]+World_Cup_Matches[[#This Row],[Away Team Goals]]</f>
        <v>6</v>
      </c>
      <c r="V123" s="11">
        <f>World_Cup_Matches[[#This Row],[Home Team Goals]]-World_Cup_Matches[[#This Row],[Away Team Goals]]</f>
        <v>0</v>
      </c>
      <c r="W123" s="4" t="str">
        <f>IF(World_Cup_Matches[[#This Row],[Home Team Goals]]&gt;World_Cup_Matches[[#This Row],[Away Team Goals]],World_Cup_Matches[[#This Row],[Home Team Name]],IF(World_Cup_Matches[[#This Row],[Away Team Goals]]&gt;World_Cup_Matches[[#This Row],[Home Team Goals]], World_Cup_Matches[[#This Row],[Away Team Name]],"Draw"))</f>
        <v>Draw</v>
      </c>
      <c r="X123" s="4" t="str">
        <f>IF(World_Cup_Matches[[#This Row],[Home Team Goals]]&gt;World_Cup_Matches[[#This Row],[Away Team Goals]],"Hime Win",IF(World_Cup_Matches[[#This Row],[Away Team Goals]]&gt;World_Cup_Matches[[#This Row],[Home Team Goals]],"Away win","Draw"))</f>
        <v>Draw</v>
      </c>
    </row>
    <row r="124" spans="1:24" x14ac:dyDescent="0.2">
      <c r="A124" s="19">
        <v>1958</v>
      </c>
      <c r="B124" s="15" t="s">
        <v>375</v>
      </c>
      <c r="C124" s="3" t="s">
        <v>40</v>
      </c>
      <c r="D124" s="3" t="s">
        <v>378</v>
      </c>
      <c r="E124" s="3" t="s">
        <v>379</v>
      </c>
      <c r="F124" s="3" t="s">
        <v>24</v>
      </c>
      <c r="G124" s="11">
        <v>2</v>
      </c>
      <c r="H124" s="11">
        <v>1</v>
      </c>
      <c r="I124" s="3" t="s">
        <v>272</v>
      </c>
      <c r="J124" s="3" t="s">
        <v>1842</v>
      </c>
      <c r="K124" s="3">
        <v>13554</v>
      </c>
      <c r="L124" s="11">
        <v>2</v>
      </c>
      <c r="M124" s="11">
        <v>0</v>
      </c>
      <c r="N124" s="3" t="s">
        <v>349</v>
      </c>
      <c r="O124" s="3" t="s">
        <v>304</v>
      </c>
      <c r="P124" s="3" t="s">
        <v>278</v>
      </c>
      <c r="Q124" s="11">
        <v>220</v>
      </c>
      <c r="R124" s="11">
        <v>1387</v>
      </c>
      <c r="S124" s="3" t="s">
        <v>29</v>
      </c>
      <c r="T124" s="4" t="s">
        <v>275</v>
      </c>
      <c r="U124" s="11">
        <f>World_Cup_Matches[[#This Row],[Home Team Goals]]+World_Cup_Matches[[#This Row],[Away Team Goals]]</f>
        <v>3</v>
      </c>
      <c r="V124" s="11">
        <f>World_Cup_Matches[[#This Row],[Home Team Goals]]-World_Cup_Matches[[#This Row],[Away Team Goals]]</f>
        <v>1</v>
      </c>
      <c r="W124" s="4" t="str">
        <f>IF(World_Cup_Matches[[#This Row],[Home Team Goals]]&gt;World_Cup_Matches[[#This Row],[Away Team Goals]],World_Cup_Matches[[#This Row],[Home Team Name]],IF(World_Cup_Matches[[#This Row],[Away Team Goals]]&gt;World_Cup_Matches[[#This Row],[Home Team Goals]], World_Cup_Matches[[#This Row],[Away Team Name]],"Draw"))</f>
        <v>France</v>
      </c>
      <c r="X124" s="4" t="str">
        <f>IF(World_Cup_Matches[[#This Row],[Home Team Goals]]&gt;World_Cup_Matches[[#This Row],[Away Team Goals]],"Hime Win",IF(World_Cup_Matches[[#This Row],[Away Team Goals]]&gt;World_Cup_Matches[[#This Row],[Home Team Goals]],"Away win","Draw"))</f>
        <v>Hime Win</v>
      </c>
    </row>
    <row r="125" spans="1:24" x14ac:dyDescent="0.2">
      <c r="A125" s="19">
        <v>1958</v>
      </c>
      <c r="B125" s="15" t="s">
        <v>375</v>
      </c>
      <c r="C125" s="3" t="s">
        <v>31</v>
      </c>
      <c r="D125" s="3" t="s">
        <v>368</v>
      </c>
      <c r="E125" s="3" t="s">
        <v>369</v>
      </c>
      <c r="F125" s="3" t="s">
        <v>223</v>
      </c>
      <c r="G125" s="11">
        <v>2</v>
      </c>
      <c r="H125" s="11">
        <v>2</v>
      </c>
      <c r="I125" s="3" t="s">
        <v>91</v>
      </c>
      <c r="J125" s="3" t="s">
        <v>1842</v>
      </c>
      <c r="K125" s="3">
        <v>15872</v>
      </c>
      <c r="L125" s="11">
        <v>0</v>
      </c>
      <c r="M125" s="11">
        <v>1</v>
      </c>
      <c r="N125" s="3" t="s">
        <v>357</v>
      </c>
      <c r="O125" s="3" t="s">
        <v>356</v>
      </c>
      <c r="P125" s="3" t="s">
        <v>287</v>
      </c>
      <c r="Q125" s="11">
        <v>220</v>
      </c>
      <c r="R125" s="11">
        <v>1327</v>
      </c>
      <c r="S125" s="3" t="s">
        <v>227</v>
      </c>
      <c r="T125" s="4" t="s">
        <v>96</v>
      </c>
      <c r="U125" s="11">
        <f>World_Cup_Matches[[#This Row],[Home Team Goals]]+World_Cup_Matches[[#This Row],[Away Team Goals]]</f>
        <v>4</v>
      </c>
      <c r="V125" s="11">
        <f>World_Cup_Matches[[#This Row],[Home Team Goals]]-World_Cup_Matches[[#This Row],[Away Team Goals]]</f>
        <v>0</v>
      </c>
      <c r="W125" s="4" t="str">
        <f>IF(World_Cup_Matches[[#This Row],[Home Team Goals]]&gt;World_Cup_Matches[[#This Row],[Away Team Goals]],World_Cup_Matches[[#This Row],[Home Team Name]],IF(World_Cup_Matches[[#This Row],[Away Team Goals]]&gt;World_Cup_Matches[[#This Row],[Home Team Goals]], World_Cup_Matches[[#This Row],[Away Team Name]],"Draw"))</f>
        <v>Draw</v>
      </c>
      <c r="X125" s="4" t="str">
        <f>IF(World_Cup_Matches[[#This Row],[Home Team Goals]]&gt;World_Cup_Matches[[#This Row],[Away Team Goals]],"Hime Win",IF(World_Cup_Matches[[#This Row],[Away Team Goals]]&gt;World_Cup_Matches[[#This Row],[Home Team Goals]],"Away win","Draw"))</f>
        <v>Draw</v>
      </c>
    </row>
    <row r="126" spans="1:24" x14ac:dyDescent="0.2">
      <c r="A126" s="19">
        <v>1958</v>
      </c>
      <c r="B126" s="15" t="s">
        <v>375</v>
      </c>
      <c r="C126" s="3" t="s">
        <v>21</v>
      </c>
      <c r="D126" s="3" t="s">
        <v>371</v>
      </c>
      <c r="E126" s="3" t="s">
        <v>372</v>
      </c>
      <c r="F126" s="3" t="s">
        <v>145</v>
      </c>
      <c r="G126" s="11">
        <v>6</v>
      </c>
      <c r="H126" s="11">
        <v>1</v>
      </c>
      <c r="I126" s="3" t="s">
        <v>56</v>
      </c>
      <c r="J126" s="3" t="s">
        <v>1842</v>
      </c>
      <c r="K126" s="3">
        <v>16418</v>
      </c>
      <c r="L126" s="11">
        <v>3</v>
      </c>
      <c r="M126" s="11">
        <v>0</v>
      </c>
      <c r="N126" s="3" t="s">
        <v>256</v>
      </c>
      <c r="O126" s="3" t="s">
        <v>245</v>
      </c>
      <c r="P126" s="3" t="s">
        <v>361</v>
      </c>
      <c r="Q126" s="11">
        <v>220</v>
      </c>
      <c r="R126" s="11">
        <v>1325</v>
      </c>
      <c r="S126" s="3" t="s">
        <v>148</v>
      </c>
      <c r="T126" s="4" t="s">
        <v>59</v>
      </c>
      <c r="U126" s="11">
        <f>World_Cup_Matches[[#This Row],[Home Team Goals]]+World_Cup_Matches[[#This Row],[Away Team Goals]]</f>
        <v>7</v>
      </c>
      <c r="V126" s="11">
        <f>World_Cup_Matches[[#This Row],[Home Team Goals]]-World_Cup_Matches[[#This Row],[Away Team Goals]]</f>
        <v>5</v>
      </c>
      <c r="W126" s="4" t="str">
        <f>IF(World_Cup_Matches[[#This Row],[Home Team Goals]]&gt;World_Cup_Matches[[#This Row],[Away Team Goals]],World_Cup_Matches[[#This Row],[Home Team Name]],IF(World_Cup_Matches[[#This Row],[Away Team Goals]]&gt;World_Cup_Matches[[#This Row],[Home Team Goals]], World_Cup_Matches[[#This Row],[Away Team Name]],"Draw"))</f>
        <v>Czechoslovakia</v>
      </c>
      <c r="X126" s="4" t="str">
        <f>IF(World_Cup_Matches[[#This Row],[Home Team Goals]]&gt;World_Cup_Matches[[#This Row],[Away Team Goals]],"Hime Win",IF(World_Cup_Matches[[#This Row],[Away Team Goals]]&gt;World_Cup_Matches[[#This Row],[Home Team Goals]],"Away win","Draw"))</f>
        <v>Hime Win</v>
      </c>
    </row>
    <row r="127" spans="1:24" x14ac:dyDescent="0.2">
      <c r="A127" s="19">
        <v>1958</v>
      </c>
      <c r="B127" s="15" t="s">
        <v>380</v>
      </c>
      <c r="C127" s="3" t="s">
        <v>31</v>
      </c>
      <c r="D127" s="3" t="s">
        <v>330</v>
      </c>
      <c r="E127" s="3" t="s">
        <v>331</v>
      </c>
      <c r="F127" s="3" t="s">
        <v>332</v>
      </c>
      <c r="G127" s="11">
        <v>1</v>
      </c>
      <c r="H127" s="11">
        <v>0</v>
      </c>
      <c r="I127" s="3" t="s">
        <v>223</v>
      </c>
      <c r="J127" s="3" t="s">
        <v>1842</v>
      </c>
      <c r="K127" s="3">
        <v>23182</v>
      </c>
      <c r="L127" s="11">
        <v>0</v>
      </c>
      <c r="M127" s="11">
        <v>0</v>
      </c>
      <c r="N127" s="3" t="s">
        <v>356</v>
      </c>
      <c r="O127" s="3" t="s">
        <v>357</v>
      </c>
      <c r="P127" s="3" t="s">
        <v>361</v>
      </c>
      <c r="Q127" s="11">
        <v>220</v>
      </c>
      <c r="R127" s="11">
        <v>1373</v>
      </c>
      <c r="S127" s="3" t="s">
        <v>335</v>
      </c>
      <c r="T127" s="4" t="s">
        <v>227</v>
      </c>
      <c r="U127" s="11">
        <f>World_Cup_Matches[[#This Row],[Home Team Goals]]+World_Cup_Matches[[#This Row],[Away Team Goals]]</f>
        <v>1</v>
      </c>
      <c r="V127" s="11">
        <f>World_Cup_Matches[[#This Row],[Home Team Goals]]-World_Cup_Matches[[#This Row],[Away Team Goals]]</f>
        <v>1</v>
      </c>
      <c r="W127" s="4" t="str">
        <f>IF(World_Cup_Matches[[#This Row],[Home Team Goals]]&gt;World_Cup_Matches[[#This Row],[Away Team Goals]],World_Cup_Matches[[#This Row],[Home Team Name]],IF(World_Cup_Matches[[#This Row],[Away Team Goals]]&gt;World_Cup_Matches[[#This Row],[Home Team Goals]], World_Cup_Matches[[#This Row],[Away Team Name]],"Draw"))</f>
        <v>Soviet Union</v>
      </c>
      <c r="X127" s="4" t="str">
        <f>IF(World_Cup_Matches[[#This Row],[Home Team Goals]]&gt;World_Cup_Matches[[#This Row],[Away Team Goals]],"Hime Win",IF(World_Cup_Matches[[#This Row],[Away Team Goals]]&gt;World_Cup_Matches[[#This Row],[Home Team Goals]],"Away win","Draw"))</f>
        <v>Hime Win</v>
      </c>
    </row>
    <row r="128" spans="1:24" x14ac:dyDescent="0.2">
      <c r="A128" s="19">
        <v>1958</v>
      </c>
      <c r="B128" s="15" t="s">
        <v>380</v>
      </c>
      <c r="C128" s="3" t="s">
        <v>21</v>
      </c>
      <c r="D128" s="3" t="s">
        <v>336</v>
      </c>
      <c r="E128" s="3" t="s">
        <v>337</v>
      </c>
      <c r="F128" s="3" t="s">
        <v>360</v>
      </c>
      <c r="G128" s="11">
        <v>2</v>
      </c>
      <c r="H128" s="11">
        <v>1</v>
      </c>
      <c r="I128" s="3" t="s">
        <v>145</v>
      </c>
      <c r="J128" s="3" t="s">
        <v>381</v>
      </c>
      <c r="K128" s="3">
        <v>6196</v>
      </c>
      <c r="L128" s="11">
        <v>0</v>
      </c>
      <c r="M128" s="11">
        <v>0</v>
      </c>
      <c r="N128" s="3" t="s">
        <v>355</v>
      </c>
      <c r="O128" s="3" t="s">
        <v>362</v>
      </c>
      <c r="P128" s="3" t="s">
        <v>339</v>
      </c>
      <c r="Q128" s="11">
        <v>220</v>
      </c>
      <c r="R128" s="11">
        <v>1422</v>
      </c>
      <c r="S128" s="3" t="s">
        <v>363</v>
      </c>
      <c r="T128" s="4" t="s">
        <v>148</v>
      </c>
      <c r="U128" s="11">
        <f>World_Cup_Matches[[#This Row],[Home Team Goals]]+World_Cup_Matches[[#This Row],[Away Team Goals]]</f>
        <v>3</v>
      </c>
      <c r="V128" s="11">
        <f>World_Cup_Matches[[#This Row],[Home Team Goals]]-World_Cup_Matches[[#This Row],[Away Team Goals]]</f>
        <v>1</v>
      </c>
      <c r="W128" s="4" t="str">
        <f>IF(World_Cup_Matches[[#This Row],[Home Team Goals]]&gt;World_Cup_Matches[[#This Row],[Away Team Goals]],World_Cup_Matches[[#This Row],[Home Team Name]],IF(World_Cup_Matches[[#This Row],[Away Team Goals]]&gt;World_Cup_Matches[[#This Row],[Home Team Goals]], World_Cup_Matches[[#This Row],[Away Team Name]],"Draw"))</f>
        <v>Northern Ireland</v>
      </c>
      <c r="X128" s="4" t="str">
        <f>IF(World_Cup_Matches[[#This Row],[Home Team Goals]]&gt;World_Cup_Matches[[#This Row],[Away Team Goals]],"Hime Win",IF(World_Cup_Matches[[#This Row],[Away Team Goals]]&gt;World_Cup_Matches[[#This Row],[Home Team Goals]],"Away win","Draw"))</f>
        <v>Hime Win</v>
      </c>
    </row>
    <row r="129" spans="1:24" x14ac:dyDescent="0.2">
      <c r="A129" s="19">
        <v>1958</v>
      </c>
      <c r="B129" s="15" t="s">
        <v>380</v>
      </c>
      <c r="C129" s="3" t="s">
        <v>49</v>
      </c>
      <c r="D129" s="3" t="s">
        <v>324</v>
      </c>
      <c r="E129" s="3" t="s">
        <v>325</v>
      </c>
      <c r="F129" s="3" t="s">
        <v>342</v>
      </c>
      <c r="G129" s="11">
        <v>2</v>
      </c>
      <c r="H129" s="11">
        <v>1</v>
      </c>
      <c r="I129" s="3" t="s">
        <v>99</v>
      </c>
      <c r="J129" s="3" t="s">
        <v>1842</v>
      </c>
      <c r="K129" s="3">
        <v>2823</v>
      </c>
      <c r="L129" s="11">
        <v>0</v>
      </c>
      <c r="M129" s="11">
        <v>1</v>
      </c>
      <c r="N129" s="3" t="s">
        <v>326</v>
      </c>
      <c r="O129" s="3" t="s">
        <v>343</v>
      </c>
      <c r="P129" s="3" t="s">
        <v>328</v>
      </c>
      <c r="Q129" s="11">
        <v>220</v>
      </c>
      <c r="R129" s="11">
        <v>1408</v>
      </c>
      <c r="S129" s="3" t="s">
        <v>345</v>
      </c>
      <c r="T129" s="4" t="s">
        <v>104</v>
      </c>
      <c r="U129" s="11">
        <f>World_Cup_Matches[[#This Row],[Home Team Goals]]+World_Cup_Matches[[#This Row],[Away Team Goals]]</f>
        <v>3</v>
      </c>
      <c r="V129" s="11">
        <f>World_Cup_Matches[[#This Row],[Home Team Goals]]-World_Cup_Matches[[#This Row],[Away Team Goals]]</f>
        <v>1</v>
      </c>
      <c r="W129" s="4" t="str">
        <f>IF(World_Cup_Matches[[#This Row],[Home Team Goals]]&gt;World_Cup_Matches[[#This Row],[Away Team Goals]],World_Cup_Matches[[#This Row],[Home Team Name]],IF(World_Cup_Matches[[#This Row],[Away Team Goals]]&gt;World_Cup_Matches[[#This Row],[Home Team Goals]], World_Cup_Matches[[#This Row],[Away Team Name]],"Draw"))</f>
        <v>Wales</v>
      </c>
      <c r="X129" s="4" t="str">
        <f>IF(World_Cup_Matches[[#This Row],[Home Team Goals]]&gt;World_Cup_Matches[[#This Row],[Away Team Goals]],"Hime Win",IF(World_Cup_Matches[[#This Row],[Away Team Goals]]&gt;World_Cup_Matches[[#This Row],[Home Team Goals]],"Away win","Draw"))</f>
        <v>Hime Win</v>
      </c>
    </row>
    <row r="130" spans="1:24" x14ac:dyDescent="0.2">
      <c r="A130" s="19">
        <v>1958</v>
      </c>
      <c r="B130" s="15" t="s">
        <v>382</v>
      </c>
      <c r="C130" s="3" t="s">
        <v>150</v>
      </c>
      <c r="D130" s="3" t="s">
        <v>330</v>
      </c>
      <c r="E130" s="3" t="s">
        <v>331</v>
      </c>
      <c r="F130" s="3" t="s">
        <v>42</v>
      </c>
      <c r="G130" s="11">
        <v>1</v>
      </c>
      <c r="H130" s="11">
        <v>0</v>
      </c>
      <c r="I130" s="3" t="s">
        <v>342</v>
      </c>
      <c r="J130" s="3" t="s">
        <v>1842</v>
      </c>
      <c r="K130" s="3">
        <v>25923</v>
      </c>
      <c r="L130" s="11">
        <v>0</v>
      </c>
      <c r="M130" s="11">
        <v>0</v>
      </c>
      <c r="N130" s="3" t="s">
        <v>361</v>
      </c>
      <c r="O130" s="3" t="s">
        <v>355</v>
      </c>
      <c r="P130" s="3" t="s">
        <v>356</v>
      </c>
      <c r="Q130" s="11">
        <v>221</v>
      </c>
      <c r="R130" s="11">
        <v>1345</v>
      </c>
      <c r="S130" s="3" t="s">
        <v>47</v>
      </c>
      <c r="T130" s="4" t="s">
        <v>345</v>
      </c>
      <c r="U130" s="11">
        <f>World_Cup_Matches[[#This Row],[Home Team Goals]]+World_Cup_Matches[[#This Row],[Away Team Goals]]</f>
        <v>1</v>
      </c>
      <c r="V130" s="11">
        <f>World_Cup_Matches[[#This Row],[Home Team Goals]]-World_Cup_Matches[[#This Row],[Away Team Goals]]</f>
        <v>1</v>
      </c>
      <c r="W130" s="4" t="str">
        <f>IF(World_Cup_Matches[[#This Row],[Home Team Goals]]&gt;World_Cup_Matches[[#This Row],[Away Team Goals]],World_Cup_Matches[[#This Row],[Home Team Name]],IF(World_Cup_Matches[[#This Row],[Away Team Goals]]&gt;World_Cup_Matches[[#This Row],[Home Team Goals]], World_Cup_Matches[[#This Row],[Away Team Name]],"Draw"))</f>
        <v>Brazil</v>
      </c>
      <c r="X130" s="4" t="str">
        <f>IF(World_Cup_Matches[[#This Row],[Home Team Goals]]&gt;World_Cup_Matches[[#This Row],[Away Team Goals]],"Hime Win",IF(World_Cup_Matches[[#This Row],[Away Team Goals]]&gt;World_Cup_Matches[[#This Row],[Home Team Goals]],"Away win","Draw"))</f>
        <v>Hime Win</v>
      </c>
    </row>
    <row r="131" spans="1:24" x14ac:dyDescent="0.2">
      <c r="A131" s="19">
        <v>1958</v>
      </c>
      <c r="B131" s="15" t="s">
        <v>382</v>
      </c>
      <c r="C131" s="3" t="s">
        <v>150</v>
      </c>
      <c r="D131" s="3" t="s">
        <v>336</v>
      </c>
      <c r="E131" s="3" t="s">
        <v>337</v>
      </c>
      <c r="F131" s="3" t="s">
        <v>285</v>
      </c>
      <c r="G131" s="11">
        <v>1</v>
      </c>
      <c r="H131" s="11">
        <v>0</v>
      </c>
      <c r="I131" s="3" t="s">
        <v>41</v>
      </c>
      <c r="J131" s="3" t="s">
        <v>1842</v>
      </c>
      <c r="K131" s="3">
        <v>20055</v>
      </c>
      <c r="L131" s="11">
        <v>1</v>
      </c>
      <c r="M131" s="11">
        <v>0</v>
      </c>
      <c r="N131" s="3" t="s">
        <v>278</v>
      </c>
      <c r="O131" s="3" t="s">
        <v>362</v>
      </c>
      <c r="P131" s="3" t="s">
        <v>338</v>
      </c>
      <c r="Q131" s="11">
        <v>221</v>
      </c>
      <c r="R131" s="11">
        <v>1392</v>
      </c>
      <c r="S131" s="3" t="s">
        <v>289</v>
      </c>
      <c r="T131" s="4" t="s">
        <v>46</v>
      </c>
      <c r="U131" s="11">
        <f>World_Cup_Matches[[#This Row],[Home Team Goals]]+World_Cup_Matches[[#This Row],[Away Team Goals]]</f>
        <v>1</v>
      </c>
      <c r="V131" s="11">
        <f>World_Cup_Matches[[#This Row],[Home Team Goals]]-World_Cup_Matches[[#This Row],[Away Team Goals]]</f>
        <v>1</v>
      </c>
      <c r="W131" s="4" t="str">
        <f>IF(World_Cup_Matches[[#This Row],[Home Team Goals]]&gt;World_Cup_Matches[[#This Row],[Away Team Goals]],World_Cup_Matches[[#This Row],[Home Team Name]],IF(World_Cup_Matches[[#This Row],[Away Team Goals]]&gt;World_Cup_Matches[[#This Row],[Home Team Goals]], World_Cup_Matches[[#This Row],[Away Team Name]],"Draw"))</f>
        <v>Germany FR</v>
      </c>
      <c r="X131" s="4" t="str">
        <f>IF(World_Cup_Matches[[#This Row],[Home Team Goals]]&gt;World_Cup_Matches[[#This Row],[Away Team Goals]],"Hime Win",IF(World_Cup_Matches[[#This Row],[Away Team Goals]]&gt;World_Cup_Matches[[#This Row],[Home Team Goals]],"Away win","Draw"))</f>
        <v>Hime Win</v>
      </c>
    </row>
    <row r="132" spans="1:24" x14ac:dyDescent="0.2">
      <c r="A132" s="19">
        <v>1958</v>
      </c>
      <c r="B132" s="15" t="s">
        <v>382</v>
      </c>
      <c r="C132" s="3" t="s">
        <v>150</v>
      </c>
      <c r="D132" s="3" t="s">
        <v>324</v>
      </c>
      <c r="E132" s="3" t="s">
        <v>325</v>
      </c>
      <c r="F132" s="3" t="s">
        <v>117</v>
      </c>
      <c r="G132" s="11">
        <v>2</v>
      </c>
      <c r="H132" s="11">
        <v>0</v>
      </c>
      <c r="I132" s="3" t="s">
        <v>332</v>
      </c>
      <c r="J132" s="3" t="s">
        <v>1842</v>
      </c>
      <c r="K132" s="3">
        <v>31900</v>
      </c>
      <c r="L132" s="11">
        <v>0</v>
      </c>
      <c r="M132" s="11">
        <v>0</v>
      </c>
      <c r="N132" s="3" t="s">
        <v>245</v>
      </c>
      <c r="O132" s="3" t="s">
        <v>349</v>
      </c>
      <c r="P132" s="3" t="s">
        <v>367</v>
      </c>
      <c r="Q132" s="11">
        <v>221</v>
      </c>
      <c r="R132" s="11">
        <v>1437</v>
      </c>
      <c r="S132" s="3" t="s">
        <v>121</v>
      </c>
      <c r="T132" s="4" t="s">
        <v>335</v>
      </c>
      <c r="U132" s="11">
        <f>World_Cup_Matches[[#This Row],[Home Team Goals]]+World_Cup_Matches[[#This Row],[Away Team Goals]]</f>
        <v>2</v>
      </c>
      <c r="V132" s="11">
        <f>World_Cup_Matches[[#This Row],[Home Team Goals]]-World_Cup_Matches[[#This Row],[Away Team Goals]]</f>
        <v>2</v>
      </c>
      <c r="W132" s="4" t="str">
        <f>IF(World_Cup_Matches[[#This Row],[Home Team Goals]]&gt;World_Cup_Matches[[#This Row],[Away Team Goals]],World_Cup_Matches[[#This Row],[Home Team Name]],IF(World_Cup_Matches[[#This Row],[Away Team Goals]]&gt;World_Cup_Matches[[#This Row],[Home Team Goals]], World_Cup_Matches[[#This Row],[Away Team Name]],"Draw"))</f>
        <v>Sweden</v>
      </c>
      <c r="X132" s="4" t="str">
        <f>IF(World_Cup_Matches[[#This Row],[Home Team Goals]]&gt;World_Cup_Matches[[#This Row],[Away Team Goals]],"Hime Win",IF(World_Cup_Matches[[#This Row],[Away Team Goals]]&gt;World_Cup_Matches[[#This Row],[Home Team Goals]],"Away win","Draw"))</f>
        <v>Hime Win</v>
      </c>
    </row>
    <row r="133" spans="1:24" x14ac:dyDescent="0.2">
      <c r="A133" s="19">
        <v>1958</v>
      </c>
      <c r="B133" s="15" t="s">
        <v>382</v>
      </c>
      <c r="C133" s="3" t="s">
        <v>150</v>
      </c>
      <c r="D133" s="3" t="s">
        <v>346</v>
      </c>
      <c r="E133" s="3" t="s">
        <v>347</v>
      </c>
      <c r="F133" s="3" t="s">
        <v>24</v>
      </c>
      <c r="G133" s="11">
        <v>4</v>
      </c>
      <c r="H133" s="11">
        <v>0</v>
      </c>
      <c r="I133" s="3" t="s">
        <v>360</v>
      </c>
      <c r="J133" s="3" t="s">
        <v>1842</v>
      </c>
      <c r="K133" s="3">
        <v>11800</v>
      </c>
      <c r="L133" s="11">
        <v>1</v>
      </c>
      <c r="M133" s="11">
        <v>0</v>
      </c>
      <c r="N133" s="3" t="s">
        <v>348</v>
      </c>
      <c r="O133" s="3" t="s">
        <v>326</v>
      </c>
      <c r="P133" s="3" t="s">
        <v>366</v>
      </c>
      <c r="Q133" s="11">
        <v>221</v>
      </c>
      <c r="R133" s="11">
        <v>1385</v>
      </c>
      <c r="S133" s="3" t="s">
        <v>29</v>
      </c>
      <c r="T133" s="4" t="s">
        <v>363</v>
      </c>
      <c r="U133" s="11">
        <f>World_Cup_Matches[[#This Row],[Home Team Goals]]+World_Cup_Matches[[#This Row],[Away Team Goals]]</f>
        <v>4</v>
      </c>
      <c r="V133" s="11">
        <f>World_Cup_Matches[[#This Row],[Home Team Goals]]-World_Cup_Matches[[#This Row],[Away Team Goals]]</f>
        <v>4</v>
      </c>
      <c r="W133" s="4" t="str">
        <f>IF(World_Cup_Matches[[#This Row],[Home Team Goals]]&gt;World_Cup_Matches[[#This Row],[Away Team Goals]],World_Cup_Matches[[#This Row],[Home Team Name]],IF(World_Cup_Matches[[#This Row],[Away Team Goals]]&gt;World_Cup_Matches[[#This Row],[Home Team Goals]], World_Cup_Matches[[#This Row],[Away Team Name]],"Draw"))</f>
        <v>France</v>
      </c>
      <c r="X133" s="4" t="str">
        <f>IF(World_Cup_Matches[[#This Row],[Home Team Goals]]&gt;World_Cup_Matches[[#This Row],[Away Team Goals]],"Hime Win",IF(World_Cup_Matches[[#This Row],[Away Team Goals]]&gt;World_Cup_Matches[[#This Row],[Home Team Goals]],"Away win","Draw"))</f>
        <v>Hime Win</v>
      </c>
    </row>
    <row r="134" spans="1:24" x14ac:dyDescent="0.2">
      <c r="A134" s="19">
        <v>1958</v>
      </c>
      <c r="B134" s="15" t="s">
        <v>383</v>
      </c>
      <c r="C134" s="3" t="s">
        <v>83</v>
      </c>
      <c r="D134" s="3" t="s">
        <v>330</v>
      </c>
      <c r="E134" s="3" t="s">
        <v>331</v>
      </c>
      <c r="F134" s="3" t="s">
        <v>117</v>
      </c>
      <c r="G134" s="11">
        <v>3</v>
      </c>
      <c r="H134" s="11">
        <v>1</v>
      </c>
      <c r="I134" s="3" t="s">
        <v>285</v>
      </c>
      <c r="J134" s="3" t="s">
        <v>1842</v>
      </c>
      <c r="K134" s="3">
        <v>49471</v>
      </c>
      <c r="L134" s="11">
        <v>1</v>
      </c>
      <c r="M134" s="11">
        <v>1</v>
      </c>
      <c r="N134" s="3" t="s">
        <v>287</v>
      </c>
      <c r="O134" s="3" t="s">
        <v>361</v>
      </c>
      <c r="P134" s="3" t="s">
        <v>256</v>
      </c>
      <c r="Q134" s="11">
        <v>488</v>
      </c>
      <c r="R134" s="11">
        <v>1390</v>
      </c>
      <c r="S134" s="3" t="s">
        <v>121</v>
      </c>
      <c r="T134" s="4" t="s">
        <v>289</v>
      </c>
      <c r="U134" s="11">
        <f>World_Cup_Matches[[#This Row],[Home Team Goals]]+World_Cup_Matches[[#This Row],[Away Team Goals]]</f>
        <v>4</v>
      </c>
      <c r="V134" s="11">
        <f>World_Cup_Matches[[#This Row],[Home Team Goals]]-World_Cup_Matches[[#This Row],[Away Team Goals]]</f>
        <v>2</v>
      </c>
      <c r="W134" s="4" t="str">
        <f>IF(World_Cup_Matches[[#This Row],[Home Team Goals]]&gt;World_Cup_Matches[[#This Row],[Away Team Goals]],World_Cup_Matches[[#This Row],[Home Team Name]],IF(World_Cup_Matches[[#This Row],[Away Team Goals]]&gt;World_Cup_Matches[[#This Row],[Home Team Goals]], World_Cup_Matches[[#This Row],[Away Team Name]],"Draw"))</f>
        <v>Sweden</v>
      </c>
      <c r="X134" s="4" t="str">
        <f>IF(World_Cup_Matches[[#This Row],[Home Team Goals]]&gt;World_Cup_Matches[[#This Row],[Away Team Goals]],"Hime Win",IF(World_Cup_Matches[[#This Row],[Away Team Goals]]&gt;World_Cup_Matches[[#This Row],[Home Team Goals]],"Away win","Draw"))</f>
        <v>Hime Win</v>
      </c>
    </row>
    <row r="135" spans="1:24" x14ac:dyDescent="0.2">
      <c r="A135" s="19">
        <v>1958</v>
      </c>
      <c r="B135" s="15" t="s">
        <v>383</v>
      </c>
      <c r="C135" s="3" t="s">
        <v>83</v>
      </c>
      <c r="D135" s="3" t="s">
        <v>324</v>
      </c>
      <c r="E135" s="3" t="s">
        <v>325</v>
      </c>
      <c r="F135" s="3" t="s">
        <v>42</v>
      </c>
      <c r="G135" s="11">
        <v>5</v>
      </c>
      <c r="H135" s="11">
        <v>2</v>
      </c>
      <c r="I135" s="3" t="s">
        <v>24</v>
      </c>
      <c r="J135" s="3" t="s">
        <v>1842</v>
      </c>
      <c r="K135" s="3">
        <v>27100</v>
      </c>
      <c r="L135" s="11">
        <v>2</v>
      </c>
      <c r="M135" s="11">
        <v>1</v>
      </c>
      <c r="N135" s="3" t="s">
        <v>220</v>
      </c>
      <c r="O135" s="3" t="s">
        <v>278</v>
      </c>
      <c r="P135" s="3" t="s">
        <v>245</v>
      </c>
      <c r="Q135" s="11">
        <v>488</v>
      </c>
      <c r="R135" s="11">
        <v>1340</v>
      </c>
      <c r="S135" s="3" t="s">
        <v>47</v>
      </c>
      <c r="T135" s="4" t="s">
        <v>29</v>
      </c>
      <c r="U135" s="11">
        <f>World_Cup_Matches[[#This Row],[Home Team Goals]]+World_Cup_Matches[[#This Row],[Away Team Goals]]</f>
        <v>7</v>
      </c>
      <c r="V135" s="11">
        <f>World_Cup_Matches[[#This Row],[Home Team Goals]]-World_Cup_Matches[[#This Row],[Away Team Goals]]</f>
        <v>3</v>
      </c>
      <c r="W135" s="4" t="str">
        <f>IF(World_Cup_Matches[[#This Row],[Home Team Goals]]&gt;World_Cup_Matches[[#This Row],[Away Team Goals]],World_Cup_Matches[[#This Row],[Home Team Name]],IF(World_Cup_Matches[[#This Row],[Away Team Goals]]&gt;World_Cup_Matches[[#This Row],[Home Team Goals]], World_Cup_Matches[[#This Row],[Away Team Name]],"Draw"))</f>
        <v>Brazil</v>
      </c>
      <c r="X135" s="4" t="str">
        <f>IF(World_Cup_Matches[[#This Row],[Home Team Goals]]&gt;World_Cup_Matches[[#This Row],[Away Team Goals]],"Hime Win",IF(World_Cup_Matches[[#This Row],[Away Team Goals]]&gt;World_Cup_Matches[[#This Row],[Home Team Goals]],"Away win","Draw"))</f>
        <v>Hime Win</v>
      </c>
    </row>
    <row r="136" spans="1:24" x14ac:dyDescent="0.2">
      <c r="A136" s="19">
        <v>1958</v>
      </c>
      <c r="B136" s="15" t="s">
        <v>384</v>
      </c>
      <c r="C136" s="3" t="s">
        <v>155</v>
      </c>
      <c r="D136" s="3" t="s">
        <v>330</v>
      </c>
      <c r="E136" s="3" t="s">
        <v>331</v>
      </c>
      <c r="F136" s="3" t="s">
        <v>24</v>
      </c>
      <c r="G136" s="11">
        <v>6</v>
      </c>
      <c r="H136" s="11">
        <v>3</v>
      </c>
      <c r="I136" s="3" t="s">
        <v>285</v>
      </c>
      <c r="J136" s="3" t="s">
        <v>1842</v>
      </c>
      <c r="K136" s="3">
        <v>32483</v>
      </c>
      <c r="L136" s="11">
        <v>3</v>
      </c>
      <c r="M136" s="11">
        <v>1</v>
      </c>
      <c r="N136" s="3" t="s">
        <v>349</v>
      </c>
      <c r="O136" s="3" t="s">
        <v>256</v>
      </c>
      <c r="P136" s="3" t="s">
        <v>385</v>
      </c>
      <c r="Q136" s="11">
        <v>3483</v>
      </c>
      <c r="R136" s="11">
        <v>1382</v>
      </c>
      <c r="S136" s="3" t="s">
        <v>29</v>
      </c>
      <c r="T136" s="4" t="s">
        <v>289</v>
      </c>
      <c r="U136" s="11">
        <f>World_Cup_Matches[[#This Row],[Home Team Goals]]+World_Cup_Matches[[#This Row],[Away Team Goals]]</f>
        <v>9</v>
      </c>
      <c r="V136" s="11">
        <f>World_Cup_Matches[[#This Row],[Home Team Goals]]-World_Cup_Matches[[#This Row],[Away Team Goals]]</f>
        <v>3</v>
      </c>
      <c r="W136" s="4" t="str">
        <f>IF(World_Cup_Matches[[#This Row],[Home Team Goals]]&gt;World_Cup_Matches[[#This Row],[Away Team Goals]],World_Cup_Matches[[#This Row],[Home Team Name]],IF(World_Cup_Matches[[#This Row],[Away Team Goals]]&gt;World_Cup_Matches[[#This Row],[Home Team Goals]], World_Cup_Matches[[#This Row],[Away Team Name]],"Draw"))</f>
        <v>France</v>
      </c>
      <c r="X136" s="4" t="str">
        <f>IF(World_Cup_Matches[[#This Row],[Home Team Goals]]&gt;World_Cup_Matches[[#This Row],[Away Team Goals]],"Hime Win",IF(World_Cup_Matches[[#This Row],[Away Team Goals]]&gt;World_Cup_Matches[[#This Row],[Home Team Goals]],"Away win","Draw"))</f>
        <v>Hime Win</v>
      </c>
    </row>
    <row r="137" spans="1:24" x14ac:dyDescent="0.2">
      <c r="A137" s="19">
        <v>1958</v>
      </c>
      <c r="B137" s="15" t="s">
        <v>386</v>
      </c>
      <c r="C137" s="3" t="s">
        <v>86</v>
      </c>
      <c r="D137" s="3" t="s">
        <v>324</v>
      </c>
      <c r="E137" s="3" t="s">
        <v>325</v>
      </c>
      <c r="F137" s="3" t="s">
        <v>42</v>
      </c>
      <c r="G137" s="11">
        <v>5</v>
      </c>
      <c r="H137" s="11">
        <v>2</v>
      </c>
      <c r="I137" s="3" t="s">
        <v>117</v>
      </c>
      <c r="J137" s="3" t="s">
        <v>1842</v>
      </c>
      <c r="K137" s="3">
        <v>49737</v>
      </c>
      <c r="L137" s="11">
        <v>2</v>
      </c>
      <c r="M137" s="11">
        <v>1</v>
      </c>
      <c r="N137" s="3" t="s">
        <v>355</v>
      </c>
      <c r="O137" s="3" t="s">
        <v>356</v>
      </c>
      <c r="P137" s="3" t="s">
        <v>348</v>
      </c>
      <c r="Q137" s="11">
        <v>3482</v>
      </c>
      <c r="R137" s="11">
        <v>1343</v>
      </c>
      <c r="S137" s="3" t="s">
        <v>47</v>
      </c>
      <c r="T137" s="4" t="s">
        <v>121</v>
      </c>
      <c r="U137" s="11">
        <f>World_Cup_Matches[[#This Row],[Home Team Goals]]+World_Cup_Matches[[#This Row],[Away Team Goals]]</f>
        <v>7</v>
      </c>
      <c r="V137" s="11">
        <f>World_Cup_Matches[[#This Row],[Home Team Goals]]-World_Cup_Matches[[#This Row],[Away Team Goals]]</f>
        <v>3</v>
      </c>
      <c r="W137" s="4" t="str">
        <f>IF(World_Cup_Matches[[#This Row],[Home Team Goals]]&gt;World_Cup_Matches[[#This Row],[Away Team Goals]],World_Cup_Matches[[#This Row],[Home Team Name]],IF(World_Cup_Matches[[#This Row],[Away Team Goals]]&gt;World_Cup_Matches[[#This Row],[Home Team Goals]], World_Cup_Matches[[#This Row],[Away Team Name]],"Draw"))</f>
        <v>Brazil</v>
      </c>
      <c r="X137" s="4" t="str">
        <f>IF(World_Cup_Matches[[#This Row],[Home Team Goals]]&gt;World_Cup_Matches[[#This Row],[Away Team Goals]],"Hime Win",IF(World_Cup_Matches[[#This Row],[Away Team Goals]]&gt;World_Cup_Matches[[#This Row],[Home Team Goals]],"Away win","Draw"))</f>
        <v>Hime Win</v>
      </c>
    </row>
    <row r="138" spans="1:24" x14ac:dyDescent="0.2">
      <c r="A138" s="19">
        <v>1962</v>
      </c>
      <c r="B138" s="15" t="s">
        <v>387</v>
      </c>
      <c r="C138" s="3" t="s">
        <v>21</v>
      </c>
      <c r="D138" s="3" t="s">
        <v>388</v>
      </c>
      <c r="E138" s="3" t="s">
        <v>389</v>
      </c>
      <c r="F138" s="3" t="s">
        <v>72</v>
      </c>
      <c r="G138" s="11">
        <v>2</v>
      </c>
      <c r="H138" s="11">
        <v>1</v>
      </c>
      <c r="I138" s="3" t="s">
        <v>390</v>
      </c>
      <c r="J138" s="3" t="s">
        <v>1842</v>
      </c>
      <c r="K138" s="3">
        <v>7908</v>
      </c>
      <c r="L138" s="11">
        <v>0</v>
      </c>
      <c r="M138" s="11">
        <v>1</v>
      </c>
      <c r="N138" s="3" t="s">
        <v>391</v>
      </c>
      <c r="O138" s="3" t="s">
        <v>392</v>
      </c>
      <c r="P138" s="3" t="s">
        <v>393</v>
      </c>
      <c r="Q138" s="11">
        <v>231</v>
      </c>
      <c r="R138" s="11">
        <v>1479</v>
      </c>
      <c r="S138" s="3" t="s">
        <v>73</v>
      </c>
      <c r="T138" s="4" t="s">
        <v>394</v>
      </c>
      <c r="U138" s="11">
        <f>World_Cup_Matches[[#This Row],[Home Team Goals]]+World_Cup_Matches[[#This Row],[Away Team Goals]]</f>
        <v>3</v>
      </c>
      <c r="V138" s="11">
        <f>World_Cup_Matches[[#This Row],[Home Team Goals]]-World_Cup_Matches[[#This Row],[Away Team Goals]]</f>
        <v>1</v>
      </c>
      <c r="W138" s="4" t="str">
        <f>IF(World_Cup_Matches[[#This Row],[Home Team Goals]]&gt;World_Cup_Matches[[#This Row],[Away Team Goals]],World_Cup_Matches[[#This Row],[Home Team Name]],IF(World_Cup_Matches[[#This Row],[Away Team Goals]]&gt;World_Cup_Matches[[#This Row],[Home Team Goals]], World_Cup_Matches[[#This Row],[Away Team Name]],"Draw"))</f>
        <v>Uruguay</v>
      </c>
      <c r="X138" s="4" t="str">
        <f>IF(World_Cup_Matches[[#This Row],[Home Team Goals]]&gt;World_Cup_Matches[[#This Row],[Away Team Goals]],"Hime Win",IF(World_Cup_Matches[[#This Row],[Away Team Goals]]&gt;World_Cup_Matches[[#This Row],[Home Team Goals]],"Away win","Draw"))</f>
        <v>Hime Win</v>
      </c>
    </row>
    <row r="139" spans="1:24" x14ac:dyDescent="0.2">
      <c r="A139" s="19">
        <v>1962</v>
      </c>
      <c r="B139" s="15" t="s">
        <v>387</v>
      </c>
      <c r="C139" s="3" t="s">
        <v>49</v>
      </c>
      <c r="D139" s="3" t="s">
        <v>395</v>
      </c>
      <c r="E139" s="3" t="s">
        <v>396</v>
      </c>
      <c r="F139" s="3" t="s">
        <v>42</v>
      </c>
      <c r="G139" s="11">
        <v>2</v>
      </c>
      <c r="H139" s="11">
        <v>0</v>
      </c>
      <c r="I139" s="3" t="s">
        <v>25</v>
      </c>
      <c r="J139" s="3" t="s">
        <v>1842</v>
      </c>
      <c r="K139" s="3">
        <v>10484</v>
      </c>
      <c r="L139" s="11">
        <v>0</v>
      </c>
      <c r="M139" s="11">
        <v>0</v>
      </c>
      <c r="N139" s="3" t="s">
        <v>397</v>
      </c>
      <c r="O139" s="3" t="s">
        <v>294</v>
      </c>
      <c r="P139" s="3" t="s">
        <v>398</v>
      </c>
      <c r="Q139" s="11">
        <v>231</v>
      </c>
      <c r="R139" s="11">
        <v>1461</v>
      </c>
      <c r="S139" s="3" t="s">
        <v>47</v>
      </c>
      <c r="T139" s="4" t="s">
        <v>30</v>
      </c>
      <c r="U139" s="11">
        <f>World_Cup_Matches[[#This Row],[Home Team Goals]]+World_Cup_Matches[[#This Row],[Away Team Goals]]</f>
        <v>2</v>
      </c>
      <c r="V139" s="11">
        <f>World_Cup_Matches[[#This Row],[Home Team Goals]]-World_Cup_Matches[[#This Row],[Away Team Goals]]</f>
        <v>2</v>
      </c>
      <c r="W139" s="4" t="str">
        <f>IF(World_Cup_Matches[[#This Row],[Home Team Goals]]&gt;World_Cup_Matches[[#This Row],[Away Team Goals]],World_Cup_Matches[[#This Row],[Home Team Name]],IF(World_Cup_Matches[[#This Row],[Away Team Goals]]&gt;World_Cup_Matches[[#This Row],[Home Team Goals]], World_Cup_Matches[[#This Row],[Away Team Name]],"Draw"))</f>
        <v>Brazil</v>
      </c>
      <c r="X139" s="4" t="str">
        <f>IF(World_Cup_Matches[[#This Row],[Home Team Goals]]&gt;World_Cup_Matches[[#This Row],[Away Team Goals]],"Hime Win",IF(World_Cup_Matches[[#This Row],[Away Team Goals]]&gt;World_Cup_Matches[[#This Row],[Home Team Goals]],"Away win","Draw"))</f>
        <v>Hime Win</v>
      </c>
    </row>
    <row r="140" spans="1:24" x14ac:dyDescent="0.2">
      <c r="A140" s="19">
        <v>1962</v>
      </c>
      <c r="B140" s="15" t="s">
        <v>387</v>
      </c>
      <c r="C140" s="3" t="s">
        <v>31</v>
      </c>
      <c r="D140" s="3" t="s">
        <v>399</v>
      </c>
      <c r="E140" s="3" t="s">
        <v>400</v>
      </c>
      <c r="F140" s="3" t="s">
        <v>56</v>
      </c>
      <c r="G140" s="11">
        <v>1</v>
      </c>
      <c r="H140" s="11">
        <v>0</v>
      </c>
      <c r="I140" s="3" t="s">
        <v>401</v>
      </c>
      <c r="J140" s="3" t="s">
        <v>1842</v>
      </c>
      <c r="K140" s="3">
        <v>7134</v>
      </c>
      <c r="L140" s="11">
        <v>1</v>
      </c>
      <c r="M140" s="11">
        <v>0</v>
      </c>
      <c r="N140" s="3" t="s">
        <v>348</v>
      </c>
      <c r="O140" s="3" t="s">
        <v>402</v>
      </c>
      <c r="P140" s="3" t="s">
        <v>403</v>
      </c>
      <c r="Q140" s="11">
        <v>231</v>
      </c>
      <c r="R140" s="11">
        <v>1447</v>
      </c>
      <c r="S140" s="3" t="s">
        <v>59</v>
      </c>
      <c r="T140" s="4" t="s">
        <v>404</v>
      </c>
      <c r="U140" s="11">
        <f>World_Cup_Matches[[#This Row],[Home Team Goals]]+World_Cup_Matches[[#This Row],[Away Team Goals]]</f>
        <v>1</v>
      </c>
      <c r="V140" s="11">
        <f>World_Cup_Matches[[#This Row],[Home Team Goals]]-World_Cup_Matches[[#This Row],[Away Team Goals]]</f>
        <v>1</v>
      </c>
      <c r="W140" s="4" t="str">
        <f>IF(World_Cup_Matches[[#This Row],[Home Team Goals]]&gt;World_Cup_Matches[[#This Row],[Away Team Goals]],World_Cup_Matches[[#This Row],[Home Team Name]],IF(World_Cup_Matches[[#This Row],[Away Team Goals]]&gt;World_Cup_Matches[[#This Row],[Home Team Goals]], World_Cup_Matches[[#This Row],[Away Team Name]],"Draw"))</f>
        <v>Argentina</v>
      </c>
      <c r="X140" s="4" t="str">
        <f>IF(World_Cup_Matches[[#This Row],[Home Team Goals]]&gt;World_Cup_Matches[[#This Row],[Away Team Goals]],"Hime Win",IF(World_Cup_Matches[[#This Row],[Away Team Goals]]&gt;World_Cup_Matches[[#This Row],[Home Team Goals]],"Away win","Draw"))</f>
        <v>Hime Win</v>
      </c>
    </row>
    <row r="141" spans="1:24" x14ac:dyDescent="0.2">
      <c r="A141" s="19">
        <v>1962</v>
      </c>
      <c r="B141" s="15" t="s">
        <v>387</v>
      </c>
      <c r="C141" s="3" t="s">
        <v>40</v>
      </c>
      <c r="D141" s="3" t="s">
        <v>405</v>
      </c>
      <c r="E141" s="3" t="s">
        <v>406</v>
      </c>
      <c r="F141" s="3" t="s">
        <v>61</v>
      </c>
      <c r="G141" s="11">
        <v>3</v>
      </c>
      <c r="H141" s="11">
        <v>1</v>
      </c>
      <c r="I141" s="3" t="s">
        <v>108</v>
      </c>
      <c r="J141" s="3" t="s">
        <v>1842</v>
      </c>
      <c r="K141" s="3">
        <v>65006</v>
      </c>
      <c r="L141" s="11">
        <v>1</v>
      </c>
      <c r="M141" s="11">
        <v>1</v>
      </c>
      <c r="N141" s="3" t="s">
        <v>407</v>
      </c>
      <c r="O141" s="3" t="s">
        <v>408</v>
      </c>
      <c r="P141" s="3" t="s">
        <v>409</v>
      </c>
      <c r="Q141" s="11">
        <v>231</v>
      </c>
      <c r="R141" s="11">
        <v>1473</v>
      </c>
      <c r="S141" s="3" t="s">
        <v>63</v>
      </c>
      <c r="T141" s="4" t="s">
        <v>113</v>
      </c>
      <c r="U141" s="11">
        <f>World_Cup_Matches[[#This Row],[Home Team Goals]]+World_Cup_Matches[[#This Row],[Away Team Goals]]</f>
        <v>4</v>
      </c>
      <c r="V141" s="11">
        <f>World_Cup_Matches[[#This Row],[Home Team Goals]]-World_Cup_Matches[[#This Row],[Away Team Goals]]</f>
        <v>2</v>
      </c>
      <c r="W141" s="4" t="str">
        <f>IF(World_Cup_Matches[[#This Row],[Home Team Goals]]&gt;World_Cup_Matches[[#This Row],[Away Team Goals]],World_Cup_Matches[[#This Row],[Home Team Name]],IF(World_Cup_Matches[[#This Row],[Away Team Goals]]&gt;World_Cup_Matches[[#This Row],[Home Team Goals]], World_Cup_Matches[[#This Row],[Away Team Name]],"Draw"))</f>
        <v>Chile</v>
      </c>
      <c r="X141" s="4" t="str">
        <f>IF(World_Cup_Matches[[#This Row],[Home Team Goals]]&gt;World_Cup_Matches[[#This Row],[Away Team Goals]],"Hime Win",IF(World_Cup_Matches[[#This Row],[Away Team Goals]]&gt;World_Cup_Matches[[#This Row],[Home Team Goals]],"Away win","Draw"))</f>
        <v>Hime Win</v>
      </c>
    </row>
    <row r="142" spans="1:24" x14ac:dyDescent="0.2">
      <c r="A142" s="19">
        <v>1962</v>
      </c>
      <c r="B142" s="15" t="s">
        <v>410</v>
      </c>
      <c r="C142" s="3" t="s">
        <v>21</v>
      </c>
      <c r="D142" s="3" t="s">
        <v>388</v>
      </c>
      <c r="E142" s="3" t="s">
        <v>389</v>
      </c>
      <c r="F142" s="3" t="s">
        <v>332</v>
      </c>
      <c r="G142" s="11">
        <v>2</v>
      </c>
      <c r="H142" s="11">
        <v>0</v>
      </c>
      <c r="I142" s="3" t="s">
        <v>41</v>
      </c>
      <c r="J142" s="3" t="s">
        <v>1842</v>
      </c>
      <c r="K142" s="3">
        <v>9622</v>
      </c>
      <c r="L142" s="11">
        <v>0</v>
      </c>
      <c r="M142" s="11">
        <v>0</v>
      </c>
      <c r="N142" s="3" t="s">
        <v>356</v>
      </c>
      <c r="O142" s="3" t="s">
        <v>392</v>
      </c>
      <c r="P142" s="3" t="s">
        <v>411</v>
      </c>
      <c r="Q142" s="11">
        <v>231</v>
      </c>
      <c r="R142" s="11">
        <v>1563</v>
      </c>
      <c r="S142" s="3" t="s">
        <v>335</v>
      </c>
      <c r="T142" s="4" t="s">
        <v>46</v>
      </c>
      <c r="U142" s="11">
        <f>World_Cup_Matches[[#This Row],[Home Team Goals]]+World_Cup_Matches[[#This Row],[Away Team Goals]]</f>
        <v>2</v>
      </c>
      <c r="V142" s="11">
        <f>World_Cup_Matches[[#This Row],[Home Team Goals]]-World_Cup_Matches[[#This Row],[Away Team Goals]]</f>
        <v>2</v>
      </c>
      <c r="W142" s="4" t="str">
        <f>IF(World_Cup_Matches[[#This Row],[Home Team Goals]]&gt;World_Cup_Matches[[#This Row],[Away Team Goals]],World_Cup_Matches[[#This Row],[Home Team Name]],IF(World_Cup_Matches[[#This Row],[Away Team Goals]]&gt;World_Cup_Matches[[#This Row],[Home Team Goals]], World_Cup_Matches[[#This Row],[Away Team Name]],"Draw"))</f>
        <v>Soviet Union</v>
      </c>
      <c r="X142" s="4" t="str">
        <f>IF(World_Cup_Matches[[#This Row],[Home Team Goals]]&gt;World_Cup_Matches[[#This Row],[Away Team Goals]],"Hime Win",IF(World_Cup_Matches[[#This Row],[Away Team Goals]]&gt;World_Cup_Matches[[#This Row],[Home Team Goals]],"Away win","Draw"))</f>
        <v>Hime Win</v>
      </c>
    </row>
    <row r="143" spans="1:24" x14ac:dyDescent="0.2">
      <c r="A143" s="19">
        <v>1962</v>
      </c>
      <c r="B143" s="15" t="s">
        <v>410</v>
      </c>
      <c r="C143" s="3" t="s">
        <v>49</v>
      </c>
      <c r="D143" s="3" t="s">
        <v>395</v>
      </c>
      <c r="E143" s="3" t="s">
        <v>396</v>
      </c>
      <c r="F143" s="3" t="s">
        <v>145</v>
      </c>
      <c r="G143" s="11">
        <v>1</v>
      </c>
      <c r="H143" s="11">
        <v>0</v>
      </c>
      <c r="I143" s="3" t="s">
        <v>131</v>
      </c>
      <c r="J143" s="3" t="s">
        <v>1842</v>
      </c>
      <c r="K143" s="3">
        <v>12700</v>
      </c>
      <c r="L143" s="11">
        <v>0</v>
      </c>
      <c r="M143" s="11">
        <v>0</v>
      </c>
      <c r="N143" s="3" t="s">
        <v>294</v>
      </c>
      <c r="O143" s="3" t="s">
        <v>248</v>
      </c>
      <c r="P143" s="3" t="s">
        <v>412</v>
      </c>
      <c r="Q143" s="11">
        <v>231</v>
      </c>
      <c r="R143" s="11">
        <v>1498</v>
      </c>
      <c r="S143" s="3" t="s">
        <v>148</v>
      </c>
      <c r="T143" s="4" t="s">
        <v>135</v>
      </c>
      <c r="U143" s="11">
        <f>World_Cup_Matches[[#This Row],[Home Team Goals]]+World_Cup_Matches[[#This Row],[Away Team Goals]]</f>
        <v>1</v>
      </c>
      <c r="V143" s="11">
        <f>World_Cup_Matches[[#This Row],[Home Team Goals]]-World_Cup_Matches[[#This Row],[Away Team Goals]]</f>
        <v>1</v>
      </c>
      <c r="W143" s="4" t="str">
        <f>IF(World_Cup_Matches[[#This Row],[Home Team Goals]]&gt;World_Cup_Matches[[#This Row],[Away Team Goals]],World_Cup_Matches[[#This Row],[Home Team Name]],IF(World_Cup_Matches[[#This Row],[Away Team Goals]]&gt;World_Cup_Matches[[#This Row],[Home Team Goals]], World_Cup_Matches[[#This Row],[Away Team Name]],"Draw"))</f>
        <v>Czechoslovakia</v>
      </c>
      <c r="X143" s="4" t="str">
        <f>IF(World_Cup_Matches[[#This Row],[Home Team Goals]]&gt;World_Cup_Matches[[#This Row],[Away Team Goals]],"Hime Win",IF(World_Cup_Matches[[#This Row],[Away Team Goals]]&gt;World_Cup_Matches[[#This Row],[Home Team Goals]],"Away win","Draw"))</f>
        <v>Hime Win</v>
      </c>
    </row>
    <row r="144" spans="1:24" x14ac:dyDescent="0.2">
      <c r="A144" s="19">
        <v>1962</v>
      </c>
      <c r="B144" s="15" t="s">
        <v>410</v>
      </c>
      <c r="C144" s="3" t="s">
        <v>31</v>
      </c>
      <c r="D144" s="3" t="s">
        <v>399</v>
      </c>
      <c r="E144" s="3" t="s">
        <v>400</v>
      </c>
      <c r="F144" s="3" t="s">
        <v>99</v>
      </c>
      <c r="G144" s="11">
        <v>2</v>
      </c>
      <c r="H144" s="11">
        <v>1</v>
      </c>
      <c r="I144" s="3" t="s">
        <v>223</v>
      </c>
      <c r="J144" s="3" t="s">
        <v>1842</v>
      </c>
      <c r="K144" s="3">
        <v>7938</v>
      </c>
      <c r="L144" s="11">
        <v>1</v>
      </c>
      <c r="M144" s="11">
        <v>0</v>
      </c>
      <c r="N144" s="3" t="s">
        <v>413</v>
      </c>
      <c r="O144" s="3" t="s">
        <v>408</v>
      </c>
      <c r="P144" s="3" t="s">
        <v>414</v>
      </c>
      <c r="Q144" s="11">
        <v>231</v>
      </c>
      <c r="R144" s="11">
        <v>1490</v>
      </c>
      <c r="S144" s="3" t="s">
        <v>104</v>
      </c>
      <c r="T144" s="4" t="s">
        <v>227</v>
      </c>
      <c r="U144" s="11">
        <f>World_Cup_Matches[[#This Row],[Home Team Goals]]+World_Cup_Matches[[#This Row],[Away Team Goals]]</f>
        <v>3</v>
      </c>
      <c r="V144" s="11">
        <f>World_Cup_Matches[[#This Row],[Home Team Goals]]-World_Cup_Matches[[#This Row],[Away Team Goals]]</f>
        <v>1</v>
      </c>
      <c r="W144" s="4" t="str">
        <f>IF(World_Cup_Matches[[#This Row],[Home Team Goals]]&gt;World_Cup_Matches[[#This Row],[Away Team Goals]],World_Cup_Matches[[#This Row],[Home Team Name]],IF(World_Cup_Matches[[#This Row],[Away Team Goals]]&gt;World_Cup_Matches[[#This Row],[Home Team Goals]], World_Cup_Matches[[#This Row],[Away Team Name]],"Draw"))</f>
        <v>Hungary</v>
      </c>
      <c r="X144" s="4" t="str">
        <f>IF(World_Cup_Matches[[#This Row],[Home Team Goals]]&gt;World_Cup_Matches[[#This Row],[Away Team Goals]],"Hime Win",IF(World_Cup_Matches[[#This Row],[Away Team Goals]]&gt;World_Cup_Matches[[#This Row],[Home Team Goals]],"Away win","Draw"))</f>
        <v>Hime Win</v>
      </c>
    </row>
    <row r="145" spans="1:24" x14ac:dyDescent="0.2">
      <c r="A145" s="19">
        <v>1962</v>
      </c>
      <c r="B145" s="15" t="s">
        <v>410</v>
      </c>
      <c r="C145" s="3" t="s">
        <v>40</v>
      </c>
      <c r="D145" s="3" t="s">
        <v>405</v>
      </c>
      <c r="E145" s="3" t="s">
        <v>406</v>
      </c>
      <c r="F145" s="3" t="s">
        <v>285</v>
      </c>
      <c r="G145" s="11">
        <v>0</v>
      </c>
      <c r="H145" s="11">
        <v>0</v>
      </c>
      <c r="I145" s="3" t="s">
        <v>138</v>
      </c>
      <c r="J145" s="3" t="s">
        <v>1842</v>
      </c>
      <c r="K145" s="3">
        <v>65440</v>
      </c>
      <c r="L145" s="11">
        <v>0</v>
      </c>
      <c r="M145" s="11">
        <v>0</v>
      </c>
      <c r="N145" s="3" t="s">
        <v>415</v>
      </c>
      <c r="O145" s="3" t="s">
        <v>403</v>
      </c>
      <c r="P145" s="3" t="s">
        <v>416</v>
      </c>
      <c r="Q145" s="11">
        <v>231</v>
      </c>
      <c r="R145" s="11">
        <v>1507</v>
      </c>
      <c r="S145" s="3" t="s">
        <v>289</v>
      </c>
      <c r="T145" s="4" t="s">
        <v>142</v>
      </c>
      <c r="U145" s="11">
        <f>World_Cup_Matches[[#This Row],[Home Team Goals]]+World_Cup_Matches[[#This Row],[Away Team Goals]]</f>
        <v>0</v>
      </c>
      <c r="V145" s="11">
        <f>World_Cup_Matches[[#This Row],[Home Team Goals]]-World_Cup_Matches[[#This Row],[Away Team Goals]]</f>
        <v>0</v>
      </c>
      <c r="W145" s="4" t="str">
        <f>IF(World_Cup_Matches[[#This Row],[Home Team Goals]]&gt;World_Cup_Matches[[#This Row],[Away Team Goals]],World_Cup_Matches[[#This Row],[Home Team Name]],IF(World_Cup_Matches[[#This Row],[Away Team Goals]]&gt;World_Cup_Matches[[#This Row],[Home Team Goals]], World_Cup_Matches[[#This Row],[Away Team Name]],"Draw"))</f>
        <v>Draw</v>
      </c>
      <c r="X145" s="4" t="str">
        <f>IF(World_Cup_Matches[[#This Row],[Home Team Goals]]&gt;World_Cup_Matches[[#This Row],[Away Team Goals]],"Hime Win",IF(World_Cup_Matches[[#This Row],[Away Team Goals]]&gt;World_Cup_Matches[[#This Row],[Home Team Goals]],"Away win","Draw"))</f>
        <v>Draw</v>
      </c>
    </row>
    <row r="146" spans="1:24" x14ac:dyDescent="0.2">
      <c r="A146" s="19">
        <v>1962</v>
      </c>
      <c r="B146" s="15" t="s">
        <v>417</v>
      </c>
      <c r="C146" s="3" t="s">
        <v>21</v>
      </c>
      <c r="D146" s="3" t="s">
        <v>388</v>
      </c>
      <c r="E146" s="3" t="s">
        <v>389</v>
      </c>
      <c r="F146" s="3" t="s">
        <v>41</v>
      </c>
      <c r="G146" s="11">
        <v>3</v>
      </c>
      <c r="H146" s="11">
        <v>1</v>
      </c>
      <c r="I146" s="3" t="s">
        <v>72</v>
      </c>
      <c r="J146" s="3" t="s">
        <v>1842</v>
      </c>
      <c r="K146" s="3">
        <v>8829</v>
      </c>
      <c r="L146" s="11">
        <v>2</v>
      </c>
      <c r="M146" s="11">
        <v>1</v>
      </c>
      <c r="N146" s="3" t="s">
        <v>393</v>
      </c>
      <c r="O146" s="3" t="s">
        <v>356</v>
      </c>
      <c r="P146" s="3" t="s">
        <v>418</v>
      </c>
      <c r="Q146" s="11">
        <v>231</v>
      </c>
      <c r="R146" s="11">
        <v>1564</v>
      </c>
      <c r="S146" s="3" t="s">
        <v>46</v>
      </c>
      <c r="T146" s="4" t="s">
        <v>73</v>
      </c>
      <c r="U146" s="11">
        <f>World_Cup_Matches[[#This Row],[Home Team Goals]]+World_Cup_Matches[[#This Row],[Away Team Goals]]</f>
        <v>4</v>
      </c>
      <c r="V146" s="11">
        <f>World_Cup_Matches[[#This Row],[Home Team Goals]]-World_Cup_Matches[[#This Row],[Away Team Goals]]</f>
        <v>2</v>
      </c>
      <c r="W146" s="4" t="str">
        <f>IF(World_Cup_Matches[[#This Row],[Home Team Goals]]&gt;World_Cup_Matches[[#This Row],[Away Team Goals]],World_Cup_Matches[[#This Row],[Home Team Name]],IF(World_Cup_Matches[[#This Row],[Away Team Goals]]&gt;World_Cup_Matches[[#This Row],[Home Team Goals]], World_Cup_Matches[[#This Row],[Away Team Name]],"Draw"))</f>
        <v>Yugoslavia</v>
      </c>
      <c r="X146" s="4" t="str">
        <f>IF(World_Cup_Matches[[#This Row],[Home Team Goals]]&gt;World_Cup_Matches[[#This Row],[Away Team Goals]],"Hime Win",IF(World_Cup_Matches[[#This Row],[Away Team Goals]]&gt;World_Cup_Matches[[#This Row],[Home Team Goals]],"Away win","Draw"))</f>
        <v>Hime Win</v>
      </c>
    </row>
    <row r="147" spans="1:24" x14ac:dyDescent="0.2">
      <c r="A147" s="19">
        <v>1962</v>
      </c>
      <c r="B147" s="15" t="s">
        <v>417</v>
      </c>
      <c r="C147" s="3" t="s">
        <v>49</v>
      </c>
      <c r="D147" s="3" t="s">
        <v>395</v>
      </c>
      <c r="E147" s="3" t="s">
        <v>396</v>
      </c>
      <c r="F147" s="3" t="s">
        <v>42</v>
      </c>
      <c r="G147" s="11">
        <v>0</v>
      </c>
      <c r="H147" s="11">
        <v>0</v>
      </c>
      <c r="I147" s="3" t="s">
        <v>145</v>
      </c>
      <c r="J147" s="3" t="s">
        <v>1842</v>
      </c>
      <c r="K147" s="3">
        <v>14903</v>
      </c>
      <c r="L147" s="11">
        <v>0</v>
      </c>
      <c r="M147" s="11">
        <v>0</v>
      </c>
      <c r="N147" s="3" t="s">
        <v>398</v>
      </c>
      <c r="O147" s="3" t="s">
        <v>419</v>
      </c>
      <c r="P147" s="3" t="s">
        <v>397</v>
      </c>
      <c r="Q147" s="11">
        <v>231</v>
      </c>
      <c r="R147" s="11">
        <v>1462</v>
      </c>
      <c r="S147" s="3" t="s">
        <v>47</v>
      </c>
      <c r="T147" s="4" t="s">
        <v>148</v>
      </c>
      <c r="U147" s="11">
        <f>World_Cup_Matches[[#This Row],[Home Team Goals]]+World_Cup_Matches[[#This Row],[Away Team Goals]]</f>
        <v>0</v>
      </c>
      <c r="V147" s="11">
        <f>World_Cup_Matches[[#This Row],[Home Team Goals]]-World_Cup_Matches[[#This Row],[Away Team Goals]]</f>
        <v>0</v>
      </c>
      <c r="W147" s="4" t="str">
        <f>IF(World_Cup_Matches[[#This Row],[Home Team Goals]]&gt;World_Cup_Matches[[#This Row],[Away Team Goals]],World_Cup_Matches[[#This Row],[Home Team Name]],IF(World_Cup_Matches[[#This Row],[Away Team Goals]]&gt;World_Cup_Matches[[#This Row],[Home Team Goals]], World_Cup_Matches[[#This Row],[Away Team Name]],"Draw"))</f>
        <v>Draw</v>
      </c>
      <c r="X147" s="4" t="str">
        <f>IF(World_Cup_Matches[[#This Row],[Home Team Goals]]&gt;World_Cup_Matches[[#This Row],[Away Team Goals]],"Hime Win",IF(World_Cup_Matches[[#This Row],[Away Team Goals]]&gt;World_Cup_Matches[[#This Row],[Home Team Goals]],"Away win","Draw"))</f>
        <v>Draw</v>
      </c>
    </row>
    <row r="148" spans="1:24" x14ac:dyDescent="0.2">
      <c r="A148" s="19">
        <v>1962</v>
      </c>
      <c r="B148" s="15" t="s">
        <v>417</v>
      </c>
      <c r="C148" s="3" t="s">
        <v>31</v>
      </c>
      <c r="D148" s="3" t="s">
        <v>399</v>
      </c>
      <c r="E148" s="3" t="s">
        <v>400</v>
      </c>
      <c r="F148" s="3" t="s">
        <v>223</v>
      </c>
      <c r="G148" s="11">
        <v>3</v>
      </c>
      <c r="H148" s="11">
        <v>1</v>
      </c>
      <c r="I148" s="3" t="s">
        <v>56</v>
      </c>
      <c r="J148" s="3" t="s">
        <v>1842</v>
      </c>
      <c r="K148" s="3">
        <v>9794</v>
      </c>
      <c r="L148" s="11">
        <v>2</v>
      </c>
      <c r="M148" s="11">
        <v>0</v>
      </c>
      <c r="N148" s="3" t="s">
        <v>326</v>
      </c>
      <c r="O148" s="3" t="s">
        <v>420</v>
      </c>
      <c r="P148" s="3" t="s">
        <v>403</v>
      </c>
      <c r="Q148" s="11">
        <v>231</v>
      </c>
      <c r="R148" s="11">
        <v>1450</v>
      </c>
      <c r="S148" s="3" t="s">
        <v>227</v>
      </c>
      <c r="T148" s="4" t="s">
        <v>59</v>
      </c>
      <c r="U148" s="11">
        <f>World_Cup_Matches[[#This Row],[Home Team Goals]]+World_Cup_Matches[[#This Row],[Away Team Goals]]</f>
        <v>4</v>
      </c>
      <c r="V148" s="11">
        <f>World_Cup_Matches[[#This Row],[Home Team Goals]]-World_Cup_Matches[[#This Row],[Away Team Goals]]</f>
        <v>2</v>
      </c>
      <c r="W148" s="4" t="str">
        <f>IF(World_Cup_Matches[[#This Row],[Home Team Goals]]&gt;World_Cup_Matches[[#This Row],[Away Team Goals]],World_Cup_Matches[[#This Row],[Home Team Name]],IF(World_Cup_Matches[[#This Row],[Away Team Goals]]&gt;World_Cup_Matches[[#This Row],[Home Team Goals]], World_Cup_Matches[[#This Row],[Away Team Name]],"Draw"))</f>
        <v>England</v>
      </c>
      <c r="X148" s="4" t="str">
        <f>IF(World_Cup_Matches[[#This Row],[Home Team Goals]]&gt;World_Cup_Matches[[#This Row],[Away Team Goals]],"Hime Win",IF(World_Cup_Matches[[#This Row],[Away Team Goals]]&gt;World_Cup_Matches[[#This Row],[Home Team Goals]],"Away win","Draw"))</f>
        <v>Hime Win</v>
      </c>
    </row>
    <row r="149" spans="1:24" x14ac:dyDescent="0.2">
      <c r="A149" s="19">
        <v>1962</v>
      </c>
      <c r="B149" s="15" t="s">
        <v>417</v>
      </c>
      <c r="C149" s="3" t="s">
        <v>40</v>
      </c>
      <c r="D149" s="3" t="s">
        <v>405</v>
      </c>
      <c r="E149" s="3" t="s">
        <v>406</v>
      </c>
      <c r="F149" s="3" t="s">
        <v>61</v>
      </c>
      <c r="G149" s="11">
        <v>2</v>
      </c>
      <c r="H149" s="11">
        <v>0</v>
      </c>
      <c r="I149" s="3" t="s">
        <v>138</v>
      </c>
      <c r="J149" s="3" t="s">
        <v>1842</v>
      </c>
      <c r="K149" s="3">
        <v>66057</v>
      </c>
      <c r="L149" s="11">
        <v>0</v>
      </c>
      <c r="M149" s="11">
        <v>0</v>
      </c>
      <c r="N149" s="3" t="s">
        <v>407</v>
      </c>
      <c r="O149" s="3" t="s">
        <v>414</v>
      </c>
      <c r="P149" s="3" t="s">
        <v>402</v>
      </c>
      <c r="Q149" s="11">
        <v>231</v>
      </c>
      <c r="R149" s="11">
        <v>1472</v>
      </c>
      <c r="S149" s="3" t="s">
        <v>63</v>
      </c>
      <c r="T149" s="4" t="s">
        <v>142</v>
      </c>
      <c r="U149" s="11">
        <f>World_Cup_Matches[[#This Row],[Home Team Goals]]+World_Cup_Matches[[#This Row],[Away Team Goals]]</f>
        <v>2</v>
      </c>
      <c r="V149" s="11">
        <f>World_Cup_Matches[[#This Row],[Home Team Goals]]-World_Cup_Matches[[#This Row],[Away Team Goals]]</f>
        <v>2</v>
      </c>
      <c r="W149" s="4" t="str">
        <f>IF(World_Cup_Matches[[#This Row],[Home Team Goals]]&gt;World_Cup_Matches[[#This Row],[Away Team Goals]],World_Cup_Matches[[#This Row],[Home Team Name]],IF(World_Cup_Matches[[#This Row],[Away Team Goals]]&gt;World_Cup_Matches[[#This Row],[Home Team Goals]], World_Cup_Matches[[#This Row],[Away Team Name]],"Draw"))</f>
        <v>Chile</v>
      </c>
      <c r="X149" s="4" t="str">
        <f>IF(World_Cup_Matches[[#This Row],[Home Team Goals]]&gt;World_Cup_Matches[[#This Row],[Away Team Goals]],"Hime Win",IF(World_Cup_Matches[[#This Row],[Away Team Goals]]&gt;World_Cup_Matches[[#This Row],[Home Team Goals]],"Away win","Draw"))</f>
        <v>Hime Win</v>
      </c>
    </row>
    <row r="150" spans="1:24" x14ac:dyDescent="0.2">
      <c r="A150" s="19">
        <v>1962</v>
      </c>
      <c r="B150" s="15" t="s">
        <v>421</v>
      </c>
      <c r="C150" s="3" t="s">
        <v>21</v>
      </c>
      <c r="D150" s="3" t="s">
        <v>388</v>
      </c>
      <c r="E150" s="3" t="s">
        <v>389</v>
      </c>
      <c r="F150" s="3" t="s">
        <v>332</v>
      </c>
      <c r="G150" s="11">
        <v>4</v>
      </c>
      <c r="H150" s="11">
        <v>4</v>
      </c>
      <c r="I150" s="3" t="s">
        <v>390</v>
      </c>
      <c r="J150" s="3" t="s">
        <v>1842</v>
      </c>
      <c r="K150" s="3">
        <v>8040</v>
      </c>
      <c r="L150" s="11">
        <v>3</v>
      </c>
      <c r="M150" s="11">
        <v>1</v>
      </c>
      <c r="N150" s="3" t="s">
        <v>392</v>
      </c>
      <c r="O150" s="3" t="s">
        <v>391</v>
      </c>
      <c r="P150" s="3" t="s">
        <v>411</v>
      </c>
      <c r="Q150" s="11">
        <v>231</v>
      </c>
      <c r="R150" s="11">
        <v>1478</v>
      </c>
      <c r="S150" s="3" t="s">
        <v>335</v>
      </c>
      <c r="T150" s="4" t="s">
        <v>394</v>
      </c>
      <c r="U150" s="11">
        <f>World_Cup_Matches[[#This Row],[Home Team Goals]]+World_Cup_Matches[[#This Row],[Away Team Goals]]</f>
        <v>8</v>
      </c>
      <c r="V150" s="11">
        <f>World_Cup_Matches[[#This Row],[Home Team Goals]]-World_Cup_Matches[[#This Row],[Away Team Goals]]</f>
        <v>0</v>
      </c>
      <c r="W150" s="4" t="str">
        <f>IF(World_Cup_Matches[[#This Row],[Home Team Goals]]&gt;World_Cup_Matches[[#This Row],[Away Team Goals]],World_Cup_Matches[[#This Row],[Home Team Name]],IF(World_Cup_Matches[[#This Row],[Away Team Goals]]&gt;World_Cup_Matches[[#This Row],[Home Team Goals]], World_Cup_Matches[[#This Row],[Away Team Name]],"Draw"))</f>
        <v>Draw</v>
      </c>
      <c r="X150" s="4" t="str">
        <f>IF(World_Cup_Matches[[#This Row],[Home Team Goals]]&gt;World_Cup_Matches[[#This Row],[Away Team Goals]],"Hime Win",IF(World_Cup_Matches[[#This Row],[Away Team Goals]]&gt;World_Cup_Matches[[#This Row],[Home Team Goals]],"Away win","Draw"))</f>
        <v>Draw</v>
      </c>
    </row>
    <row r="151" spans="1:24" x14ac:dyDescent="0.2">
      <c r="A151" s="19">
        <v>1962</v>
      </c>
      <c r="B151" s="15" t="s">
        <v>421</v>
      </c>
      <c r="C151" s="3" t="s">
        <v>49</v>
      </c>
      <c r="D151" s="3" t="s">
        <v>395</v>
      </c>
      <c r="E151" s="3" t="s">
        <v>396</v>
      </c>
      <c r="F151" s="3" t="s">
        <v>131</v>
      </c>
      <c r="G151" s="11">
        <v>1</v>
      </c>
      <c r="H151" s="11">
        <v>0</v>
      </c>
      <c r="I151" s="3" t="s">
        <v>25</v>
      </c>
      <c r="J151" s="3" t="s">
        <v>1842</v>
      </c>
      <c r="K151" s="3">
        <v>11875</v>
      </c>
      <c r="L151" s="11">
        <v>0</v>
      </c>
      <c r="M151" s="11">
        <v>0</v>
      </c>
      <c r="N151" s="3" t="s">
        <v>422</v>
      </c>
      <c r="O151" s="3" t="s">
        <v>423</v>
      </c>
      <c r="P151" s="3" t="s">
        <v>412</v>
      </c>
      <c r="Q151" s="11">
        <v>231</v>
      </c>
      <c r="R151" s="11">
        <v>1497</v>
      </c>
      <c r="S151" s="3" t="s">
        <v>135</v>
      </c>
      <c r="T151" s="4" t="s">
        <v>30</v>
      </c>
      <c r="U151" s="11">
        <f>World_Cup_Matches[[#This Row],[Home Team Goals]]+World_Cup_Matches[[#This Row],[Away Team Goals]]</f>
        <v>1</v>
      </c>
      <c r="V151" s="11">
        <f>World_Cup_Matches[[#This Row],[Home Team Goals]]-World_Cup_Matches[[#This Row],[Away Team Goals]]</f>
        <v>1</v>
      </c>
      <c r="W151" s="4" t="str">
        <f>IF(World_Cup_Matches[[#This Row],[Home Team Goals]]&gt;World_Cup_Matches[[#This Row],[Away Team Goals]],World_Cup_Matches[[#This Row],[Home Team Name]],IF(World_Cup_Matches[[#This Row],[Away Team Goals]]&gt;World_Cup_Matches[[#This Row],[Home Team Goals]], World_Cup_Matches[[#This Row],[Away Team Name]],"Draw"))</f>
        <v>Spain</v>
      </c>
      <c r="X151" s="4" t="str">
        <f>IF(World_Cup_Matches[[#This Row],[Home Team Goals]]&gt;World_Cup_Matches[[#This Row],[Away Team Goals]],"Hime Win",IF(World_Cup_Matches[[#This Row],[Away Team Goals]]&gt;World_Cup_Matches[[#This Row],[Home Team Goals]],"Away win","Draw"))</f>
        <v>Hime Win</v>
      </c>
    </row>
    <row r="152" spans="1:24" x14ac:dyDescent="0.2">
      <c r="A152" s="19">
        <v>1962</v>
      </c>
      <c r="B152" s="15" t="s">
        <v>421</v>
      </c>
      <c r="C152" s="3" t="s">
        <v>31</v>
      </c>
      <c r="D152" s="3" t="s">
        <v>399</v>
      </c>
      <c r="E152" s="3" t="s">
        <v>400</v>
      </c>
      <c r="F152" s="3" t="s">
        <v>99</v>
      </c>
      <c r="G152" s="11">
        <v>6</v>
      </c>
      <c r="H152" s="11">
        <v>1</v>
      </c>
      <c r="I152" s="3" t="s">
        <v>401</v>
      </c>
      <c r="J152" s="3" t="s">
        <v>1842</v>
      </c>
      <c r="K152" s="3">
        <v>7442</v>
      </c>
      <c r="L152" s="11">
        <v>4</v>
      </c>
      <c r="M152" s="11">
        <v>0</v>
      </c>
      <c r="N152" s="3" t="s">
        <v>348</v>
      </c>
      <c r="O152" s="3" t="s">
        <v>415</v>
      </c>
      <c r="P152" s="3" t="s">
        <v>424</v>
      </c>
      <c r="Q152" s="11">
        <v>231</v>
      </c>
      <c r="R152" s="11">
        <v>1470</v>
      </c>
      <c r="S152" s="3" t="s">
        <v>104</v>
      </c>
      <c r="T152" s="4" t="s">
        <v>404</v>
      </c>
      <c r="U152" s="11">
        <f>World_Cup_Matches[[#This Row],[Home Team Goals]]+World_Cup_Matches[[#This Row],[Away Team Goals]]</f>
        <v>7</v>
      </c>
      <c r="V152" s="11">
        <f>World_Cup_Matches[[#This Row],[Home Team Goals]]-World_Cup_Matches[[#This Row],[Away Team Goals]]</f>
        <v>5</v>
      </c>
      <c r="W152" s="4" t="str">
        <f>IF(World_Cup_Matches[[#This Row],[Home Team Goals]]&gt;World_Cup_Matches[[#This Row],[Away Team Goals]],World_Cup_Matches[[#This Row],[Home Team Name]],IF(World_Cup_Matches[[#This Row],[Away Team Goals]]&gt;World_Cup_Matches[[#This Row],[Home Team Goals]], World_Cup_Matches[[#This Row],[Away Team Name]],"Draw"))</f>
        <v>Hungary</v>
      </c>
      <c r="X152" s="4" t="str">
        <f>IF(World_Cup_Matches[[#This Row],[Home Team Goals]]&gt;World_Cup_Matches[[#This Row],[Away Team Goals]],"Hime Win",IF(World_Cup_Matches[[#This Row],[Away Team Goals]]&gt;World_Cup_Matches[[#This Row],[Home Team Goals]],"Away win","Draw"))</f>
        <v>Hime Win</v>
      </c>
    </row>
    <row r="153" spans="1:24" x14ac:dyDescent="0.2">
      <c r="A153" s="19">
        <v>1962</v>
      </c>
      <c r="B153" s="15" t="s">
        <v>421</v>
      </c>
      <c r="C153" s="3" t="s">
        <v>40</v>
      </c>
      <c r="D153" s="3" t="s">
        <v>405</v>
      </c>
      <c r="E153" s="3" t="s">
        <v>406</v>
      </c>
      <c r="F153" s="3" t="s">
        <v>285</v>
      </c>
      <c r="G153" s="11">
        <v>2</v>
      </c>
      <c r="H153" s="11">
        <v>1</v>
      </c>
      <c r="I153" s="3" t="s">
        <v>108</v>
      </c>
      <c r="J153" s="3" t="s">
        <v>1842</v>
      </c>
      <c r="K153" s="3">
        <v>64922</v>
      </c>
      <c r="L153" s="11">
        <v>1</v>
      </c>
      <c r="M153" s="11">
        <v>0</v>
      </c>
      <c r="N153" s="3" t="s">
        <v>413</v>
      </c>
      <c r="O153" s="3" t="s">
        <v>326</v>
      </c>
      <c r="P153" s="3" t="s">
        <v>416</v>
      </c>
      <c r="Q153" s="11">
        <v>231</v>
      </c>
      <c r="R153" s="11">
        <v>1510</v>
      </c>
      <c r="S153" s="3" t="s">
        <v>289</v>
      </c>
      <c r="T153" s="4" t="s">
        <v>113</v>
      </c>
      <c r="U153" s="11">
        <f>World_Cup_Matches[[#This Row],[Home Team Goals]]+World_Cup_Matches[[#This Row],[Away Team Goals]]</f>
        <v>3</v>
      </c>
      <c r="V153" s="11">
        <f>World_Cup_Matches[[#This Row],[Home Team Goals]]-World_Cup_Matches[[#This Row],[Away Team Goals]]</f>
        <v>1</v>
      </c>
      <c r="W153" s="4" t="str">
        <f>IF(World_Cup_Matches[[#This Row],[Home Team Goals]]&gt;World_Cup_Matches[[#This Row],[Away Team Goals]],World_Cup_Matches[[#This Row],[Home Team Name]],IF(World_Cup_Matches[[#This Row],[Away Team Goals]]&gt;World_Cup_Matches[[#This Row],[Home Team Goals]], World_Cup_Matches[[#This Row],[Away Team Name]],"Draw"))</f>
        <v>Germany FR</v>
      </c>
      <c r="X153" s="4" t="str">
        <f>IF(World_Cup_Matches[[#This Row],[Home Team Goals]]&gt;World_Cup_Matches[[#This Row],[Away Team Goals]],"Hime Win",IF(World_Cup_Matches[[#This Row],[Away Team Goals]]&gt;World_Cup_Matches[[#This Row],[Home Team Goals]],"Away win","Draw"))</f>
        <v>Hime Win</v>
      </c>
    </row>
    <row r="154" spans="1:24" x14ac:dyDescent="0.2">
      <c r="A154" s="19">
        <v>1962</v>
      </c>
      <c r="B154" s="15" t="s">
        <v>425</v>
      </c>
      <c r="C154" s="3" t="s">
        <v>21</v>
      </c>
      <c r="D154" s="3" t="s">
        <v>388</v>
      </c>
      <c r="E154" s="3" t="s">
        <v>389</v>
      </c>
      <c r="F154" s="3" t="s">
        <v>332</v>
      </c>
      <c r="G154" s="11">
        <v>2</v>
      </c>
      <c r="H154" s="11">
        <v>1</v>
      </c>
      <c r="I154" s="3" t="s">
        <v>72</v>
      </c>
      <c r="J154" s="3" t="s">
        <v>1842</v>
      </c>
      <c r="K154" s="3">
        <v>9973</v>
      </c>
      <c r="L154" s="11">
        <v>1</v>
      </c>
      <c r="M154" s="11">
        <v>0</v>
      </c>
      <c r="N154" s="3" t="s">
        <v>418</v>
      </c>
      <c r="O154" s="3" t="s">
        <v>391</v>
      </c>
      <c r="P154" s="3" t="s">
        <v>356</v>
      </c>
      <c r="Q154" s="11">
        <v>231</v>
      </c>
      <c r="R154" s="11">
        <v>1562</v>
      </c>
      <c r="S154" s="3" t="s">
        <v>335</v>
      </c>
      <c r="T154" s="4" t="s">
        <v>73</v>
      </c>
      <c r="U154" s="11">
        <f>World_Cup_Matches[[#This Row],[Home Team Goals]]+World_Cup_Matches[[#This Row],[Away Team Goals]]</f>
        <v>3</v>
      </c>
      <c r="V154" s="11">
        <f>World_Cup_Matches[[#This Row],[Home Team Goals]]-World_Cup_Matches[[#This Row],[Away Team Goals]]</f>
        <v>1</v>
      </c>
      <c r="W154" s="4" t="str">
        <f>IF(World_Cup_Matches[[#This Row],[Home Team Goals]]&gt;World_Cup_Matches[[#This Row],[Away Team Goals]],World_Cup_Matches[[#This Row],[Home Team Name]],IF(World_Cup_Matches[[#This Row],[Away Team Goals]]&gt;World_Cup_Matches[[#This Row],[Home Team Goals]], World_Cup_Matches[[#This Row],[Away Team Name]],"Draw"))</f>
        <v>Soviet Union</v>
      </c>
      <c r="X154" s="4" t="str">
        <f>IF(World_Cup_Matches[[#This Row],[Home Team Goals]]&gt;World_Cup_Matches[[#This Row],[Away Team Goals]],"Hime Win",IF(World_Cup_Matches[[#This Row],[Away Team Goals]]&gt;World_Cup_Matches[[#This Row],[Home Team Goals]],"Away win","Draw"))</f>
        <v>Hime Win</v>
      </c>
    </row>
    <row r="155" spans="1:24" x14ac:dyDescent="0.2">
      <c r="A155" s="19">
        <v>1962</v>
      </c>
      <c r="B155" s="15" t="s">
        <v>425</v>
      </c>
      <c r="C155" s="3" t="s">
        <v>49</v>
      </c>
      <c r="D155" s="3" t="s">
        <v>395</v>
      </c>
      <c r="E155" s="3" t="s">
        <v>396</v>
      </c>
      <c r="F155" s="3" t="s">
        <v>42</v>
      </c>
      <c r="G155" s="11">
        <v>2</v>
      </c>
      <c r="H155" s="11">
        <v>1</v>
      </c>
      <c r="I155" s="3" t="s">
        <v>131</v>
      </c>
      <c r="J155" s="3" t="s">
        <v>1842</v>
      </c>
      <c r="K155" s="3">
        <v>18715</v>
      </c>
      <c r="L155" s="11">
        <v>0</v>
      </c>
      <c r="M155" s="11">
        <v>1</v>
      </c>
      <c r="N155" s="3" t="s">
        <v>241</v>
      </c>
      <c r="O155" s="3" t="s">
        <v>248</v>
      </c>
      <c r="P155" s="3" t="s">
        <v>426</v>
      </c>
      <c r="Q155" s="11">
        <v>231</v>
      </c>
      <c r="R155" s="11">
        <v>1460</v>
      </c>
      <c r="S155" s="3" t="s">
        <v>47</v>
      </c>
      <c r="T155" s="4" t="s">
        <v>135</v>
      </c>
      <c r="U155" s="11">
        <f>World_Cup_Matches[[#This Row],[Home Team Goals]]+World_Cup_Matches[[#This Row],[Away Team Goals]]</f>
        <v>3</v>
      </c>
      <c r="V155" s="11">
        <f>World_Cup_Matches[[#This Row],[Home Team Goals]]-World_Cup_Matches[[#This Row],[Away Team Goals]]</f>
        <v>1</v>
      </c>
      <c r="W155" s="4" t="str">
        <f>IF(World_Cup_Matches[[#This Row],[Home Team Goals]]&gt;World_Cup_Matches[[#This Row],[Away Team Goals]],World_Cup_Matches[[#This Row],[Home Team Name]],IF(World_Cup_Matches[[#This Row],[Away Team Goals]]&gt;World_Cup_Matches[[#This Row],[Home Team Goals]], World_Cup_Matches[[#This Row],[Away Team Name]],"Draw"))</f>
        <v>Brazil</v>
      </c>
      <c r="X155" s="4" t="str">
        <f>IF(World_Cup_Matches[[#This Row],[Home Team Goals]]&gt;World_Cup_Matches[[#This Row],[Away Team Goals]],"Hime Win",IF(World_Cup_Matches[[#This Row],[Away Team Goals]]&gt;World_Cup_Matches[[#This Row],[Home Team Goals]],"Away win","Draw"))</f>
        <v>Hime Win</v>
      </c>
    </row>
    <row r="156" spans="1:24" x14ac:dyDescent="0.2">
      <c r="A156" s="19">
        <v>1962</v>
      </c>
      <c r="B156" s="15" t="s">
        <v>425</v>
      </c>
      <c r="C156" s="3" t="s">
        <v>31</v>
      </c>
      <c r="D156" s="3" t="s">
        <v>399</v>
      </c>
      <c r="E156" s="3" t="s">
        <v>400</v>
      </c>
      <c r="F156" s="3" t="s">
        <v>99</v>
      </c>
      <c r="G156" s="11">
        <v>0</v>
      </c>
      <c r="H156" s="11">
        <v>0</v>
      </c>
      <c r="I156" s="3" t="s">
        <v>56</v>
      </c>
      <c r="J156" s="3" t="s">
        <v>1842</v>
      </c>
      <c r="K156" s="3">
        <v>7945</v>
      </c>
      <c r="L156" s="11">
        <v>0</v>
      </c>
      <c r="M156" s="11">
        <v>0</v>
      </c>
      <c r="N156" s="3" t="s">
        <v>409</v>
      </c>
      <c r="O156" s="3" t="s">
        <v>427</v>
      </c>
      <c r="P156" s="3" t="s">
        <v>348</v>
      </c>
      <c r="Q156" s="11">
        <v>231</v>
      </c>
      <c r="R156" s="11">
        <v>1451</v>
      </c>
      <c r="S156" s="3" t="s">
        <v>104</v>
      </c>
      <c r="T156" s="4" t="s">
        <v>59</v>
      </c>
      <c r="U156" s="11">
        <f>World_Cup_Matches[[#This Row],[Home Team Goals]]+World_Cup_Matches[[#This Row],[Away Team Goals]]</f>
        <v>0</v>
      </c>
      <c r="V156" s="11">
        <f>World_Cup_Matches[[#This Row],[Home Team Goals]]-World_Cup_Matches[[#This Row],[Away Team Goals]]</f>
        <v>0</v>
      </c>
      <c r="W156" s="4" t="str">
        <f>IF(World_Cup_Matches[[#This Row],[Home Team Goals]]&gt;World_Cup_Matches[[#This Row],[Away Team Goals]],World_Cup_Matches[[#This Row],[Home Team Name]],IF(World_Cup_Matches[[#This Row],[Away Team Goals]]&gt;World_Cup_Matches[[#This Row],[Home Team Goals]], World_Cup_Matches[[#This Row],[Away Team Name]],"Draw"))</f>
        <v>Draw</v>
      </c>
      <c r="X156" s="4" t="str">
        <f>IF(World_Cup_Matches[[#This Row],[Home Team Goals]]&gt;World_Cup_Matches[[#This Row],[Away Team Goals]],"Hime Win",IF(World_Cup_Matches[[#This Row],[Away Team Goals]]&gt;World_Cup_Matches[[#This Row],[Home Team Goals]],"Away win","Draw"))</f>
        <v>Draw</v>
      </c>
    </row>
    <row r="157" spans="1:24" x14ac:dyDescent="0.2">
      <c r="A157" s="19">
        <v>1962</v>
      </c>
      <c r="B157" s="15" t="s">
        <v>425</v>
      </c>
      <c r="C157" s="3" t="s">
        <v>40</v>
      </c>
      <c r="D157" s="3" t="s">
        <v>405</v>
      </c>
      <c r="E157" s="3" t="s">
        <v>406</v>
      </c>
      <c r="F157" s="3" t="s">
        <v>285</v>
      </c>
      <c r="G157" s="11">
        <v>2</v>
      </c>
      <c r="H157" s="11">
        <v>0</v>
      </c>
      <c r="I157" s="3" t="s">
        <v>61</v>
      </c>
      <c r="J157" s="3" t="s">
        <v>1842</v>
      </c>
      <c r="K157" s="3">
        <v>67224</v>
      </c>
      <c r="L157" s="11">
        <v>1</v>
      </c>
      <c r="M157" s="11">
        <v>0</v>
      </c>
      <c r="N157" s="3" t="s">
        <v>415</v>
      </c>
      <c r="O157" s="3" t="s">
        <v>407</v>
      </c>
      <c r="P157" s="3" t="s">
        <v>413</v>
      </c>
      <c r="Q157" s="11">
        <v>231</v>
      </c>
      <c r="R157" s="11">
        <v>1471</v>
      </c>
      <c r="S157" s="3" t="s">
        <v>289</v>
      </c>
      <c r="T157" s="4" t="s">
        <v>63</v>
      </c>
      <c r="U157" s="11">
        <f>World_Cup_Matches[[#This Row],[Home Team Goals]]+World_Cup_Matches[[#This Row],[Away Team Goals]]</f>
        <v>2</v>
      </c>
      <c r="V157" s="11">
        <f>World_Cup_Matches[[#This Row],[Home Team Goals]]-World_Cup_Matches[[#This Row],[Away Team Goals]]</f>
        <v>2</v>
      </c>
      <c r="W157" s="4" t="str">
        <f>IF(World_Cup_Matches[[#This Row],[Home Team Goals]]&gt;World_Cup_Matches[[#This Row],[Away Team Goals]],World_Cup_Matches[[#This Row],[Home Team Name]],IF(World_Cup_Matches[[#This Row],[Away Team Goals]]&gt;World_Cup_Matches[[#This Row],[Home Team Goals]], World_Cup_Matches[[#This Row],[Away Team Name]],"Draw"))</f>
        <v>Germany FR</v>
      </c>
      <c r="X157" s="4" t="str">
        <f>IF(World_Cup_Matches[[#This Row],[Home Team Goals]]&gt;World_Cup_Matches[[#This Row],[Away Team Goals]],"Hime Win",IF(World_Cup_Matches[[#This Row],[Away Team Goals]]&gt;World_Cup_Matches[[#This Row],[Home Team Goals]],"Away win","Draw"))</f>
        <v>Hime Win</v>
      </c>
    </row>
    <row r="158" spans="1:24" x14ac:dyDescent="0.2">
      <c r="A158" s="19">
        <v>1962</v>
      </c>
      <c r="B158" s="15" t="s">
        <v>428</v>
      </c>
      <c r="C158" s="3" t="s">
        <v>21</v>
      </c>
      <c r="D158" s="3" t="s">
        <v>388</v>
      </c>
      <c r="E158" s="3" t="s">
        <v>389</v>
      </c>
      <c r="F158" s="3" t="s">
        <v>41</v>
      </c>
      <c r="G158" s="11">
        <v>5</v>
      </c>
      <c r="H158" s="11">
        <v>0</v>
      </c>
      <c r="I158" s="3" t="s">
        <v>390</v>
      </c>
      <c r="J158" s="3" t="s">
        <v>1842</v>
      </c>
      <c r="K158" s="3">
        <v>7167</v>
      </c>
      <c r="L158" s="11">
        <v>2</v>
      </c>
      <c r="M158" s="11">
        <v>0</v>
      </c>
      <c r="N158" s="3" t="s">
        <v>411</v>
      </c>
      <c r="O158" s="3" t="s">
        <v>418</v>
      </c>
      <c r="P158" s="3" t="s">
        <v>393</v>
      </c>
      <c r="Q158" s="11">
        <v>231</v>
      </c>
      <c r="R158" s="11">
        <v>1480</v>
      </c>
      <c r="S158" s="3" t="s">
        <v>46</v>
      </c>
      <c r="T158" s="4" t="s">
        <v>394</v>
      </c>
      <c r="U158" s="11">
        <f>World_Cup_Matches[[#This Row],[Home Team Goals]]+World_Cup_Matches[[#This Row],[Away Team Goals]]</f>
        <v>5</v>
      </c>
      <c r="V158" s="11">
        <f>World_Cup_Matches[[#This Row],[Home Team Goals]]-World_Cup_Matches[[#This Row],[Away Team Goals]]</f>
        <v>5</v>
      </c>
      <c r="W158" s="4" t="str">
        <f>IF(World_Cup_Matches[[#This Row],[Home Team Goals]]&gt;World_Cup_Matches[[#This Row],[Away Team Goals]],World_Cup_Matches[[#This Row],[Home Team Name]],IF(World_Cup_Matches[[#This Row],[Away Team Goals]]&gt;World_Cup_Matches[[#This Row],[Home Team Goals]], World_Cup_Matches[[#This Row],[Away Team Name]],"Draw"))</f>
        <v>Yugoslavia</v>
      </c>
      <c r="X158" s="4" t="str">
        <f>IF(World_Cup_Matches[[#This Row],[Home Team Goals]]&gt;World_Cup_Matches[[#This Row],[Away Team Goals]],"Hime Win",IF(World_Cup_Matches[[#This Row],[Away Team Goals]]&gt;World_Cup_Matches[[#This Row],[Home Team Goals]],"Away win","Draw"))</f>
        <v>Hime Win</v>
      </c>
    </row>
    <row r="159" spans="1:24" x14ac:dyDescent="0.2">
      <c r="A159" s="19">
        <v>1962</v>
      </c>
      <c r="B159" s="15" t="s">
        <v>428</v>
      </c>
      <c r="C159" s="3" t="s">
        <v>49</v>
      </c>
      <c r="D159" s="3" t="s">
        <v>395</v>
      </c>
      <c r="E159" s="3" t="s">
        <v>396</v>
      </c>
      <c r="F159" s="3" t="s">
        <v>25</v>
      </c>
      <c r="G159" s="11">
        <v>3</v>
      </c>
      <c r="H159" s="11">
        <v>1</v>
      </c>
      <c r="I159" s="3" t="s">
        <v>145</v>
      </c>
      <c r="J159" s="3" t="s">
        <v>1842</v>
      </c>
      <c r="K159" s="3">
        <v>10648</v>
      </c>
      <c r="L159" s="11">
        <v>2</v>
      </c>
      <c r="M159" s="11">
        <v>1</v>
      </c>
      <c r="N159" s="3" t="s">
        <v>397</v>
      </c>
      <c r="O159" s="3" t="s">
        <v>422</v>
      </c>
      <c r="P159" s="3" t="s">
        <v>426</v>
      </c>
      <c r="Q159" s="11">
        <v>231</v>
      </c>
      <c r="R159" s="11">
        <v>1544</v>
      </c>
      <c r="S159" s="3" t="s">
        <v>30</v>
      </c>
      <c r="T159" s="4" t="s">
        <v>148</v>
      </c>
      <c r="U159" s="11">
        <f>World_Cup_Matches[[#This Row],[Home Team Goals]]+World_Cup_Matches[[#This Row],[Away Team Goals]]</f>
        <v>4</v>
      </c>
      <c r="V159" s="11">
        <f>World_Cup_Matches[[#This Row],[Home Team Goals]]-World_Cup_Matches[[#This Row],[Away Team Goals]]</f>
        <v>2</v>
      </c>
      <c r="W159" s="4" t="str">
        <f>IF(World_Cup_Matches[[#This Row],[Home Team Goals]]&gt;World_Cup_Matches[[#This Row],[Away Team Goals]],World_Cup_Matches[[#This Row],[Home Team Name]],IF(World_Cup_Matches[[#This Row],[Away Team Goals]]&gt;World_Cup_Matches[[#This Row],[Home Team Goals]], World_Cup_Matches[[#This Row],[Away Team Name]],"Draw"))</f>
        <v>Mexico</v>
      </c>
      <c r="X159" s="4" t="str">
        <f>IF(World_Cup_Matches[[#This Row],[Home Team Goals]]&gt;World_Cup_Matches[[#This Row],[Away Team Goals]],"Hime Win",IF(World_Cup_Matches[[#This Row],[Away Team Goals]]&gt;World_Cup_Matches[[#This Row],[Home Team Goals]],"Away win","Draw"))</f>
        <v>Hime Win</v>
      </c>
    </row>
    <row r="160" spans="1:24" x14ac:dyDescent="0.2">
      <c r="A160" s="19">
        <v>1962</v>
      </c>
      <c r="B160" s="15" t="s">
        <v>428</v>
      </c>
      <c r="C160" s="3" t="s">
        <v>31</v>
      </c>
      <c r="D160" s="3" t="s">
        <v>399</v>
      </c>
      <c r="E160" s="3" t="s">
        <v>400</v>
      </c>
      <c r="F160" s="3" t="s">
        <v>223</v>
      </c>
      <c r="G160" s="11">
        <v>0</v>
      </c>
      <c r="H160" s="11">
        <v>0</v>
      </c>
      <c r="I160" s="3" t="s">
        <v>401</v>
      </c>
      <c r="J160" s="3" t="s">
        <v>1842</v>
      </c>
      <c r="K160" s="3">
        <v>5700</v>
      </c>
      <c r="L160" s="11">
        <v>0</v>
      </c>
      <c r="M160" s="11">
        <v>0</v>
      </c>
      <c r="N160" s="3" t="s">
        <v>408</v>
      </c>
      <c r="O160" s="3" t="s">
        <v>420</v>
      </c>
      <c r="P160" s="3" t="s">
        <v>427</v>
      </c>
      <c r="Q160" s="11">
        <v>231</v>
      </c>
      <c r="R160" s="11">
        <v>1464</v>
      </c>
      <c r="S160" s="3" t="s">
        <v>227</v>
      </c>
      <c r="T160" s="4" t="s">
        <v>404</v>
      </c>
      <c r="U160" s="11">
        <f>World_Cup_Matches[[#This Row],[Home Team Goals]]+World_Cup_Matches[[#This Row],[Away Team Goals]]</f>
        <v>0</v>
      </c>
      <c r="V160" s="11">
        <f>World_Cup_Matches[[#This Row],[Home Team Goals]]-World_Cup_Matches[[#This Row],[Away Team Goals]]</f>
        <v>0</v>
      </c>
      <c r="W160" s="4" t="str">
        <f>IF(World_Cup_Matches[[#This Row],[Home Team Goals]]&gt;World_Cup_Matches[[#This Row],[Away Team Goals]],World_Cup_Matches[[#This Row],[Home Team Name]],IF(World_Cup_Matches[[#This Row],[Away Team Goals]]&gt;World_Cup_Matches[[#This Row],[Home Team Goals]], World_Cup_Matches[[#This Row],[Away Team Name]],"Draw"))</f>
        <v>Draw</v>
      </c>
      <c r="X160" s="4" t="str">
        <f>IF(World_Cup_Matches[[#This Row],[Home Team Goals]]&gt;World_Cup_Matches[[#This Row],[Away Team Goals]],"Hime Win",IF(World_Cup_Matches[[#This Row],[Away Team Goals]]&gt;World_Cup_Matches[[#This Row],[Home Team Goals]],"Away win","Draw"))</f>
        <v>Draw</v>
      </c>
    </row>
    <row r="161" spans="1:24" x14ac:dyDescent="0.2">
      <c r="A161" s="19">
        <v>1962</v>
      </c>
      <c r="B161" s="15" t="s">
        <v>428</v>
      </c>
      <c r="C161" s="3" t="s">
        <v>40</v>
      </c>
      <c r="D161" s="3" t="s">
        <v>405</v>
      </c>
      <c r="E161" s="3" t="s">
        <v>406</v>
      </c>
      <c r="F161" s="3" t="s">
        <v>138</v>
      </c>
      <c r="G161" s="11">
        <v>3</v>
      </c>
      <c r="H161" s="11">
        <v>0</v>
      </c>
      <c r="I161" s="3" t="s">
        <v>108</v>
      </c>
      <c r="J161" s="3" t="s">
        <v>1842</v>
      </c>
      <c r="K161" s="3">
        <v>59828</v>
      </c>
      <c r="L161" s="11">
        <v>1</v>
      </c>
      <c r="M161" s="11">
        <v>0</v>
      </c>
      <c r="N161" s="3" t="s">
        <v>326</v>
      </c>
      <c r="O161" s="3" t="s">
        <v>415</v>
      </c>
      <c r="P161" s="3" t="s">
        <v>429</v>
      </c>
      <c r="Q161" s="11">
        <v>231</v>
      </c>
      <c r="R161" s="11">
        <v>1532</v>
      </c>
      <c r="S161" s="3" t="s">
        <v>142</v>
      </c>
      <c r="T161" s="4" t="s">
        <v>113</v>
      </c>
      <c r="U161" s="11">
        <f>World_Cup_Matches[[#This Row],[Home Team Goals]]+World_Cup_Matches[[#This Row],[Away Team Goals]]</f>
        <v>3</v>
      </c>
      <c r="V161" s="11">
        <f>World_Cup_Matches[[#This Row],[Home Team Goals]]-World_Cup_Matches[[#This Row],[Away Team Goals]]</f>
        <v>3</v>
      </c>
      <c r="W161" s="4" t="str">
        <f>IF(World_Cup_Matches[[#This Row],[Home Team Goals]]&gt;World_Cup_Matches[[#This Row],[Away Team Goals]],World_Cup_Matches[[#This Row],[Home Team Name]],IF(World_Cup_Matches[[#This Row],[Away Team Goals]]&gt;World_Cup_Matches[[#This Row],[Home Team Goals]], World_Cup_Matches[[#This Row],[Away Team Name]],"Draw"))</f>
        <v>Italy</v>
      </c>
      <c r="X161" s="4" t="str">
        <f>IF(World_Cup_Matches[[#This Row],[Home Team Goals]]&gt;World_Cup_Matches[[#This Row],[Away Team Goals]],"Hime Win",IF(World_Cup_Matches[[#This Row],[Away Team Goals]]&gt;World_Cup_Matches[[#This Row],[Home Team Goals]],"Away win","Draw"))</f>
        <v>Hime Win</v>
      </c>
    </row>
    <row r="162" spans="1:24" x14ac:dyDescent="0.2">
      <c r="A162" s="19">
        <v>1962</v>
      </c>
      <c r="B162" s="15" t="s">
        <v>430</v>
      </c>
      <c r="C162" s="3" t="s">
        <v>150</v>
      </c>
      <c r="D162" s="3" t="s">
        <v>388</v>
      </c>
      <c r="E162" s="3" t="s">
        <v>389</v>
      </c>
      <c r="F162" s="3" t="s">
        <v>61</v>
      </c>
      <c r="G162" s="11">
        <v>2</v>
      </c>
      <c r="H162" s="11">
        <v>1</v>
      </c>
      <c r="I162" s="3" t="s">
        <v>332</v>
      </c>
      <c r="J162" s="3" t="s">
        <v>1842</v>
      </c>
      <c r="K162" s="3">
        <v>17268</v>
      </c>
      <c r="L162" s="11">
        <v>2</v>
      </c>
      <c r="M162" s="11">
        <v>1</v>
      </c>
      <c r="N162" s="3" t="s">
        <v>413</v>
      </c>
      <c r="O162" s="3" t="s">
        <v>392</v>
      </c>
      <c r="P162" s="3" t="s">
        <v>393</v>
      </c>
      <c r="Q162" s="11">
        <v>232</v>
      </c>
      <c r="R162" s="11">
        <v>1474</v>
      </c>
      <c r="S162" s="3" t="s">
        <v>63</v>
      </c>
      <c r="T162" s="4" t="s">
        <v>335</v>
      </c>
      <c r="U162" s="11">
        <f>World_Cup_Matches[[#This Row],[Home Team Goals]]+World_Cup_Matches[[#This Row],[Away Team Goals]]</f>
        <v>3</v>
      </c>
      <c r="V162" s="11">
        <f>World_Cup_Matches[[#This Row],[Home Team Goals]]-World_Cup_Matches[[#This Row],[Away Team Goals]]</f>
        <v>1</v>
      </c>
      <c r="W162" s="4" t="str">
        <f>IF(World_Cup_Matches[[#This Row],[Home Team Goals]]&gt;World_Cup_Matches[[#This Row],[Away Team Goals]],World_Cup_Matches[[#This Row],[Home Team Name]],IF(World_Cup_Matches[[#This Row],[Away Team Goals]]&gt;World_Cup_Matches[[#This Row],[Home Team Goals]], World_Cup_Matches[[#This Row],[Away Team Name]],"Draw"))</f>
        <v>Chile</v>
      </c>
      <c r="X162" s="4" t="str">
        <f>IF(World_Cup_Matches[[#This Row],[Home Team Goals]]&gt;World_Cup_Matches[[#This Row],[Away Team Goals]],"Hime Win",IF(World_Cup_Matches[[#This Row],[Away Team Goals]]&gt;World_Cup_Matches[[#This Row],[Home Team Goals]],"Away win","Draw"))</f>
        <v>Hime Win</v>
      </c>
    </row>
    <row r="163" spans="1:24" x14ac:dyDescent="0.2">
      <c r="A163" s="19">
        <v>1962</v>
      </c>
      <c r="B163" s="15" t="s">
        <v>430</v>
      </c>
      <c r="C163" s="3" t="s">
        <v>150</v>
      </c>
      <c r="D163" s="3" t="s">
        <v>395</v>
      </c>
      <c r="E163" s="3" t="s">
        <v>396</v>
      </c>
      <c r="F163" s="3" t="s">
        <v>42</v>
      </c>
      <c r="G163" s="11">
        <v>3</v>
      </c>
      <c r="H163" s="11">
        <v>1</v>
      </c>
      <c r="I163" s="3" t="s">
        <v>223</v>
      </c>
      <c r="J163" s="3" t="s">
        <v>1842</v>
      </c>
      <c r="K163" s="3">
        <v>17736</v>
      </c>
      <c r="L163" s="11">
        <v>1</v>
      </c>
      <c r="M163" s="11">
        <v>1</v>
      </c>
      <c r="N163" s="3" t="s">
        <v>398</v>
      </c>
      <c r="O163" s="3" t="s">
        <v>397</v>
      </c>
      <c r="P163" s="3" t="s">
        <v>241</v>
      </c>
      <c r="Q163" s="11">
        <v>232</v>
      </c>
      <c r="R163" s="11">
        <v>1459</v>
      </c>
      <c r="S163" s="3" t="s">
        <v>47</v>
      </c>
      <c r="T163" s="4" t="s">
        <v>227</v>
      </c>
      <c r="U163" s="11">
        <f>World_Cup_Matches[[#This Row],[Home Team Goals]]+World_Cup_Matches[[#This Row],[Away Team Goals]]</f>
        <v>4</v>
      </c>
      <c r="V163" s="11">
        <f>World_Cup_Matches[[#This Row],[Home Team Goals]]-World_Cup_Matches[[#This Row],[Away Team Goals]]</f>
        <v>2</v>
      </c>
      <c r="W163" s="4" t="str">
        <f>IF(World_Cup_Matches[[#This Row],[Home Team Goals]]&gt;World_Cup_Matches[[#This Row],[Away Team Goals]],World_Cup_Matches[[#This Row],[Home Team Name]],IF(World_Cup_Matches[[#This Row],[Away Team Goals]]&gt;World_Cup_Matches[[#This Row],[Home Team Goals]], World_Cup_Matches[[#This Row],[Away Team Name]],"Draw"))</f>
        <v>Brazil</v>
      </c>
      <c r="X163" s="4" t="str">
        <f>IF(World_Cup_Matches[[#This Row],[Home Team Goals]]&gt;World_Cup_Matches[[#This Row],[Away Team Goals]],"Hime Win",IF(World_Cup_Matches[[#This Row],[Away Team Goals]]&gt;World_Cup_Matches[[#This Row],[Home Team Goals]],"Away win","Draw"))</f>
        <v>Hime Win</v>
      </c>
    </row>
    <row r="164" spans="1:24" x14ac:dyDescent="0.2">
      <c r="A164" s="19">
        <v>1962</v>
      </c>
      <c r="B164" s="15" t="s">
        <v>430</v>
      </c>
      <c r="C164" s="3" t="s">
        <v>150</v>
      </c>
      <c r="D164" s="3" t="s">
        <v>399</v>
      </c>
      <c r="E164" s="3" t="s">
        <v>400</v>
      </c>
      <c r="F164" s="3" t="s">
        <v>145</v>
      </c>
      <c r="G164" s="11">
        <v>1</v>
      </c>
      <c r="H164" s="11">
        <v>0</v>
      </c>
      <c r="I164" s="3" t="s">
        <v>99</v>
      </c>
      <c r="J164" s="3" t="s">
        <v>1842</v>
      </c>
      <c r="K164" s="3">
        <v>11690</v>
      </c>
      <c r="L164" s="11">
        <v>1</v>
      </c>
      <c r="M164" s="11">
        <v>0</v>
      </c>
      <c r="N164" s="3" t="s">
        <v>326</v>
      </c>
      <c r="O164" s="3" t="s">
        <v>402</v>
      </c>
      <c r="P164" s="3" t="s">
        <v>429</v>
      </c>
      <c r="Q164" s="11">
        <v>232</v>
      </c>
      <c r="R164" s="11">
        <v>1525</v>
      </c>
      <c r="S164" s="3" t="s">
        <v>148</v>
      </c>
      <c r="T164" s="4" t="s">
        <v>104</v>
      </c>
      <c r="U164" s="11">
        <f>World_Cup_Matches[[#This Row],[Home Team Goals]]+World_Cup_Matches[[#This Row],[Away Team Goals]]</f>
        <v>1</v>
      </c>
      <c r="V164" s="11">
        <f>World_Cup_Matches[[#This Row],[Home Team Goals]]-World_Cup_Matches[[#This Row],[Away Team Goals]]</f>
        <v>1</v>
      </c>
      <c r="W164" s="4" t="str">
        <f>IF(World_Cup_Matches[[#This Row],[Home Team Goals]]&gt;World_Cup_Matches[[#This Row],[Away Team Goals]],World_Cup_Matches[[#This Row],[Home Team Name]],IF(World_Cup_Matches[[#This Row],[Away Team Goals]]&gt;World_Cup_Matches[[#This Row],[Home Team Goals]], World_Cup_Matches[[#This Row],[Away Team Name]],"Draw"))</f>
        <v>Czechoslovakia</v>
      </c>
      <c r="X164" s="4" t="str">
        <f>IF(World_Cup_Matches[[#This Row],[Home Team Goals]]&gt;World_Cup_Matches[[#This Row],[Away Team Goals]],"Hime Win",IF(World_Cup_Matches[[#This Row],[Away Team Goals]]&gt;World_Cup_Matches[[#This Row],[Home Team Goals]],"Away win","Draw"))</f>
        <v>Hime Win</v>
      </c>
    </row>
    <row r="165" spans="1:24" x14ac:dyDescent="0.2">
      <c r="A165" s="19">
        <v>1962</v>
      </c>
      <c r="B165" s="15" t="s">
        <v>430</v>
      </c>
      <c r="C165" s="3" t="s">
        <v>150</v>
      </c>
      <c r="D165" s="3" t="s">
        <v>405</v>
      </c>
      <c r="E165" s="3" t="s">
        <v>406</v>
      </c>
      <c r="F165" s="3" t="s">
        <v>41</v>
      </c>
      <c r="G165" s="11">
        <v>1</v>
      </c>
      <c r="H165" s="11">
        <v>0</v>
      </c>
      <c r="I165" s="3" t="s">
        <v>285</v>
      </c>
      <c r="J165" s="3" t="s">
        <v>1842</v>
      </c>
      <c r="K165" s="3">
        <v>63324</v>
      </c>
      <c r="L165" s="11">
        <v>0</v>
      </c>
      <c r="M165" s="11">
        <v>0</v>
      </c>
      <c r="N165" s="3" t="s">
        <v>409</v>
      </c>
      <c r="O165" s="3" t="s">
        <v>416</v>
      </c>
      <c r="P165" s="3" t="s">
        <v>431</v>
      </c>
      <c r="Q165" s="11">
        <v>232</v>
      </c>
      <c r="R165" s="11">
        <v>1511</v>
      </c>
      <c r="S165" s="3" t="s">
        <v>46</v>
      </c>
      <c r="T165" s="4" t="s">
        <v>289</v>
      </c>
      <c r="U165" s="11">
        <f>World_Cup_Matches[[#This Row],[Home Team Goals]]+World_Cup_Matches[[#This Row],[Away Team Goals]]</f>
        <v>1</v>
      </c>
      <c r="V165" s="11">
        <f>World_Cup_Matches[[#This Row],[Home Team Goals]]-World_Cup_Matches[[#This Row],[Away Team Goals]]</f>
        <v>1</v>
      </c>
      <c r="W165" s="4" t="str">
        <f>IF(World_Cup_Matches[[#This Row],[Home Team Goals]]&gt;World_Cup_Matches[[#This Row],[Away Team Goals]],World_Cup_Matches[[#This Row],[Home Team Name]],IF(World_Cup_Matches[[#This Row],[Away Team Goals]]&gt;World_Cup_Matches[[#This Row],[Home Team Goals]], World_Cup_Matches[[#This Row],[Away Team Name]],"Draw"))</f>
        <v>Yugoslavia</v>
      </c>
      <c r="X165" s="4" t="str">
        <f>IF(World_Cup_Matches[[#This Row],[Home Team Goals]]&gt;World_Cup_Matches[[#This Row],[Away Team Goals]],"Hime Win",IF(World_Cup_Matches[[#This Row],[Away Team Goals]]&gt;World_Cup_Matches[[#This Row],[Home Team Goals]],"Away win","Draw"))</f>
        <v>Hime Win</v>
      </c>
    </row>
    <row r="166" spans="1:24" x14ac:dyDescent="0.2">
      <c r="A166" s="19">
        <v>1962</v>
      </c>
      <c r="B166" s="15" t="s">
        <v>432</v>
      </c>
      <c r="C166" s="3" t="s">
        <v>83</v>
      </c>
      <c r="D166" s="3" t="s">
        <v>395</v>
      </c>
      <c r="E166" s="3" t="s">
        <v>396</v>
      </c>
      <c r="F166" s="3" t="s">
        <v>145</v>
      </c>
      <c r="G166" s="11">
        <v>3</v>
      </c>
      <c r="H166" s="11">
        <v>1</v>
      </c>
      <c r="I166" s="3" t="s">
        <v>41</v>
      </c>
      <c r="J166" s="3" t="s">
        <v>1842</v>
      </c>
      <c r="K166" s="3">
        <v>5890</v>
      </c>
      <c r="L166" s="11">
        <v>0</v>
      </c>
      <c r="M166" s="11">
        <v>0</v>
      </c>
      <c r="N166" s="3" t="s">
        <v>397</v>
      </c>
      <c r="O166" s="3" t="s">
        <v>294</v>
      </c>
      <c r="P166" s="3" t="s">
        <v>418</v>
      </c>
      <c r="Q166" s="11">
        <v>514</v>
      </c>
      <c r="R166" s="11">
        <v>1559</v>
      </c>
      <c r="S166" s="3" t="s">
        <v>148</v>
      </c>
      <c r="T166" s="4" t="s">
        <v>46</v>
      </c>
      <c r="U166" s="11">
        <f>World_Cup_Matches[[#This Row],[Home Team Goals]]+World_Cup_Matches[[#This Row],[Away Team Goals]]</f>
        <v>4</v>
      </c>
      <c r="V166" s="11">
        <f>World_Cup_Matches[[#This Row],[Home Team Goals]]-World_Cup_Matches[[#This Row],[Away Team Goals]]</f>
        <v>2</v>
      </c>
      <c r="W166" s="4" t="str">
        <f>IF(World_Cup_Matches[[#This Row],[Home Team Goals]]&gt;World_Cup_Matches[[#This Row],[Away Team Goals]],World_Cup_Matches[[#This Row],[Home Team Name]],IF(World_Cup_Matches[[#This Row],[Away Team Goals]]&gt;World_Cup_Matches[[#This Row],[Home Team Goals]], World_Cup_Matches[[#This Row],[Away Team Name]],"Draw"))</f>
        <v>Czechoslovakia</v>
      </c>
      <c r="X166" s="4" t="str">
        <f>IF(World_Cup_Matches[[#This Row],[Home Team Goals]]&gt;World_Cup_Matches[[#This Row],[Away Team Goals]],"Hime Win",IF(World_Cup_Matches[[#This Row],[Away Team Goals]]&gt;World_Cup_Matches[[#This Row],[Home Team Goals]],"Away win","Draw"))</f>
        <v>Hime Win</v>
      </c>
    </row>
    <row r="167" spans="1:24" x14ac:dyDescent="0.2">
      <c r="A167" s="19">
        <v>1962</v>
      </c>
      <c r="B167" s="15" t="s">
        <v>432</v>
      </c>
      <c r="C167" s="3" t="s">
        <v>83</v>
      </c>
      <c r="D167" s="3" t="s">
        <v>405</v>
      </c>
      <c r="E167" s="3" t="s">
        <v>406</v>
      </c>
      <c r="F167" s="3" t="s">
        <v>42</v>
      </c>
      <c r="G167" s="11">
        <v>4</v>
      </c>
      <c r="H167" s="11">
        <v>2</v>
      </c>
      <c r="I167" s="3" t="s">
        <v>61</v>
      </c>
      <c r="J167" s="3" t="s">
        <v>1842</v>
      </c>
      <c r="K167" s="3">
        <v>76594</v>
      </c>
      <c r="L167" s="11">
        <v>2</v>
      </c>
      <c r="M167" s="11">
        <v>1</v>
      </c>
      <c r="N167" s="3" t="s">
        <v>409</v>
      </c>
      <c r="O167" s="3" t="s">
        <v>248</v>
      </c>
      <c r="P167" s="3" t="s">
        <v>416</v>
      </c>
      <c r="Q167" s="11">
        <v>514</v>
      </c>
      <c r="R167" s="11">
        <v>1458</v>
      </c>
      <c r="S167" s="3" t="s">
        <v>47</v>
      </c>
      <c r="T167" s="4" t="s">
        <v>63</v>
      </c>
      <c r="U167" s="11">
        <f>World_Cup_Matches[[#This Row],[Home Team Goals]]+World_Cup_Matches[[#This Row],[Away Team Goals]]</f>
        <v>6</v>
      </c>
      <c r="V167" s="11">
        <f>World_Cup_Matches[[#This Row],[Home Team Goals]]-World_Cup_Matches[[#This Row],[Away Team Goals]]</f>
        <v>2</v>
      </c>
      <c r="W167" s="4" t="str">
        <f>IF(World_Cup_Matches[[#This Row],[Home Team Goals]]&gt;World_Cup_Matches[[#This Row],[Away Team Goals]],World_Cup_Matches[[#This Row],[Home Team Name]],IF(World_Cup_Matches[[#This Row],[Away Team Goals]]&gt;World_Cup_Matches[[#This Row],[Home Team Goals]], World_Cup_Matches[[#This Row],[Away Team Name]],"Draw"))</f>
        <v>Brazil</v>
      </c>
      <c r="X167" s="4" t="str">
        <f>IF(World_Cup_Matches[[#This Row],[Home Team Goals]]&gt;World_Cup_Matches[[#This Row],[Away Team Goals]],"Hime Win",IF(World_Cup_Matches[[#This Row],[Away Team Goals]]&gt;World_Cup_Matches[[#This Row],[Home Team Goals]],"Away win","Draw"))</f>
        <v>Hime Win</v>
      </c>
    </row>
    <row r="168" spans="1:24" x14ac:dyDescent="0.2">
      <c r="A168" s="19">
        <v>1962</v>
      </c>
      <c r="B168" s="15" t="s">
        <v>433</v>
      </c>
      <c r="C168" s="3" t="s">
        <v>155</v>
      </c>
      <c r="D168" s="3" t="s">
        <v>405</v>
      </c>
      <c r="E168" s="3" t="s">
        <v>406</v>
      </c>
      <c r="F168" s="3" t="s">
        <v>61</v>
      </c>
      <c r="G168" s="11">
        <v>1</v>
      </c>
      <c r="H168" s="11">
        <v>0</v>
      </c>
      <c r="I168" s="3" t="s">
        <v>41</v>
      </c>
      <c r="J168" s="3" t="s">
        <v>1842</v>
      </c>
      <c r="K168" s="3">
        <v>66697</v>
      </c>
      <c r="L168" s="11">
        <v>0</v>
      </c>
      <c r="M168" s="11">
        <v>0</v>
      </c>
      <c r="N168" s="3" t="s">
        <v>348</v>
      </c>
      <c r="O168" s="3" t="s">
        <v>356</v>
      </c>
      <c r="P168" s="3" t="s">
        <v>391</v>
      </c>
      <c r="Q168" s="11">
        <v>3481</v>
      </c>
      <c r="R168" s="11">
        <v>1475</v>
      </c>
      <c r="S168" s="3" t="s">
        <v>63</v>
      </c>
      <c r="T168" s="4" t="s">
        <v>46</v>
      </c>
      <c r="U168" s="11">
        <f>World_Cup_Matches[[#This Row],[Home Team Goals]]+World_Cup_Matches[[#This Row],[Away Team Goals]]</f>
        <v>1</v>
      </c>
      <c r="V168" s="11">
        <f>World_Cup_Matches[[#This Row],[Home Team Goals]]-World_Cup_Matches[[#This Row],[Away Team Goals]]</f>
        <v>1</v>
      </c>
      <c r="W168" s="4" t="str">
        <f>IF(World_Cup_Matches[[#This Row],[Home Team Goals]]&gt;World_Cup_Matches[[#This Row],[Away Team Goals]],World_Cup_Matches[[#This Row],[Home Team Name]],IF(World_Cup_Matches[[#This Row],[Away Team Goals]]&gt;World_Cup_Matches[[#This Row],[Home Team Goals]], World_Cup_Matches[[#This Row],[Away Team Name]],"Draw"))</f>
        <v>Chile</v>
      </c>
      <c r="X168" s="4" t="str">
        <f>IF(World_Cup_Matches[[#This Row],[Home Team Goals]]&gt;World_Cup_Matches[[#This Row],[Away Team Goals]],"Hime Win",IF(World_Cup_Matches[[#This Row],[Away Team Goals]]&gt;World_Cup_Matches[[#This Row],[Home Team Goals]],"Away win","Draw"))</f>
        <v>Hime Win</v>
      </c>
    </row>
    <row r="169" spans="1:24" x14ac:dyDescent="0.2">
      <c r="A169" s="19">
        <v>1962</v>
      </c>
      <c r="B169" s="15" t="s">
        <v>434</v>
      </c>
      <c r="C169" s="3" t="s">
        <v>86</v>
      </c>
      <c r="D169" s="3" t="s">
        <v>405</v>
      </c>
      <c r="E169" s="3" t="s">
        <v>406</v>
      </c>
      <c r="F169" s="3" t="s">
        <v>42</v>
      </c>
      <c r="G169" s="11">
        <v>3</v>
      </c>
      <c r="H169" s="11">
        <v>1</v>
      </c>
      <c r="I169" s="3" t="s">
        <v>145</v>
      </c>
      <c r="J169" s="3" t="s">
        <v>1842</v>
      </c>
      <c r="K169" s="3">
        <v>68679</v>
      </c>
      <c r="L169" s="11">
        <v>1</v>
      </c>
      <c r="M169" s="11">
        <v>1</v>
      </c>
      <c r="N169" s="3" t="s">
        <v>326</v>
      </c>
      <c r="O169" s="3" t="s">
        <v>413</v>
      </c>
      <c r="P169" s="3" t="s">
        <v>415</v>
      </c>
      <c r="Q169" s="11">
        <v>3480</v>
      </c>
      <c r="R169" s="11">
        <v>1463</v>
      </c>
      <c r="S169" s="3" t="s">
        <v>47</v>
      </c>
      <c r="T169" s="4" t="s">
        <v>148</v>
      </c>
      <c r="U169" s="11">
        <f>World_Cup_Matches[[#This Row],[Home Team Goals]]+World_Cup_Matches[[#This Row],[Away Team Goals]]</f>
        <v>4</v>
      </c>
      <c r="V169" s="11">
        <f>World_Cup_Matches[[#This Row],[Home Team Goals]]-World_Cup_Matches[[#This Row],[Away Team Goals]]</f>
        <v>2</v>
      </c>
      <c r="W169" s="4" t="str">
        <f>IF(World_Cup_Matches[[#This Row],[Home Team Goals]]&gt;World_Cup_Matches[[#This Row],[Away Team Goals]],World_Cup_Matches[[#This Row],[Home Team Name]],IF(World_Cup_Matches[[#This Row],[Away Team Goals]]&gt;World_Cup_Matches[[#This Row],[Home Team Goals]], World_Cup_Matches[[#This Row],[Away Team Name]],"Draw"))</f>
        <v>Brazil</v>
      </c>
      <c r="X169" s="4" t="str">
        <f>IF(World_Cup_Matches[[#This Row],[Home Team Goals]]&gt;World_Cup_Matches[[#This Row],[Away Team Goals]],"Hime Win",IF(World_Cup_Matches[[#This Row],[Away Team Goals]]&gt;World_Cup_Matches[[#This Row],[Home Team Goals]],"Away win","Draw"))</f>
        <v>Hime Win</v>
      </c>
    </row>
    <row r="170" spans="1:24" x14ac:dyDescent="0.2">
      <c r="A170" s="19">
        <v>1966</v>
      </c>
      <c r="B170" s="15" t="s">
        <v>435</v>
      </c>
      <c r="C170" s="3" t="s">
        <v>21</v>
      </c>
      <c r="D170" s="3" t="s">
        <v>436</v>
      </c>
      <c r="E170" s="3" t="s">
        <v>437</v>
      </c>
      <c r="F170" s="3" t="s">
        <v>223</v>
      </c>
      <c r="G170" s="11">
        <v>0</v>
      </c>
      <c r="H170" s="11">
        <v>0</v>
      </c>
      <c r="I170" s="3" t="s">
        <v>72</v>
      </c>
      <c r="J170" s="3" t="s">
        <v>1842</v>
      </c>
      <c r="K170" s="3">
        <v>87148</v>
      </c>
      <c r="L170" s="11">
        <v>0</v>
      </c>
      <c r="M170" s="11">
        <v>0</v>
      </c>
      <c r="N170" s="3" t="s">
        <v>287</v>
      </c>
      <c r="O170" s="3" t="s">
        <v>438</v>
      </c>
      <c r="P170" s="3" t="s">
        <v>429</v>
      </c>
      <c r="Q170" s="11">
        <v>238</v>
      </c>
      <c r="R170" s="11">
        <v>1636</v>
      </c>
      <c r="S170" s="3" t="s">
        <v>227</v>
      </c>
      <c r="T170" s="4" t="s">
        <v>73</v>
      </c>
      <c r="U170" s="11">
        <f>World_Cup_Matches[[#This Row],[Home Team Goals]]+World_Cup_Matches[[#This Row],[Away Team Goals]]</f>
        <v>0</v>
      </c>
      <c r="V170" s="11">
        <f>World_Cup_Matches[[#This Row],[Home Team Goals]]-World_Cup_Matches[[#This Row],[Away Team Goals]]</f>
        <v>0</v>
      </c>
      <c r="W170" s="4" t="str">
        <f>IF(World_Cup_Matches[[#This Row],[Home Team Goals]]&gt;World_Cup_Matches[[#This Row],[Away Team Goals]],World_Cup_Matches[[#This Row],[Home Team Name]],IF(World_Cup_Matches[[#This Row],[Away Team Goals]]&gt;World_Cup_Matches[[#This Row],[Home Team Goals]], World_Cup_Matches[[#This Row],[Away Team Name]],"Draw"))</f>
        <v>Draw</v>
      </c>
      <c r="X170" s="4" t="str">
        <f>IF(World_Cup_Matches[[#This Row],[Home Team Goals]]&gt;World_Cup_Matches[[#This Row],[Away Team Goals]],"Hime Win",IF(World_Cup_Matches[[#This Row],[Away Team Goals]]&gt;World_Cup_Matches[[#This Row],[Home Team Goals]],"Away win","Draw"))</f>
        <v>Draw</v>
      </c>
    </row>
    <row r="171" spans="1:24" x14ac:dyDescent="0.2">
      <c r="A171" s="19">
        <v>1966</v>
      </c>
      <c r="B171" s="15" t="s">
        <v>439</v>
      </c>
      <c r="C171" s="3" t="s">
        <v>40</v>
      </c>
      <c r="D171" s="3" t="s">
        <v>440</v>
      </c>
      <c r="E171" s="3" t="s">
        <v>441</v>
      </c>
      <c r="F171" s="3" t="s">
        <v>285</v>
      </c>
      <c r="G171" s="11">
        <v>5</v>
      </c>
      <c r="H171" s="11">
        <v>0</v>
      </c>
      <c r="I171" s="3" t="s">
        <v>108</v>
      </c>
      <c r="J171" s="3" t="s">
        <v>1842</v>
      </c>
      <c r="K171" s="3">
        <v>36127</v>
      </c>
      <c r="L171" s="11">
        <v>3</v>
      </c>
      <c r="M171" s="11">
        <v>0</v>
      </c>
      <c r="N171" s="3" t="s">
        <v>442</v>
      </c>
      <c r="O171" s="3" t="s">
        <v>443</v>
      </c>
      <c r="P171" s="3" t="s">
        <v>365</v>
      </c>
      <c r="Q171" s="11">
        <v>238</v>
      </c>
      <c r="R171" s="11">
        <v>1656</v>
      </c>
      <c r="S171" s="3" t="s">
        <v>289</v>
      </c>
      <c r="T171" s="4" t="s">
        <v>113</v>
      </c>
      <c r="U171" s="11">
        <f>World_Cup_Matches[[#This Row],[Home Team Goals]]+World_Cup_Matches[[#This Row],[Away Team Goals]]</f>
        <v>5</v>
      </c>
      <c r="V171" s="11">
        <f>World_Cup_Matches[[#This Row],[Home Team Goals]]-World_Cup_Matches[[#This Row],[Away Team Goals]]</f>
        <v>5</v>
      </c>
      <c r="W171" s="4" t="str">
        <f>IF(World_Cup_Matches[[#This Row],[Home Team Goals]]&gt;World_Cup_Matches[[#This Row],[Away Team Goals]],World_Cup_Matches[[#This Row],[Home Team Name]],IF(World_Cup_Matches[[#This Row],[Away Team Goals]]&gt;World_Cup_Matches[[#This Row],[Home Team Goals]], World_Cup_Matches[[#This Row],[Away Team Name]],"Draw"))</f>
        <v>Germany FR</v>
      </c>
      <c r="X171" s="4" t="str">
        <f>IF(World_Cup_Matches[[#This Row],[Home Team Goals]]&gt;World_Cup_Matches[[#This Row],[Away Team Goals]],"Hime Win",IF(World_Cup_Matches[[#This Row],[Away Team Goals]]&gt;World_Cup_Matches[[#This Row],[Home Team Goals]],"Away win","Draw"))</f>
        <v>Hime Win</v>
      </c>
    </row>
    <row r="172" spans="1:24" x14ac:dyDescent="0.2">
      <c r="A172" s="19">
        <v>1966</v>
      </c>
      <c r="B172" s="15" t="s">
        <v>439</v>
      </c>
      <c r="C172" s="3" t="s">
        <v>49</v>
      </c>
      <c r="D172" s="3" t="s">
        <v>444</v>
      </c>
      <c r="E172" s="3" t="s">
        <v>445</v>
      </c>
      <c r="F172" s="3" t="s">
        <v>42</v>
      </c>
      <c r="G172" s="11">
        <v>2</v>
      </c>
      <c r="H172" s="11">
        <v>0</v>
      </c>
      <c r="I172" s="3" t="s">
        <v>401</v>
      </c>
      <c r="J172" s="3" t="s">
        <v>1842</v>
      </c>
      <c r="K172" s="3">
        <v>47308</v>
      </c>
      <c r="L172" s="11">
        <v>1</v>
      </c>
      <c r="M172" s="11">
        <v>0</v>
      </c>
      <c r="N172" s="3" t="s">
        <v>446</v>
      </c>
      <c r="O172" s="3" t="s">
        <v>447</v>
      </c>
      <c r="P172" s="3" t="s">
        <v>448</v>
      </c>
      <c r="Q172" s="11">
        <v>238</v>
      </c>
      <c r="R172" s="11">
        <v>1596</v>
      </c>
      <c r="S172" s="3" t="s">
        <v>47</v>
      </c>
      <c r="T172" s="4" t="s">
        <v>404</v>
      </c>
      <c r="U172" s="11">
        <f>World_Cup_Matches[[#This Row],[Home Team Goals]]+World_Cup_Matches[[#This Row],[Away Team Goals]]</f>
        <v>2</v>
      </c>
      <c r="V172" s="11">
        <f>World_Cup_Matches[[#This Row],[Home Team Goals]]-World_Cup_Matches[[#This Row],[Away Team Goals]]</f>
        <v>2</v>
      </c>
      <c r="W172" s="4" t="str">
        <f>IF(World_Cup_Matches[[#This Row],[Home Team Goals]]&gt;World_Cup_Matches[[#This Row],[Away Team Goals]],World_Cup_Matches[[#This Row],[Home Team Name]],IF(World_Cup_Matches[[#This Row],[Away Team Goals]]&gt;World_Cup_Matches[[#This Row],[Home Team Goals]], World_Cup_Matches[[#This Row],[Away Team Name]],"Draw"))</f>
        <v>Brazil</v>
      </c>
      <c r="X172" s="4" t="str">
        <f>IF(World_Cup_Matches[[#This Row],[Home Team Goals]]&gt;World_Cup_Matches[[#This Row],[Away Team Goals]],"Hime Win",IF(World_Cup_Matches[[#This Row],[Away Team Goals]]&gt;World_Cup_Matches[[#This Row],[Home Team Goals]],"Away win","Draw"))</f>
        <v>Hime Win</v>
      </c>
    </row>
    <row r="173" spans="1:24" x14ac:dyDescent="0.2">
      <c r="A173" s="19">
        <v>1966</v>
      </c>
      <c r="B173" s="15" t="s">
        <v>439</v>
      </c>
      <c r="C173" s="3" t="s">
        <v>31</v>
      </c>
      <c r="D173" s="3" t="s">
        <v>449</v>
      </c>
      <c r="E173" s="3" t="s">
        <v>450</v>
      </c>
      <c r="F173" s="3" t="s">
        <v>332</v>
      </c>
      <c r="G173" s="11">
        <v>3</v>
      </c>
      <c r="H173" s="11">
        <v>0</v>
      </c>
      <c r="I173" s="3" t="s">
        <v>451</v>
      </c>
      <c r="J173" s="3" t="s">
        <v>1842</v>
      </c>
      <c r="K173" s="3">
        <v>23006</v>
      </c>
      <c r="L173" s="11">
        <v>2</v>
      </c>
      <c r="M173" s="11">
        <v>0</v>
      </c>
      <c r="N173" s="3" t="s">
        <v>348</v>
      </c>
      <c r="O173" s="3" t="s">
        <v>452</v>
      </c>
      <c r="P173" s="3" t="s">
        <v>397</v>
      </c>
      <c r="Q173" s="11">
        <v>238</v>
      </c>
      <c r="R173" s="11">
        <v>1710</v>
      </c>
      <c r="S173" s="3" t="s">
        <v>335</v>
      </c>
      <c r="T173" s="4" t="s">
        <v>453</v>
      </c>
      <c r="U173" s="11">
        <f>World_Cup_Matches[[#This Row],[Home Team Goals]]+World_Cup_Matches[[#This Row],[Away Team Goals]]</f>
        <v>3</v>
      </c>
      <c r="V173" s="11">
        <f>World_Cup_Matches[[#This Row],[Home Team Goals]]-World_Cup_Matches[[#This Row],[Away Team Goals]]</f>
        <v>3</v>
      </c>
      <c r="W173" s="4" t="str">
        <f>IF(World_Cup_Matches[[#This Row],[Home Team Goals]]&gt;World_Cup_Matches[[#This Row],[Away Team Goals]],World_Cup_Matches[[#This Row],[Home Team Name]],IF(World_Cup_Matches[[#This Row],[Away Team Goals]]&gt;World_Cup_Matches[[#This Row],[Home Team Goals]], World_Cup_Matches[[#This Row],[Away Team Name]],"Draw"))</f>
        <v>Soviet Union</v>
      </c>
      <c r="X173" s="4" t="str">
        <f>IF(World_Cup_Matches[[#This Row],[Home Team Goals]]&gt;World_Cup_Matches[[#This Row],[Away Team Goals]],"Hime Win",IF(World_Cup_Matches[[#This Row],[Away Team Goals]]&gt;World_Cup_Matches[[#This Row],[Home Team Goals]],"Away win","Draw"))</f>
        <v>Hime Win</v>
      </c>
    </row>
    <row r="174" spans="1:24" x14ac:dyDescent="0.2">
      <c r="A174" s="19">
        <v>1966</v>
      </c>
      <c r="B174" s="15" t="s">
        <v>454</v>
      </c>
      <c r="C174" s="3" t="s">
        <v>21</v>
      </c>
      <c r="D174" s="3" t="s">
        <v>436</v>
      </c>
      <c r="E174" s="3" t="s">
        <v>437</v>
      </c>
      <c r="F174" s="3" t="s">
        <v>24</v>
      </c>
      <c r="G174" s="11">
        <v>1</v>
      </c>
      <c r="H174" s="11">
        <v>1</v>
      </c>
      <c r="I174" s="3" t="s">
        <v>25</v>
      </c>
      <c r="J174" s="3" t="s">
        <v>1842</v>
      </c>
      <c r="K174" s="3">
        <v>69237</v>
      </c>
      <c r="L174" s="11">
        <v>0</v>
      </c>
      <c r="M174" s="11">
        <v>0</v>
      </c>
      <c r="N174" s="3" t="s">
        <v>455</v>
      </c>
      <c r="O174" s="3" t="s">
        <v>362</v>
      </c>
      <c r="P174" s="3" t="s">
        <v>393</v>
      </c>
      <c r="Q174" s="11">
        <v>238</v>
      </c>
      <c r="R174" s="11">
        <v>1650</v>
      </c>
      <c r="S174" s="3" t="s">
        <v>29</v>
      </c>
      <c r="T174" s="4" t="s">
        <v>30</v>
      </c>
      <c r="U174" s="11">
        <f>World_Cup_Matches[[#This Row],[Home Team Goals]]+World_Cup_Matches[[#This Row],[Away Team Goals]]</f>
        <v>2</v>
      </c>
      <c r="V174" s="11">
        <f>World_Cup_Matches[[#This Row],[Home Team Goals]]-World_Cup_Matches[[#This Row],[Away Team Goals]]</f>
        <v>0</v>
      </c>
      <c r="W174" s="4" t="str">
        <f>IF(World_Cup_Matches[[#This Row],[Home Team Goals]]&gt;World_Cup_Matches[[#This Row],[Away Team Goals]],World_Cup_Matches[[#This Row],[Home Team Name]],IF(World_Cup_Matches[[#This Row],[Away Team Goals]]&gt;World_Cup_Matches[[#This Row],[Home Team Goals]], World_Cup_Matches[[#This Row],[Away Team Name]],"Draw"))</f>
        <v>Draw</v>
      </c>
      <c r="X174" s="4" t="str">
        <f>IF(World_Cup_Matches[[#This Row],[Home Team Goals]]&gt;World_Cup_Matches[[#This Row],[Away Team Goals]],"Hime Win",IF(World_Cup_Matches[[#This Row],[Away Team Goals]]&gt;World_Cup_Matches[[#This Row],[Home Team Goals]],"Away win","Draw"))</f>
        <v>Draw</v>
      </c>
    </row>
    <row r="175" spans="1:24" x14ac:dyDescent="0.2">
      <c r="A175" s="19">
        <v>1966</v>
      </c>
      <c r="B175" s="15" t="s">
        <v>454</v>
      </c>
      <c r="C175" s="3" t="s">
        <v>49</v>
      </c>
      <c r="D175" s="3" t="s">
        <v>456</v>
      </c>
      <c r="E175" s="3" t="s">
        <v>457</v>
      </c>
      <c r="F175" s="3" t="s">
        <v>458</v>
      </c>
      <c r="G175" s="11">
        <v>3</v>
      </c>
      <c r="H175" s="11">
        <v>1</v>
      </c>
      <c r="I175" s="3" t="s">
        <v>99</v>
      </c>
      <c r="J175" s="3" t="s">
        <v>1842</v>
      </c>
      <c r="K175" s="3">
        <v>29886</v>
      </c>
      <c r="L175" s="11">
        <v>1</v>
      </c>
      <c r="M175" s="11">
        <v>0</v>
      </c>
      <c r="N175" s="3" t="s">
        <v>459</v>
      </c>
      <c r="O175" s="3" t="s">
        <v>460</v>
      </c>
      <c r="P175" s="3" t="s">
        <v>461</v>
      </c>
      <c r="Q175" s="11">
        <v>238</v>
      </c>
      <c r="R175" s="11">
        <v>1675</v>
      </c>
      <c r="S175" s="3" t="s">
        <v>462</v>
      </c>
      <c r="T175" s="4" t="s">
        <v>104</v>
      </c>
      <c r="U175" s="11">
        <f>World_Cup_Matches[[#This Row],[Home Team Goals]]+World_Cup_Matches[[#This Row],[Away Team Goals]]</f>
        <v>4</v>
      </c>
      <c r="V175" s="11">
        <f>World_Cup_Matches[[#This Row],[Home Team Goals]]-World_Cup_Matches[[#This Row],[Away Team Goals]]</f>
        <v>2</v>
      </c>
      <c r="W175" s="4" t="str">
        <f>IF(World_Cup_Matches[[#This Row],[Home Team Goals]]&gt;World_Cup_Matches[[#This Row],[Away Team Goals]],World_Cup_Matches[[#This Row],[Home Team Name]],IF(World_Cup_Matches[[#This Row],[Away Team Goals]]&gt;World_Cup_Matches[[#This Row],[Home Team Goals]], World_Cup_Matches[[#This Row],[Away Team Name]],"Draw"))</f>
        <v>Portugal</v>
      </c>
      <c r="X175" s="4" t="str">
        <f>IF(World_Cup_Matches[[#This Row],[Home Team Goals]]&gt;World_Cup_Matches[[#This Row],[Away Team Goals]],"Hime Win",IF(World_Cup_Matches[[#This Row],[Away Team Goals]]&gt;World_Cup_Matches[[#This Row],[Home Team Goals]],"Away win","Draw"))</f>
        <v>Hime Win</v>
      </c>
    </row>
    <row r="176" spans="1:24" x14ac:dyDescent="0.2">
      <c r="A176" s="19">
        <v>1966</v>
      </c>
      <c r="B176" s="15" t="s">
        <v>454</v>
      </c>
      <c r="C176" s="3" t="s">
        <v>40</v>
      </c>
      <c r="D176" s="3" t="s">
        <v>463</v>
      </c>
      <c r="E176" s="3" t="s">
        <v>464</v>
      </c>
      <c r="F176" s="3" t="s">
        <v>56</v>
      </c>
      <c r="G176" s="11">
        <v>2</v>
      </c>
      <c r="H176" s="11">
        <v>1</v>
      </c>
      <c r="I176" s="3" t="s">
        <v>131</v>
      </c>
      <c r="J176" s="3" t="s">
        <v>1842</v>
      </c>
      <c r="K176" s="3">
        <v>42738</v>
      </c>
      <c r="L176" s="11">
        <v>0</v>
      </c>
      <c r="M176" s="11">
        <v>0</v>
      </c>
      <c r="N176" s="3" t="s">
        <v>429</v>
      </c>
      <c r="O176" s="3" t="s">
        <v>409</v>
      </c>
      <c r="P176" s="3" t="s">
        <v>465</v>
      </c>
      <c r="Q176" s="11">
        <v>238</v>
      </c>
      <c r="R176" s="11">
        <v>1578</v>
      </c>
      <c r="S176" s="3" t="s">
        <v>59</v>
      </c>
      <c r="T176" s="4" t="s">
        <v>135</v>
      </c>
      <c r="U176" s="11">
        <f>World_Cup_Matches[[#This Row],[Home Team Goals]]+World_Cup_Matches[[#This Row],[Away Team Goals]]</f>
        <v>3</v>
      </c>
      <c r="V176" s="11">
        <f>World_Cup_Matches[[#This Row],[Home Team Goals]]-World_Cup_Matches[[#This Row],[Away Team Goals]]</f>
        <v>1</v>
      </c>
      <c r="W176" s="4" t="str">
        <f>IF(World_Cup_Matches[[#This Row],[Home Team Goals]]&gt;World_Cup_Matches[[#This Row],[Away Team Goals]],World_Cup_Matches[[#This Row],[Home Team Name]],IF(World_Cup_Matches[[#This Row],[Away Team Goals]]&gt;World_Cup_Matches[[#This Row],[Home Team Goals]], World_Cup_Matches[[#This Row],[Away Team Name]],"Draw"))</f>
        <v>Argentina</v>
      </c>
      <c r="X176" s="4" t="str">
        <f>IF(World_Cup_Matches[[#This Row],[Home Team Goals]]&gt;World_Cup_Matches[[#This Row],[Away Team Goals]],"Hime Win",IF(World_Cup_Matches[[#This Row],[Away Team Goals]]&gt;World_Cup_Matches[[#This Row],[Home Team Goals]],"Away win","Draw"))</f>
        <v>Hime Win</v>
      </c>
    </row>
    <row r="177" spans="1:24" x14ac:dyDescent="0.2">
      <c r="A177" s="19">
        <v>1966</v>
      </c>
      <c r="B177" s="15" t="s">
        <v>454</v>
      </c>
      <c r="C177" s="3" t="s">
        <v>31</v>
      </c>
      <c r="D177" s="3" t="s">
        <v>466</v>
      </c>
      <c r="E177" s="3" t="s">
        <v>467</v>
      </c>
      <c r="F177" s="3" t="s">
        <v>138</v>
      </c>
      <c r="G177" s="11">
        <v>2</v>
      </c>
      <c r="H177" s="11">
        <v>0</v>
      </c>
      <c r="I177" s="3" t="s">
        <v>61</v>
      </c>
      <c r="J177" s="3" t="s">
        <v>1842</v>
      </c>
      <c r="K177" s="3">
        <v>27199</v>
      </c>
      <c r="L177" s="11">
        <v>1</v>
      </c>
      <c r="M177" s="11">
        <v>0</v>
      </c>
      <c r="N177" s="3" t="s">
        <v>397</v>
      </c>
      <c r="O177" s="3" t="s">
        <v>468</v>
      </c>
      <c r="P177" s="3" t="s">
        <v>469</v>
      </c>
      <c r="Q177" s="11">
        <v>238</v>
      </c>
      <c r="R177" s="11">
        <v>1608</v>
      </c>
      <c r="S177" s="3" t="s">
        <v>142</v>
      </c>
      <c r="T177" s="4" t="s">
        <v>63</v>
      </c>
      <c r="U177" s="11">
        <f>World_Cup_Matches[[#This Row],[Home Team Goals]]+World_Cup_Matches[[#This Row],[Away Team Goals]]</f>
        <v>2</v>
      </c>
      <c r="V177" s="11">
        <f>World_Cup_Matches[[#This Row],[Home Team Goals]]-World_Cup_Matches[[#This Row],[Away Team Goals]]</f>
        <v>2</v>
      </c>
      <c r="W177" s="4" t="str">
        <f>IF(World_Cup_Matches[[#This Row],[Home Team Goals]]&gt;World_Cup_Matches[[#This Row],[Away Team Goals]],World_Cup_Matches[[#This Row],[Home Team Name]],IF(World_Cup_Matches[[#This Row],[Away Team Goals]]&gt;World_Cup_Matches[[#This Row],[Home Team Goals]], World_Cup_Matches[[#This Row],[Away Team Name]],"Draw"))</f>
        <v>Italy</v>
      </c>
      <c r="X177" s="4" t="str">
        <f>IF(World_Cup_Matches[[#This Row],[Home Team Goals]]&gt;World_Cup_Matches[[#This Row],[Away Team Goals]],"Hime Win",IF(World_Cup_Matches[[#This Row],[Away Team Goals]]&gt;World_Cup_Matches[[#This Row],[Home Team Goals]],"Away win","Draw"))</f>
        <v>Hime Win</v>
      </c>
    </row>
    <row r="178" spans="1:24" x14ac:dyDescent="0.2">
      <c r="A178" s="19">
        <v>1966</v>
      </c>
      <c r="B178" s="15" t="s">
        <v>470</v>
      </c>
      <c r="C178" s="3" t="s">
        <v>21</v>
      </c>
      <c r="D178" s="3" t="s">
        <v>471</v>
      </c>
      <c r="E178" s="3" t="s">
        <v>437</v>
      </c>
      <c r="F178" s="3" t="s">
        <v>72</v>
      </c>
      <c r="G178" s="11">
        <v>2</v>
      </c>
      <c r="H178" s="11">
        <v>1</v>
      </c>
      <c r="I178" s="3" t="s">
        <v>24</v>
      </c>
      <c r="J178" s="3" t="s">
        <v>1842</v>
      </c>
      <c r="K178" s="3">
        <v>45662</v>
      </c>
      <c r="L178" s="11">
        <v>2</v>
      </c>
      <c r="M178" s="11">
        <v>1</v>
      </c>
      <c r="N178" s="3" t="s">
        <v>393</v>
      </c>
      <c r="O178" s="3" t="s">
        <v>459</v>
      </c>
      <c r="P178" s="3" t="s">
        <v>472</v>
      </c>
      <c r="Q178" s="11">
        <v>238</v>
      </c>
      <c r="R178" s="11">
        <v>1653</v>
      </c>
      <c r="S178" s="3" t="s">
        <v>73</v>
      </c>
      <c r="T178" s="4" t="s">
        <v>29</v>
      </c>
      <c r="U178" s="11">
        <f>World_Cup_Matches[[#This Row],[Home Team Goals]]+World_Cup_Matches[[#This Row],[Away Team Goals]]</f>
        <v>3</v>
      </c>
      <c r="V178" s="11">
        <f>World_Cup_Matches[[#This Row],[Home Team Goals]]-World_Cup_Matches[[#This Row],[Away Team Goals]]</f>
        <v>1</v>
      </c>
      <c r="W178" s="4" t="str">
        <f>IF(World_Cup_Matches[[#This Row],[Home Team Goals]]&gt;World_Cup_Matches[[#This Row],[Away Team Goals]],World_Cup_Matches[[#This Row],[Home Team Name]],IF(World_Cup_Matches[[#This Row],[Away Team Goals]]&gt;World_Cup_Matches[[#This Row],[Home Team Goals]], World_Cup_Matches[[#This Row],[Away Team Name]],"Draw"))</f>
        <v>Uruguay</v>
      </c>
      <c r="X178" s="4" t="str">
        <f>IF(World_Cup_Matches[[#This Row],[Home Team Goals]]&gt;World_Cup_Matches[[#This Row],[Away Team Goals]],"Hime Win",IF(World_Cup_Matches[[#This Row],[Away Team Goals]]&gt;World_Cup_Matches[[#This Row],[Home Team Goals]],"Away win","Draw"))</f>
        <v>Hime Win</v>
      </c>
    </row>
    <row r="179" spans="1:24" x14ac:dyDescent="0.2">
      <c r="A179" s="19">
        <v>1966</v>
      </c>
      <c r="B179" s="15" t="s">
        <v>470</v>
      </c>
      <c r="C179" s="3" t="s">
        <v>40</v>
      </c>
      <c r="D179" s="3" t="s">
        <v>440</v>
      </c>
      <c r="E179" s="3" t="s">
        <v>441</v>
      </c>
      <c r="F179" s="3" t="s">
        <v>131</v>
      </c>
      <c r="G179" s="11">
        <v>2</v>
      </c>
      <c r="H179" s="11">
        <v>1</v>
      </c>
      <c r="I179" s="3" t="s">
        <v>108</v>
      </c>
      <c r="J179" s="3" t="s">
        <v>1842</v>
      </c>
      <c r="K179" s="3">
        <v>32028</v>
      </c>
      <c r="L179" s="11">
        <v>0</v>
      </c>
      <c r="M179" s="11">
        <v>1</v>
      </c>
      <c r="N179" s="3" t="s">
        <v>438</v>
      </c>
      <c r="O179" s="3" t="s">
        <v>287</v>
      </c>
      <c r="P179" s="3" t="s">
        <v>442</v>
      </c>
      <c r="Q179" s="11">
        <v>238</v>
      </c>
      <c r="R179" s="11">
        <v>1641</v>
      </c>
      <c r="S179" s="3" t="s">
        <v>135</v>
      </c>
      <c r="T179" s="4" t="s">
        <v>113</v>
      </c>
      <c r="U179" s="11">
        <f>World_Cup_Matches[[#This Row],[Home Team Goals]]+World_Cup_Matches[[#This Row],[Away Team Goals]]</f>
        <v>3</v>
      </c>
      <c r="V179" s="11">
        <f>World_Cup_Matches[[#This Row],[Home Team Goals]]-World_Cup_Matches[[#This Row],[Away Team Goals]]</f>
        <v>1</v>
      </c>
      <c r="W179" s="4" t="str">
        <f>IF(World_Cup_Matches[[#This Row],[Home Team Goals]]&gt;World_Cup_Matches[[#This Row],[Away Team Goals]],World_Cup_Matches[[#This Row],[Home Team Name]],IF(World_Cup_Matches[[#This Row],[Away Team Goals]]&gt;World_Cup_Matches[[#This Row],[Home Team Goals]], World_Cup_Matches[[#This Row],[Away Team Name]],"Draw"))</f>
        <v>Spain</v>
      </c>
      <c r="X179" s="4" t="str">
        <f>IF(World_Cup_Matches[[#This Row],[Home Team Goals]]&gt;World_Cup_Matches[[#This Row],[Away Team Goals]],"Hime Win",IF(World_Cup_Matches[[#This Row],[Away Team Goals]]&gt;World_Cup_Matches[[#This Row],[Home Team Goals]],"Away win","Draw"))</f>
        <v>Hime Win</v>
      </c>
    </row>
    <row r="180" spans="1:24" x14ac:dyDescent="0.2">
      <c r="A180" s="19">
        <v>1966</v>
      </c>
      <c r="B180" s="15" t="s">
        <v>470</v>
      </c>
      <c r="C180" s="3" t="s">
        <v>49</v>
      </c>
      <c r="D180" s="3" t="s">
        <v>444</v>
      </c>
      <c r="E180" s="3" t="s">
        <v>445</v>
      </c>
      <c r="F180" s="3" t="s">
        <v>99</v>
      </c>
      <c r="G180" s="11">
        <v>3</v>
      </c>
      <c r="H180" s="11">
        <v>1</v>
      </c>
      <c r="I180" s="3" t="s">
        <v>42</v>
      </c>
      <c r="J180" s="3" t="s">
        <v>1842</v>
      </c>
      <c r="K180" s="3">
        <v>51387</v>
      </c>
      <c r="L180" s="11">
        <v>1</v>
      </c>
      <c r="M180" s="11">
        <v>1</v>
      </c>
      <c r="N180" s="3" t="s">
        <v>473</v>
      </c>
      <c r="O180" s="3" t="s">
        <v>460</v>
      </c>
      <c r="P180" s="3" t="s">
        <v>409</v>
      </c>
      <c r="Q180" s="11">
        <v>238</v>
      </c>
      <c r="R180" s="11">
        <v>1597</v>
      </c>
      <c r="S180" s="3" t="s">
        <v>104</v>
      </c>
      <c r="T180" s="4" t="s">
        <v>47</v>
      </c>
      <c r="U180" s="11">
        <f>World_Cup_Matches[[#This Row],[Home Team Goals]]+World_Cup_Matches[[#This Row],[Away Team Goals]]</f>
        <v>4</v>
      </c>
      <c r="V180" s="11">
        <f>World_Cup_Matches[[#This Row],[Home Team Goals]]-World_Cup_Matches[[#This Row],[Away Team Goals]]</f>
        <v>2</v>
      </c>
      <c r="W180" s="4" t="str">
        <f>IF(World_Cup_Matches[[#This Row],[Home Team Goals]]&gt;World_Cup_Matches[[#This Row],[Away Team Goals]],World_Cup_Matches[[#This Row],[Home Team Name]],IF(World_Cup_Matches[[#This Row],[Away Team Goals]]&gt;World_Cup_Matches[[#This Row],[Home Team Goals]], World_Cup_Matches[[#This Row],[Away Team Name]],"Draw"))</f>
        <v>Hungary</v>
      </c>
      <c r="X180" s="4" t="str">
        <f>IF(World_Cup_Matches[[#This Row],[Home Team Goals]]&gt;World_Cup_Matches[[#This Row],[Away Team Goals]],"Hime Win",IF(World_Cup_Matches[[#This Row],[Away Team Goals]]&gt;World_Cup_Matches[[#This Row],[Home Team Goals]],"Away win","Draw"))</f>
        <v>Hime Win</v>
      </c>
    </row>
    <row r="181" spans="1:24" x14ac:dyDescent="0.2">
      <c r="A181" s="19">
        <v>1966</v>
      </c>
      <c r="B181" s="15" t="s">
        <v>470</v>
      </c>
      <c r="C181" s="3" t="s">
        <v>31</v>
      </c>
      <c r="D181" s="3" t="s">
        <v>449</v>
      </c>
      <c r="E181" s="3" t="s">
        <v>450</v>
      </c>
      <c r="F181" s="3" t="s">
        <v>451</v>
      </c>
      <c r="G181" s="11">
        <v>1</v>
      </c>
      <c r="H181" s="11">
        <v>1</v>
      </c>
      <c r="I181" s="3" t="s">
        <v>61</v>
      </c>
      <c r="J181" s="3" t="s">
        <v>1842</v>
      </c>
      <c r="K181" s="3">
        <v>13792</v>
      </c>
      <c r="L181" s="11">
        <v>0</v>
      </c>
      <c r="M181" s="11">
        <v>1</v>
      </c>
      <c r="N181" s="3" t="s">
        <v>452</v>
      </c>
      <c r="O181" s="3" t="s">
        <v>474</v>
      </c>
      <c r="P181" s="3" t="s">
        <v>468</v>
      </c>
      <c r="Q181" s="11">
        <v>238</v>
      </c>
      <c r="R181" s="11">
        <v>1609</v>
      </c>
      <c r="S181" s="3" t="s">
        <v>453</v>
      </c>
      <c r="T181" s="4" t="s">
        <v>63</v>
      </c>
      <c r="U181" s="11">
        <f>World_Cup_Matches[[#This Row],[Home Team Goals]]+World_Cup_Matches[[#This Row],[Away Team Goals]]</f>
        <v>2</v>
      </c>
      <c r="V181" s="11">
        <f>World_Cup_Matches[[#This Row],[Home Team Goals]]-World_Cup_Matches[[#This Row],[Away Team Goals]]</f>
        <v>0</v>
      </c>
      <c r="W181" s="4" t="str">
        <f>IF(World_Cup_Matches[[#This Row],[Home Team Goals]]&gt;World_Cup_Matches[[#This Row],[Away Team Goals]],World_Cup_Matches[[#This Row],[Home Team Name]],IF(World_Cup_Matches[[#This Row],[Away Team Goals]]&gt;World_Cup_Matches[[#This Row],[Home Team Goals]], World_Cup_Matches[[#This Row],[Away Team Name]],"Draw"))</f>
        <v>Draw</v>
      </c>
      <c r="X181" s="4" t="str">
        <f>IF(World_Cup_Matches[[#This Row],[Home Team Goals]]&gt;World_Cup_Matches[[#This Row],[Away Team Goals]],"Hime Win",IF(World_Cup_Matches[[#This Row],[Away Team Goals]]&gt;World_Cup_Matches[[#This Row],[Home Team Goals]],"Away win","Draw"))</f>
        <v>Draw</v>
      </c>
    </row>
    <row r="182" spans="1:24" x14ac:dyDescent="0.2">
      <c r="A182" s="19">
        <v>1966</v>
      </c>
      <c r="B182" s="15" t="s">
        <v>475</v>
      </c>
      <c r="C182" s="3" t="s">
        <v>49</v>
      </c>
      <c r="D182" s="3" t="s">
        <v>456</v>
      </c>
      <c r="E182" s="3" t="s">
        <v>457</v>
      </c>
      <c r="F182" s="3" t="s">
        <v>458</v>
      </c>
      <c r="G182" s="11">
        <v>3</v>
      </c>
      <c r="H182" s="11">
        <v>0</v>
      </c>
      <c r="I182" s="3" t="s">
        <v>401</v>
      </c>
      <c r="J182" s="3" t="s">
        <v>1842</v>
      </c>
      <c r="K182" s="3">
        <v>25438</v>
      </c>
      <c r="L182" s="11">
        <v>2</v>
      </c>
      <c r="M182" s="11">
        <v>0</v>
      </c>
      <c r="N182" s="3" t="s">
        <v>343</v>
      </c>
      <c r="O182" s="3" t="s">
        <v>476</v>
      </c>
      <c r="P182" s="3" t="s">
        <v>446</v>
      </c>
      <c r="Q182" s="11">
        <v>238</v>
      </c>
      <c r="R182" s="11">
        <v>1602</v>
      </c>
      <c r="S182" s="3" t="s">
        <v>462</v>
      </c>
      <c r="T182" s="4" t="s">
        <v>404</v>
      </c>
      <c r="U182" s="11">
        <f>World_Cup_Matches[[#This Row],[Home Team Goals]]+World_Cup_Matches[[#This Row],[Away Team Goals]]</f>
        <v>3</v>
      </c>
      <c r="V182" s="11">
        <f>World_Cup_Matches[[#This Row],[Home Team Goals]]-World_Cup_Matches[[#This Row],[Away Team Goals]]</f>
        <v>3</v>
      </c>
      <c r="W182" s="4" t="str">
        <f>IF(World_Cup_Matches[[#This Row],[Home Team Goals]]&gt;World_Cup_Matches[[#This Row],[Away Team Goals]],World_Cup_Matches[[#This Row],[Home Team Name]],IF(World_Cup_Matches[[#This Row],[Away Team Goals]]&gt;World_Cup_Matches[[#This Row],[Home Team Goals]], World_Cup_Matches[[#This Row],[Away Team Name]],"Draw"))</f>
        <v>Portugal</v>
      </c>
      <c r="X182" s="4" t="str">
        <f>IF(World_Cup_Matches[[#This Row],[Home Team Goals]]&gt;World_Cup_Matches[[#This Row],[Away Team Goals]],"Hime Win",IF(World_Cup_Matches[[#This Row],[Away Team Goals]]&gt;World_Cup_Matches[[#This Row],[Home Team Goals]],"Away win","Draw"))</f>
        <v>Hime Win</v>
      </c>
    </row>
    <row r="183" spans="1:24" x14ac:dyDescent="0.2">
      <c r="A183" s="19">
        <v>1966</v>
      </c>
      <c r="B183" s="15" t="s">
        <v>475</v>
      </c>
      <c r="C183" s="3" t="s">
        <v>40</v>
      </c>
      <c r="D183" s="3" t="s">
        <v>463</v>
      </c>
      <c r="E183" s="3" t="s">
        <v>464</v>
      </c>
      <c r="F183" s="3" t="s">
        <v>285</v>
      </c>
      <c r="G183" s="11">
        <v>0</v>
      </c>
      <c r="H183" s="11">
        <v>0</v>
      </c>
      <c r="I183" s="3" t="s">
        <v>56</v>
      </c>
      <c r="J183" s="3" t="s">
        <v>1842</v>
      </c>
      <c r="K183" s="3">
        <v>46587</v>
      </c>
      <c r="L183" s="11">
        <v>0</v>
      </c>
      <c r="M183" s="11">
        <v>0</v>
      </c>
      <c r="N183" s="3" t="s">
        <v>465</v>
      </c>
      <c r="O183" s="3" t="s">
        <v>362</v>
      </c>
      <c r="P183" s="3" t="s">
        <v>365</v>
      </c>
      <c r="Q183" s="11">
        <v>238</v>
      </c>
      <c r="R183" s="11">
        <v>1579</v>
      </c>
      <c r="S183" s="3" t="s">
        <v>289</v>
      </c>
      <c r="T183" s="4" t="s">
        <v>59</v>
      </c>
      <c r="U183" s="11">
        <f>World_Cup_Matches[[#This Row],[Home Team Goals]]+World_Cup_Matches[[#This Row],[Away Team Goals]]</f>
        <v>0</v>
      </c>
      <c r="V183" s="11">
        <f>World_Cup_Matches[[#This Row],[Home Team Goals]]-World_Cup_Matches[[#This Row],[Away Team Goals]]</f>
        <v>0</v>
      </c>
      <c r="W183" s="4" t="str">
        <f>IF(World_Cup_Matches[[#This Row],[Home Team Goals]]&gt;World_Cup_Matches[[#This Row],[Away Team Goals]],World_Cup_Matches[[#This Row],[Home Team Name]],IF(World_Cup_Matches[[#This Row],[Away Team Goals]]&gt;World_Cup_Matches[[#This Row],[Home Team Goals]], World_Cup_Matches[[#This Row],[Away Team Name]],"Draw"))</f>
        <v>Draw</v>
      </c>
      <c r="X183" s="4" t="str">
        <f>IF(World_Cup_Matches[[#This Row],[Home Team Goals]]&gt;World_Cup_Matches[[#This Row],[Away Team Goals]],"Hime Win",IF(World_Cup_Matches[[#This Row],[Away Team Goals]]&gt;World_Cup_Matches[[#This Row],[Home Team Goals]],"Away win","Draw"))</f>
        <v>Draw</v>
      </c>
    </row>
    <row r="184" spans="1:24" x14ac:dyDescent="0.2">
      <c r="A184" s="19">
        <v>1966</v>
      </c>
      <c r="B184" s="15" t="s">
        <v>475</v>
      </c>
      <c r="C184" s="3" t="s">
        <v>31</v>
      </c>
      <c r="D184" s="3" t="s">
        <v>466</v>
      </c>
      <c r="E184" s="3" t="s">
        <v>467</v>
      </c>
      <c r="F184" s="3" t="s">
        <v>332</v>
      </c>
      <c r="G184" s="11">
        <v>1</v>
      </c>
      <c r="H184" s="11">
        <v>0</v>
      </c>
      <c r="I184" s="3" t="s">
        <v>138</v>
      </c>
      <c r="J184" s="3" t="s">
        <v>1842</v>
      </c>
      <c r="K184" s="3">
        <v>27793</v>
      </c>
      <c r="L184" s="11">
        <v>0</v>
      </c>
      <c r="M184" s="11">
        <v>0</v>
      </c>
      <c r="N184" s="3" t="s">
        <v>469</v>
      </c>
      <c r="O184" s="3" t="s">
        <v>474</v>
      </c>
      <c r="P184" s="3" t="s">
        <v>452</v>
      </c>
      <c r="Q184" s="11">
        <v>238</v>
      </c>
      <c r="R184" s="11">
        <v>1682</v>
      </c>
      <c r="S184" s="3" t="s">
        <v>335</v>
      </c>
      <c r="T184" s="4" t="s">
        <v>142</v>
      </c>
      <c r="U184" s="11">
        <f>World_Cup_Matches[[#This Row],[Home Team Goals]]+World_Cup_Matches[[#This Row],[Away Team Goals]]</f>
        <v>1</v>
      </c>
      <c r="V184" s="11">
        <f>World_Cup_Matches[[#This Row],[Home Team Goals]]-World_Cup_Matches[[#This Row],[Away Team Goals]]</f>
        <v>1</v>
      </c>
      <c r="W184" s="4" t="str">
        <f>IF(World_Cup_Matches[[#This Row],[Home Team Goals]]&gt;World_Cup_Matches[[#This Row],[Away Team Goals]],World_Cup_Matches[[#This Row],[Home Team Name]],IF(World_Cup_Matches[[#This Row],[Away Team Goals]]&gt;World_Cup_Matches[[#This Row],[Home Team Goals]], World_Cup_Matches[[#This Row],[Away Team Name]],"Draw"))</f>
        <v>Soviet Union</v>
      </c>
      <c r="X184" s="4" t="str">
        <f>IF(World_Cup_Matches[[#This Row],[Home Team Goals]]&gt;World_Cup_Matches[[#This Row],[Away Team Goals]],"Hime Win",IF(World_Cup_Matches[[#This Row],[Away Team Goals]]&gt;World_Cup_Matches[[#This Row],[Home Team Goals]],"Away win","Draw"))</f>
        <v>Hime Win</v>
      </c>
    </row>
    <row r="185" spans="1:24" x14ac:dyDescent="0.2">
      <c r="A185" s="19">
        <v>1966</v>
      </c>
      <c r="B185" s="15" t="s">
        <v>477</v>
      </c>
      <c r="C185" s="3" t="s">
        <v>21</v>
      </c>
      <c r="D185" s="3" t="s">
        <v>436</v>
      </c>
      <c r="E185" s="3" t="s">
        <v>437</v>
      </c>
      <c r="F185" s="3" t="s">
        <v>223</v>
      </c>
      <c r="G185" s="11">
        <v>2</v>
      </c>
      <c r="H185" s="11">
        <v>0</v>
      </c>
      <c r="I185" s="3" t="s">
        <v>25</v>
      </c>
      <c r="J185" s="3" t="s">
        <v>1842</v>
      </c>
      <c r="K185" s="3">
        <v>92570</v>
      </c>
      <c r="L185" s="11">
        <v>1</v>
      </c>
      <c r="M185" s="11">
        <v>0</v>
      </c>
      <c r="N185" s="3" t="s">
        <v>478</v>
      </c>
      <c r="O185" s="3" t="s">
        <v>479</v>
      </c>
      <c r="P185" s="3" t="s">
        <v>455</v>
      </c>
      <c r="Q185" s="11">
        <v>238</v>
      </c>
      <c r="R185" s="11">
        <v>1634</v>
      </c>
      <c r="S185" s="3" t="s">
        <v>227</v>
      </c>
      <c r="T185" s="4" t="s">
        <v>30</v>
      </c>
      <c r="U185" s="11">
        <f>World_Cup_Matches[[#This Row],[Home Team Goals]]+World_Cup_Matches[[#This Row],[Away Team Goals]]</f>
        <v>2</v>
      </c>
      <c r="V185" s="11">
        <f>World_Cup_Matches[[#This Row],[Home Team Goals]]-World_Cup_Matches[[#This Row],[Away Team Goals]]</f>
        <v>2</v>
      </c>
      <c r="W185" s="4" t="str">
        <f>IF(World_Cup_Matches[[#This Row],[Home Team Goals]]&gt;World_Cup_Matches[[#This Row],[Away Team Goals]],World_Cup_Matches[[#This Row],[Home Team Name]],IF(World_Cup_Matches[[#This Row],[Away Team Goals]]&gt;World_Cup_Matches[[#This Row],[Home Team Goals]], World_Cup_Matches[[#This Row],[Away Team Name]],"Draw"))</f>
        <v>England</v>
      </c>
      <c r="X185" s="4" t="str">
        <f>IF(World_Cup_Matches[[#This Row],[Home Team Goals]]&gt;World_Cup_Matches[[#This Row],[Away Team Goals]],"Hime Win",IF(World_Cup_Matches[[#This Row],[Away Team Goals]]&gt;World_Cup_Matches[[#This Row],[Home Team Goals]],"Away win","Draw"))</f>
        <v>Hime Win</v>
      </c>
    </row>
    <row r="186" spans="1:24" x14ac:dyDescent="0.2">
      <c r="A186" s="19">
        <v>1966</v>
      </c>
      <c r="B186" s="15" t="s">
        <v>480</v>
      </c>
      <c r="C186" s="3" t="s">
        <v>21</v>
      </c>
      <c r="D186" s="3" t="s">
        <v>436</v>
      </c>
      <c r="E186" s="3" t="s">
        <v>437</v>
      </c>
      <c r="F186" s="3" t="s">
        <v>72</v>
      </c>
      <c r="G186" s="11">
        <v>0</v>
      </c>
      <c r="H186" s="11">
        <v>0</v>
      </c>
      <c r="I186" s="3" t="s">
        <v>25</v>
      </c>
      <c r="J186" s="3" t="s">
        <v>1842</v>
      </c>
      <c r="K186" s="3">
        <v>61112</v>
      </c>
      <c r="L186" s="11">
        <v>0</v>
      </c>
      <c r="M186" s="11">
        <v>0</v>
      </c>
      <c r="N186" s="3" t="s">
        <v>365</v>
      </c>
      <c r="O186" s="3" t="s">
        <v>423</v>
      </c>
      <c r="P186" s="3" t="s">
        <v>478</v>
      </c>
      <c r="Q186" s="11">
        <v>238</v>
      </c>
      <c r="R186" s="11">
        <v>1689</v>
      </c>
      <c r="S186" s="3" t="s">
        <v>73</v>
      </c>
      <c r="T186" s="4" t="s">
        <v>30</v>
      </c>
      <c r="U186" s="11">
        <f>World_Cup_Matches[[#This Row],[Home Team Goals]]+World_Cup_Matches[[#This Row],[Away Team Goals]]</f>
        <v>0</v>
      </c>
      <c r="V186" s="11">
        <f>World_Cup_Matches[[#This Row],[Home Team Goals]]-World_Cup_Matches[[#This Row],[Away Team Goals]]</f>
        <v>0</v>
      </c>
      <c r="W186" s="4" t="str">
        <f>IF(World_Cup_Matches[[#This Row],[Home Team Goals]]&gt;World_Cup_Matches[[#This Row],[Away Team Goals]],World_Cup_Matches[[#This Row],[Home Team Name]],IF(World_Cup_Matches[[#This Row],[Away Team Goals]]&gt;World_Cup_Matches[[#This Row],[Home Team Goals]], World_Cup_Matches[[#This Row],[Away Team Name]],"Draw"))</f>
        <v>Draw</v>
      </c>
      <c r="X186" s="4" t="str">
        <f>IF(World_Cup_Matches[[#This Row],[Home Team Goals]]&gt;World_Cup_Matches[[#This Row],[Away Team Goals]],"Hime Win",IF(World_Cup_Matches[[#This Row],[Away Team Goals]]&gt;World_Cup_Matches[[#This Row],[Home Team Goals]],"Away win","Draw"))</f>
        <v>Draw</v>
      </c>
    </row>
    <row r="187" spans="1:24" x14ac:dyDescent="0.2">
      <c r="A187" s="19">
        <v>1966</v>
      </c>
      <c r="B187" s="15" t="s">
        <v>481</v>
      </c>
      <c r="C187" s="3" t="s">
        <v>40</v>
      </c>
      <c r="D187" s="3" t="s">
        <v>440</v>
      </c>
      <c r="E187" s="3" t="s">
        <v>441</v>
      </c>
      <c r="F187" s="3" t="s">
        <v>56</v>
      </c>
      <c r="G187" s="11">
        <v>2</v>
      </c>
      <c r="H187" s="11">
        <v>0</v>
      </c>
      <c r="I187" s="3" t="s">
        <v>108</v>
      </c>
      <c r="J187" s="3" t="s">
        <v>1842</v>
      </c>
      <c r="K187" s="3">
        <v>32127</v>
      </c>
      <c r="L187" s="11">
        <v>0</v>
      </c>
      <c r="M187" s="11">
        <v>0</v>
      </c>
      <c r="N187" s="3" t="s">
        <v>362</v>
      </c>
      <c r="O187" s="3" t="s">
        <v>287</v>
      </c>
      <c r="P187" s="3" t="s">
        <v>438</v>
      </c>
      <c r="Q187" s="11">
        <v>238</v>
      </c>
      <c r="R187" s="11">
        <v>1582</v>
      </c>
      <c r="S187" s="3" t="s">
        <v>59</v>
      </c>
      <c r="T187" s="4" t="s">
        <v>113</v>
      </c>
      <c r="U187" s="11">
        <f>World_Cup_Matches[[#This Row],[Home Team Goals]]+World_Cup_Matches[[#This Row],[Away Team Goals]]</f>
        <v>2</v>
      </c>
      <c r="V187" s="11">
        <f>World_Cup_Matches[[#This Row],[Home Team Goals]]-World_Cup_Matches[[#This Row],[Away Team Goals]]</f>
        <v>2</v>
      </c>
      <c r="W187" s="4" t="str">
        <f>IF(World_Cup_Matches[[#This Row],[Home Team Goals]]&gt;World_Cup_Matches[[#This Row],[Away Team Goals]],World_Cup_Matches[[#This Row],[Home Team Name]],IF(World_Cup_Matches[[#This Row],[Away Team Goals]]&gt;World_Cup_Matches[[#This Row],[Home Team Goals]], World_Cup_Matches[[#This Row],[Away Team Name]],"Draw"))</f>
        <v>Argentina</v>
      </c>
      <c r="X187" s="4" t="str">
        <f>IF(World_Cup_Matches[[#This Row],[Home Team Goals]]&gt;World_Cup_Matches[[#This Row],[Away Team Goals]],"Hime Win",IF(World_Cup_Matches[[#This Row],[Away Team Goals]]&gt;World_Cup_Matches[[#This Row],[Home Team Goals]],"Away win","Draw"))</f>
        <v>Hime Win</v>
      </c>
    </row>
    <row r="188" spans="1:24" x14ac:dyDescent="0.2">
      <c r="A188" s="19">
        <v>1966</v>
      </c>
      <c r="B188" s="15" t="s">
        <v>481</v>
      </c>
      <c r="C188" s="3" t="s">
        <v>49</v>
      </c>
      <c r="D188" s="3" t="s">
        <v>444</v>
      </c>
      <c r="E188" s="3" t="s">
        <v>445</v>
      </c>
      <c r="F188" s="3" t="s">
        <v>458</v>
      </c>
      <c r="G188" s="11">
        <v>3</v>
      </c>
      <c r="H188" s="11">
        <v>1</v>
      </c>
      <c r="I188" s="3" t="s">
        <v>42</v>
      </c>
      <c r="J188" s="3" t="s">
        <v>1842</v>
      </c>
      <c r="K188" s="3">
        <v>58479</v>
      </c>
      <c r="L188" s="11">
        <v>2</v>
      </c>
      <c r="M188" s="11">
        <v>0</v>
      </c>
      <c r="N188" s="3" t="s">
        <v>447</v>
      </c>
      <c r="O188" s="3" t="s">
        <v>459</v>
      </c>
      <c r="P188" s="3" t="s">
        <v>473</v>
      </c>
      <c r="Q188" s="11">
        <v>238</v>
      </c>
      <c r="R188" s="11">
        <v>1598</v>
      </c>
      <c r="S188" s="3" t="s">
        <v>462</v>
      </c>
      <c r="T188" s="4" t="s">
        <v>47</v>
      </c>
      <c r="U188" s="11">
        <f>World_Cup_Matches[[#This Row],[Home Team Goals]]+World_Cup_Matches[[#This Row],[Away Team Goals]]</f>
        <v>4</v>
      </c>
      <c r="V188" s="11">
        <f>World_Cup_Matches[[#This Row],[Home Team Goals]]-World_Cup_Matches[[#This Row],[Away Team Goals]]</f>
        <v>2</v>
      </c>
      <c r="W188" s="4" t="str">
        <f>IF(World_Cup_Matches[[#This Row],[Home Team Goals]]&gt;World_Cup_Matches[[#This Row],[Away Team Goals]],World_Cup_Matches[[#This Row],[Home Team Name]],IF(World_Cup_Matches[[#This Row],[Away Team Goals]]&gt;World_Cup_Matches[[#This Row],[Home Team Goals]], World_Cup_Matches[[#This Row],[Away Team Name]],"Draw"))</f>
        <v>Portugal</v>
      </c>
      <c r="X188" s="4" t="str">
        <f>IF(World_Cup_Matches[[#This Row],[Home Team Goals]]&gt;World_Cup_Matches[[#This Row],[Away Team Goals]],"Hime Win",IF(World_Cup_Matches[[#This Row],[Away Team Goals]]&gt;World_Cup_Matches[[#This Row],[Home Team Goals]],"Away win","Draw"))</f>
        <v>Hime Win</v>
      </c>
    </row>
    <row r="189" spans="1:24" x14ac:dyDescent="0.2">
      <c r="A189" s="19">
        <v>1966</v>
      </c>
      <c r="B189" s="15" t="s">
        <v>481</v>
      </c>
      <c r="C189" s="3" t="s">
        <v>31</v>
      </c>
      <c r="D189" s="3" t="s">
        <v>449</v>
      </c>
      <c r="E189" s="3" t="s">
        <v>450</v>
      </c>
      <c r="F189" s="3" t="s">
        <v>451</v>
      </c>
      <c r="G189" s="11">
        <v>1</v>
      </c>
      <c r="H189" s="11">
        <v>0</v>
      </c>
      <c r="I189" s="3" t="s">
        <v>138</v>
      </c>
      <c r="J189" s="3" t="s">
        <v>1842</v>
      </c>
      <c r="K189" s="3">
        <v>17829</v>
      </c>
      <c r="L189" s="11">
        <v>1</v>
      </c>
      <c r="M189" s="11">
        <v>0</v>
      </c>
      <c r="N189" s="3" t="s">
        <v>398</v>
      </c>
      <c r="O189" s="3" t="s">
        <v>443</v>
      </c>
      <c r="P189" s="3" t="s">
        <v>448</v>
      </c>
      <c r="Q189" s="11">
        <v>238</v>
      </c>
      <c r="R189" s="11">
        <v>1679</v>
      </c>
      <c r="S189" s="3" t="s">
        <v>453</v>
      </c>
      <c r="T189" s="4" t="s">
        <v>142</v>
      </c>
      <c r="U189" s="11">
        <f>World_Cup_Matches[[#This Row],[Home Team Goals]]+World_Cup_Matches[[#This Row],[Away Team Goals]]</f>
        <v>1</v>
      </c>
      <c r="V189" s="11">
        <f>World_Cup_Matches[[#This Row],[Home Team Goals]]-World_Cup_Matches[[#This Row],[Away Team Goals]]</f>
        <v>1</v>
      </c>
      <c r="W189" s="4" t="str">
        <f>IF(World_Cup_Matches[[#This Row],[Home Team Goals]]&gt;World_Cup_Matches[[#This Row],[Away Team Goals]],World_Cup_Matches[[#This Row],[Home Team Name]],IF(World_Cup_Matches[[#This Row],[Away Team Goals]]&gt;World_Cup_Matches[[#This Row],[Home Team Goals]], World_Cup_Matches[[#This Row],[Away Team Name]],"Draw"))</f>
        <v>Korea DPR</v>
      </c>
      <c r="X189" s="4" t="str">
        <f>IF(World_Cup_Matches[[#This Row],[Home Team Goals]]&gt;World_Cup_Matches[[#This Row],[Away Team Goals]],"Hime Win",IF(World_Cup_Matches[[#This Row],[Away Team Goals]]&gt;World_Cup_Matches[[#This Row],[Home Team Goals]],"Away win","Draw"))</f>
        <v>Hime Win</v>
      </c>
    </row>
    <row r="190" spans="1:24" x14ac:dyDescent="0.2">
      <c r="A190" s="19">
        <v>1966</v>
      </c>
      <c r="B190" s="15" t="s">
        <v>482</v>
      </c>
      <c r="C190" s="3" t="s">
        <v>21</v>
      </c>
      <c r="D190" s="3" t="s">
        <v>436</v>
      </c>
      <c r="E190" s="3" t="s">
        <v>437</v>
      </c>
      <c r="F190" s="3" t="s">
        <v>223</v>
      </c>
      <c r="G190" s="11">
        <v>2</v>
      </c>
      <c r="H190" s="11">
        <v>0</v>
      </c>
      <c r="I190" s="3" t="s">
        <v>24</v>
      </c>
      <c r="J190" s="3" t="s">
        <v>1842</v>
      </c>
      <c r="K190" s="3">
        <v>98270</v>
      </c>
      <c r="L190" s="11">
        <v>1</v>
      </c>
      <c r="M190" s="11">
        <v>0</v>
      </c>
      <c r="N190" s="3" t="s">
        <v>409</v>
      </c>
      <c r="O190" s="3" t="s">
        <v>393</v>
      </c>
      <c r="P190" s="3" t="s">
        <v>429</v>
      </c>
      <c r="Q190" s="11">
        <v>238</v>
      </c>
      <c r="R190" s="11">
        <v>1632</v>
      </c>
      <c r="S190" s="3" t="s">
        <v>227</v>
      </c>
      <c r="T190" s="4" t="s">
        <v>29</v>
      </c>
      <c r="U190" s="11">
        <f>World_Cup_Matches[[#This Row],[Home Team Goals]]+World_Cup_Matches[[#This Row],[Away Team Goals]]</f>
        <v>2</v>
      </c>
      <c r="V190" s="11">
        <f>World_Cup_Matches[[#This Row],[Home Team Goals]]-World_Cup_Matches[[#This Row],[Away Team Goals]]</f>
        <v>2</v>
      </c>
      <c r="W190" s="4" t="str">
        <f>IF(World_Cup_Matches[[#This Row],[Home Team Goals]]&gt;World_Cup_Matches[[#This Row],[Away Team Goals]],World_Cup_Matches[[#This Row],[Home Team Name]],IF(World_Cup_Matches[[#This Row],[Away Team Goals]]&gt;World_Cup_Matches[[#This Row],[Home Team Goals]], World_Cup_Matches[[#This Row],[Away Team Name]],"Draw"))</f>
        <v>England</v>
      </c>
      <c r="X190" s="4" t="str">
        <f>IF(World_Cup_Matches[[#This Row],[Home Team Goals]]&gt;World_Cup_Matches[[#This Row],[Away Team Goals]],"Hime Win",IF(World_Cup_Matches[[#This Row],[Away Team Goals]]&gt;World_Cup_Matches[[#This Row],[Home Team Goals]],"Away win","Draw"))</f>
        <v>Hime Win</v>
      </c>
    </row>
    <row r="191" spans="1:24" x14ac:dyDescent="0.2">
      <c r="A191" s="19">
        <v>1966</v>
      </c>
      <c r="B191" s="15" t="s">
        <v>482</v>
      </c>
      <c r="C191" s="3" t="s">
        <v>49</v>
      </c>
      <c r="D191" s="3" t="s">
        <v>456</v>
      </c>
      <c r="E191" s="3" t="s">
        <v>457</v>
      </c>
      <c r="F191" s="3" t="s">
        <v>99</v>
      </c>
      <c r="G191" s="11">
        <v>3</v>
      </c>
      <c r="H191" s="11">
        <v>1</v>
      </c>
      <c r="I191" s="3" t="s">
        <v>401</v>
      </c>
      <c r="J191" s="3" t="s">
        <v>1842</v>
      </c>
      <c r="K191" s="3">
        <v>24129</v>
      </c>
      <c r="L191" s="11">
        <v>2</v>
      </c>
      <c r="M191" s="11">
        <v>1</v>
      </c>
      <c r="N191" s="3" t="s">
        <v>476</v>
      </c>
      <c r="O191" s="3" t="s">
        <v>348</v>
      </c>
      <c r="P191" s="3" t="s">
        <v>343</v>
      </c>
      <c r="Q191" s="11">
        <v>238</v>
      </c>
      <c r="R191" s="11">
        <v>1599</v>
      </c>
      <c r="S191" s="3" t="s">
        <v>104</v>
      </c>
      <c r="T191" s="4" t="s">
        <v>404</v>
      </c>
      <c r="U191" s="11">
        <f>World_Cup_Matches[[#This Row],[Home Team Goals]]+World_Cup_Matches[[#This Row],[Away Team Goals]]</f>
        <v>4</v>
      </c>
      <c r="V191" s="11">
        <f>World_Cup_Matches[[#This Row],[Home Team Goals]]-World_Cup_Matches[[#This Row],[Away Team Goals]]</f>
        <v>2</v>
      </c>
      <c r="W191" s="4" t="str">
        <f>IF(World_Cup_Matches[[#This Row],[Home Team Goals]]&gt;World_Cup_Matches[[#This Row],[Away Team Goals]],World_Cup_Matches[[#This Row],[Home Team Name]],IF(World_Cup_Matches[[#This Row],[Away Team Goals]]&gt;World_Cup_Matches[[#This Row],[Home Team Goals]], World_Cup_Matches[[#This Row],[Away Team Name]],"Draw"))</f>
        <v>Hungary</v>
      </c>
      <c r="X191" s="4" t="str">
        <f>IF(World_Cup_Matches[[#This Row],[Home Team Goals]]&gt;World_Cup_Matches[[#This Row],[Away Team Goals]],"Hime Win",IF(World_Cup_Matches[[#This Row],[Away Team Goals]]&gt;World_Cup_Matches[[#This Row],[Home Team Goals]],"Away win","Draw"))</f>
        <v>Hime Win</v>
      </c>
    </row>
    <row r="192" spans="1:24" x14ac:dyDescent="0.2">
      <c r="A192" s="19">
        <v>1966</v>
      </c>
      <c r="B192" s="15" t="s">
        <v>482</v>
      </c>
      <c r="C192" s="3" t="s">
        <v>40</v>
      </c>
      <c r="D192" s="3" t="s">
        <v>463</v>
      </c>
      <c r="E192" s="3" t="s">
        <v>464</v>
      </c>
      <c r="F192" s="3" t="s">
        <v>285</v>
      </c>
      <c r="G192" s="11">
        <v>2</v>
      </c>
      <c r="H192" s="11">
        <v>1</v>
      </c>
      <c r="I192" s="3" t="s">
        <v>131</v>
      </c>
      <c r="J192" s="3" t="s">
        <v>1842</v>
      </c>
      <c r="K192" s="3">
        <v>42187</v>
      </c>
      <c r="L192" s="11">
        <v>1</v>
      </c>
      <c r="M192" s="11">
        <v>1</v>
      </c>
      <c r="N192" s="3" t="s">
        <v>472</v>
      </c>
      <c r="O192" s="3" t="s">
        <v>423</v>
      </c>
      <c r="P192" s="3" t="s">
        <v>479</v>
      </c>
      <c r="Q192" s="11">
        <v>238</v>
      </c>
      <c r="R192" s="11">
        <v>1637</v>
      </c>
      <c r="S192" s="3" t="s">
        <v>289</v>
      </c>
      <c r="T192" s="4" t="s">
        <v>135</v>
      </c>
      <c r="U192" s="11">
        <f>World_Cup_Matches[[#This Row],[Home Team Goals]]+World_Cup_Matches[[#This Row],[Away Team Goals]]</f>
        <v>3</v>
      </c>
      <c r="V192" s="11">
        <f>World_Cup_Matches[[#This Row],[Home Team Goals]]-World_Cup_Matches[[#This Row],[Away Team Goals]]</f>
        <v>1</v>
      </c>
      <c r="W192" s="4" t="str">
        <f>IF(World_Cup_Matches[[#This Row],[Home Team Goals]]&gt;World_Cup_Matches[[#This Row],[Away Team Goals]],World_Cup_Matches[[#This Row],[Home Team Name]],IF(World_Cup_Matches[[#This Row],[Away Team Goals]]&gt;World_Cup_Matches[[#This Row],[Home Team Goals]], World_Cup_Matches[[#This Row],[Away Team Name]],"Draw"))</f>
        <v>Germany FR</v>
      </c>
      <c r="X192" s="4" t="str">
        <f>IF(World_Cup_Matches[[#This Row],[Home Team Goals]]&gt;World_Cup_Matches[[#This Row],[Away Team Goals]],"Hime Win",IF(World_Cup_Matches[[#This Row],[Away Team Goals]]&gt;World_Cup_Matches[[#This Row],[Home Team Goals]],"Away win","Draw"))</f>
        <v>Hime Win</v>
      </c>
    </row>
    <row r="193" spans="1:24" x14ac:dyDescent="0.2">
      <c r="A193" s="19">
        <v>1966</v>
      </c>
      <c r="B193" s="15" t="s">
        <v>482</v>
      </c>
      <c r="C193" s="3" t="s">
        <v>31</v>
      </c>
      <c r="D193" s="3" t="s">
        <v>466</v>
      </c>
      <c r="E193" s="3" t="s">
        <v>467</v>
      </c>
      <c r="F193" s="3" t="s">
        <v>332</v>
      </c>
      <c r="G193" s="11">
        <v>2</v>
      </c>
      <c r="H193" s="11">
        <v>1</v>
      </c>
      <c r="I193" s="3" t="s">
        <v>61</v>
      </c>
      <c r="J193" s="3" t="s">
        <v>1842</v>
      </c>
      <c r="K193" s="3">
        <v>16027</v>
      </c>
      <c r="L193" s="11">
        <v>1</v>
      </c>
      <c r="M193" s="11">
        <v>1</v>
      </c>
      <c r="N193" s="3" t="s">
        <v>443</v>
      </c>
      <c r="O193" s="3" t="s">
        <v>398</v>
      </c>
      <c r="P193" s="3" t="s">
        <v>461</v>
      </c>
      <c r="Q193" s="11">
        <v>238</v>
      </c>
      <c r="R193" s="11">
        <v>1610</v>
      </c>
      <c r="S193" s="3" t="s">
        <v>335</v>
      </c>
      <c r="T193" s="4" t="s">
        <v>63</v>
      </c>
      <c r="U193" s="11">
        <f>World_Cup_Matches[[#This Row],[Home Team Goals]]+World_Cup_Matches[[#This Row],[Away Team Goals]]</f>
        <v>3</v>
      </c>
      <c r="V193" s="11">
        <f>World_Cup_Matches[[#This Row],[Home Team Goals]]-World_Cup_Matches[[#This Row],[Away Team Goals]]</f>
        <v>1</v>
      </c>
      <c r="W193" s="4" t="str">
        <f>IF(World_Cup_Matches[[#This Row],[Home Team Goals]]&gt;World_Cup_Matches[[#This Row],[Away Team Goals]],World_Cup_Matches[[#This Row],[Home Team Name]],IF(World_Cup_Matches[[#This Row],[Away Team Goals]]&gt;World_Cup_Matches[[#This Row],[Home Team Goals]], World_Cup_Matches[[#This Row],[Away Team Name]],"Draw"))</f>
        <v>Soviet Union</v>
      </c>
      <c r="X193" s="4" t="str">
        <f>IF(World_Cup_Matches[[#This Row],[Home Team Goals]]&gt;World_Cup_Matches[[#This Row],[Away Team Goals]],"Hime Win",IF(World_Cup_Matches[[#This Row],[Away Team Goals]]&gt;World_Cup_Matches[[#This Row],[Home Team Goals]],"Away win","Draw"))</f>
        <v>Hime Win</v>
      </c>
    </row>
    <row r="194" spans="1:24" x14ac:dyDescent="0.2">
      <c r="A194" s="19">
        <v>1966</v>
      </c>
      <c r="B194" s="15" t="s">
        <v>483</v>
      </c>
      <c r="C194" s="3" t="s">
        <v>150</v>
      </c>
      <c r="D194" s="3" t="s">
        <v>436</v>
      </c>
      <c r="E194" s="3" t="s">
        <v>437</v>
      </c>
      <c r="F194" s="3" t="s">
        <v>223</v>
      </c>
      <c r="G194" s="11">
        <v>1</v>
      </c>
      <c r="H194" s="11">
        <v>0</v>
      </c>
      <c r="I194" s="3" t="s">
        <v>56</v>
      </c>
      <c r="J194" s="3" t="s">
        <v>1842</v>
      </c>
      <c r="K194" s="3">
        <v>90584</v>
      </c>
      <c r="L194" s="11">
        <v>0</v>
      </c>
      <c r="M194" s="11">
        <v>0</v>
      </c>
      <c r="N194" s="3" t="s">
        <v>469</v>
      </c>
      <c r="O194" s="3" t="s">
        <v>397</v>
      </c>
      <c r="P194" s="3" t="s">
        <v>287</v>
      </c>
      <c r="Q194" s="11">
        <v>239</v>
      </c>
      <c r="R194" s="11">
        <v>1577</v>
      </c>
      <c r="S194" s="3" t="s">
        <v>227</v>
      </c>
      <c r="T194" s="4" t="s">
        <v>59</v>
      </c>
      <c r="U194" s="11">
        <f>World_Cup_Matches[[#This Row],[Home Team Goals]]+World_Cup_Matches[[#This Row],[Away Team Goals]]</f>
        <v>1</v>
      </c>
      <c r="V194" s="11">
        <f>World_Cup_Matches[[#This Row],[Home Team Goals]]-World_Cup_Matches[[#This Row],[Away Team Goals]]</f>
        <v>1</v>
      </c>
      <c r="W194" s="4" t="str">
        <f>IF(World_Cup_Matches[[#This Row],[Home Team Goals]]&gt;World_Cup_Matches[[#This Row],[Away Team Goals]],World_Cup_Matches[[#This Row],[Home Team Name]],IF(World_Cup_Matches[[#This Row],[Away Team Goals]]&gt;World_Cup_Matches[[#This Row],[Home Team Goals]], World_Cup_Matches[[#This Row],[Away Team Name]],"Draw"))</f>
        <v>England</v>
      </c>
      <c r="X194" s="4" t="str">
        <f>IF(World_Cup_Matches[[#This Row],[Home Team Goals]]&gt;World_Cup_Matches[[#This Row],[Away Team Goals]],"Hime Win",IF(World_Cup_Matches[[#This Row],[Away Team Goals]]&gt;World_Cup_Matches[[#This Row],[Home Team Goals]],"Away win","Draw"))</f>
        <v>Hime Win</v>
      </c>
    </row>
    <row r="195" spans="1:24" x14ac:dyDescent="0.2">
      <c r="A195" s="19">
        <v>1966</v>
      </c>
      <c r="B195" s="15" t="s">
        <v>483</v>
      </c>
      <c r="C195" s="3" t="s">
        <v>150</v>
      </c>
      <c r="D195" s="3" t="s">
        <v>440</v>
      </c>
      <c r="E195" s="3" t="s">
        <v>441</v>
      </c>
      <c r="F195" s="3" t="s">
        <v>285</v>
      </c>
      <c r="G195" s="11">
        <v>4</v>
      </c>
      <c r="H195" s="11">
        <v>0</v>
      </c>
      <c r="I195" s="3" t="s">
        <v>72</v>
      </c>
      <c r="J195" s="3" t="s">
        <v>1842</v>
      </c>
      <c r="K195" s="3">
        <v>40007</v>
      </c>
      <c r="L195" s="11">
        <v>1</v>
      </c>
      <c r="M195" s="11">
        <v>0</v>
      </c>
      <c r="N195" s="3" t="s">
        <v>468</v>
      </c>
      <c r="O195" s="3" t="s">
        <v>452</v>
      </c>
      <c r="P195" s="3" t="s">
        <v>442</v>
      </c>
      <c r="Q195" s="11">
        <v>239</v>
      </c>
      <c r="R195" s="11">
        <v>1660</v>
      </c>
      <c r="S195" s="3" t="s">
        <v>289</v>
      </c>
      <c r="T195" s="4" t="s">
        <v>73</v>
      </c>
      <c r="U195" s="11">
        <f>World_Cup_Matches[[#This Row],[Home Team Goals]]+World_Cup_Matches[[#This Row],[Away Team Goals]]</f>
        <v>4</v>
      </c>
      <c r="V195" s="11">
        <f>World_Cup_Matches[[#This Row],[Home Team Goals]]-World_Cup_Matches[[#This Row],[Away Team Goals]]</f>
        <v>4</v>
      </c>
      <c r="W195" s="4" t="str">
        <f>IF(World_Cup_Matches[[#This Row],[Home Team Goals]]&gt;World_Cup_Matches[[#This Row],[Away Team Goals]],World_Cup_Matches[[#This Row],[Home Team Name]],IF(World_Cup_Matches[[#This Row],[Away Team Goals]]&gt;World_Cup_Matches[[#This Row],[Home Team Goals]], World_Cup_Matches[[#This Row],[Away Team Name]],"Draw"))</f>
        <v>Germany FR</v>
      </c>
      <c r="X195" s="4" t="str">
        <f>IF(World_Cup_Matches[[#This Row],[Home Team Goals]]&gt;World_Cup_Matches[[#This Row],[Away Team Goals]],"Hime Win",IF(World_Cup_Matches[[#This Row],[Away Team Goals]]&gt;World_Cup_Matches[[#This Row],[Home Team Goals]],"Away win","Draw"))</f>
        <v>Hime Win</v>
      </c>
    </row>
    <row r="196" spans="1:24" x14ac:dyDescent="0.2">
      <c r="A196" s="19">
        <v>1966</v>
      </c>
      <c r="B196" s="15" t="s">
        <v>483</v>
      </c>
      <c r="C196" s="3" t="s">
        <v>150</v>
      </c>
      <c r="D196" s="3" t="s">
        <v>466</v>
      </c>
      <c r="E196" s="3" t="s">
        <v>467</v>
      </c>
      <c r="F196" s="3" t="s">
        <v>332</v>
      </c>
      <c r="G196" s="11">
        <v>2</v>
      </c>
      <c r="H196" s="11">
        <v>1</v>
      </c>
      <c r="I196" s="3" t="s">
        <v>99</v>
      </c>
      <c r="J196" s="3" t="s">
        <v>1842</v>
      </c>
      <c r="K196" s="3">
        <v>26844</v>
      </c>
      <c r="L196" s="11">
        <v>1</v>
      </c>
      <c r="M196" s="11">
        <v>0</v>
      </c>
      <c r="N196" s="3" t="s">
        <v>348</v>
      </c>
      <c r="O196" s="3" t="s">
        <v>343</v>
      </c>
      <c r="P196" s="3" t="s">
        <v>362</v>
      </c>
      <c r="Q196" s="11">
        <v>239</v>
      </c>
      <c r="R196" s="11">
        <v>1676</v>
      </c>
      <c r="S196" s="3" t="s">
        <v>335</v>
      </c>
      <c r="T196" s="4" t="s">
        <v>104</v>
      </c>
      <c r="U196" s="11">
        <f>World_Cup_Matches[[#This Row],[Home Team Goals]]+World_Cup_Matches[[#This Row],[Away Team Goals]]</f>
        <v>3</v>
      </c>
      <c r="V196" s="11">
        <f>World_Cup_Matches[[#This Row],[Home Team Goals]]-World_Cup_Matches[[#This Row],[Away Team Goals]]</f>
        <v>1</v>
      </c>
      <c r="W196" s="4" t="str">
        <f>IF(World_Cup_Matches[[#This Row],[Home Team Goals]]&gt;World_Cup_Matches[[#This Row],[Away Team Goals]],World_Cup_Matches[[#This Row],[Home Team Name]],IF(World_Cup_Matches[[#This Row],[Away Team Goals]]&gt;World_Cup_Matches[[#This Row],[Home Team Goals]], World_Cup_Matches[[#This Row],[Away Team Name]],"Draw"))</f>
        <v>Soviet Union</v>
      </c>
      <c r="X196" s="4" t="str">
        <f>IF(World_Cup_Matches[[#This Row],[Home Team Goals]]&gt;World_Cup_Matches[[#This Row],[Away Team Goals]],"Hime Win",IF(World_Cup_Matches[[#This Row],[Away Team Goals]]&gt;World_Cup_Matches[[#This Row],[Home Team Goals]],"Away win","Draw"))</f>
        <v>Hime Win</v>
      </c>
    </row>
    <row r="197" spans="1:24" x14ac:dyDescent="0.2">
      <c r="A197" s="19">
        <v>1966</v>
      </c>
      <c r="B197" s="15" t="s">
        <v>483</v>
      </c>
      <c r="C197" s="3" t="s">
        <v>150</v>
      </c>
      <c r="D197" s="3" t="s">
        <v>444</v>
      </c>
      <c r="E197" s="3" t="s">
        <v>445</v>
      </c>
      <c r="F197" s="3" t="s">
        <v>458</v>
      </c>
      <c r="G197" s="11">
        <v>5</v>
      </c>
      <c r="H197" s="11">
        <v>3</v>
      </c>
      <c r="I197" s="3" t="s">
        <v>451</v>
      </c>
      <c r="J197" s="3" t="s">
        <v>1842</v>
      </c>
      <c r="K197" s="3">
        <v>40248</v>
      </c>
      <c r="L197" s="11">
        <v>2</v>
      </c>
      <c r="M197" s="11">
        <v>3</v>
      </c>
      <c r="N197" s="3" t="s">
        <v>455</v>
      </c>
      <c r="O197" s="3" t="s">
        <v>393</v>
      </c>
      <c r="P197" s="3" t="s">
        <v>398</v>
      </c>
      <c r="Q197" s="11">
        <v>239</v>
      </c>
      <c r="R197" s="11">
        <v>1702</v>
      </c>
      <c r="S197" s="3" t="s">
        <v>462</v>
      </c>
      <c r="T197" s="4" t="s">
        <v>453</v>
      </c>
      <c r="U197" s="11">
        <f>World_Cup_Matches[[#This Row],[Home Team Goals]]+World_Cup_Matches[[#This Row],[Away Team Goals]]</f>
        <v>8</v>
      </c>
      <c r="V197" s="11">
        <f>World_Cup_Matches[[#This Row],[Home Team Goals]]-World_Cup_Matches[[#This Row],[Away Team Goals]]</f>
        <v>2</v>
      </c>
      <c r="W197" s="4" t="str">
        <f>IF(World_Cup_Matches[[#This Row],[Home Team Goals]]&gt;World_Cup_Matches[[#This Row],[Away Team Goals]],World_Cup_Matches[[#This Row],[Home Team Name]],IF(World_Cup_Matches[[#This Row],[Away Team Goals]]&gt;World_Cup_Matches[[#This Row],[Home Team Goals]], World_Cup_Matches[[#This Row],[Away Team Name]],"Draw"))</f>
        <v>Portugal</v>
      </c>
      <c r="X197" s="4" t="str">
        <f>IF(World_Cup_Matches[[#This Row],[Home Team Goals]]&gt;World_Cup_Matches[[#This Row],[Away Team Goals]],"Hime Win",IF(World_Cup_Matches[[#This Row],[Away Team Goals]]&gt;World_Cup_Matches[[#This Row],[Home Team Goals]],"Away win","Draw"))</f>
        <v>Hime Win</v>
      </c>
    </row>
    <row r="198" spans="1:24" x14ac:dyDescent="0.2">
      <c r="A198" s="19">
        <v>1966</v>
      </c>
      <c r="B198" s="15" t="s">
        <v>484</v>
      </c>
      <c r="C198" s="3" t="s">
        <v>83</v>
      </c>
      <c r="D198" s="3" t="s">
        <v>444</v>
      </c>
      <c r="E198" s="3" t="s">
        <v>445</v>
      </c>
      <c r="F198" s="3" t="s">
        <v>285</v>
      </c>
      <c r="G198" s="11">
        <v>2</v>
      </c>
      <c r="H198" s="11">
        <v>1</v>
      </c>
      <c r="I198" s="3" t="s">
        <v>332</v>
      </c>
      <c r="J198" s="3" t="s">
        <v>1842</v>
      </c>
      <c r="K198" s="3">
        <v>38273</v>
      </c>
      <c r="L198" s="11">
        <v>1</v>
      </c>
      <c r="M198" s="11">
        <v>0</v>
      </c>
      <c r="N198" s="3" t="s">
        <v>478</v>
      </c>
      <c r="O198" s="3" t="s">
        <v>343</v>
      </c>
      <c r="P198" s="3" t="s">
        <v>348</v>
      </c>
      <c r="Q198" s="11">
        <v>536</v>
      </c>
      <c r="R198" s="11">
        <v>1659</v>
      </c>
      <c r="S198" s="3" t="s">
        <v>289</v>
      </c>
      <c r="T198" s="4" t="s">
        <v>335</v>
      </c>
      <c r="U198" s="11">
        <f>World_Cup_Matches[[#This Row],[Home Team Goals]]+World_Cup_Matches[[#This Row],[Away Team Goals]]</f>
        <v>3</v>
      </c>
      <c r="V198" s="11">
        <f>World_Cup_Matches[[#This Row],[Home Team Goals]]-World_Cup_Matches[[#This Row],[Away Team Goals]]</f>
        <v>1</v>
      </c>
      <c r="W198" s="4" t="str">
        <f>IF(World_Cup_Matches[[#This Row],[Home Team Goals]]&gt;World_Cup_Matches[[#This Row],[Away Team Goals]],World_Cup_Matches[[#This Row],[Home Team Name]],IF(World_Cup_Matches[[#This Row],[Away Team Goals]]&gt;World_Cup_Matches[[#This Row],[Home Team Goals]], World_Cup_Matches[[#This Row],[Away Team Name]],"Draw"))</f>
        <v>Germany FR</v>
      </c>
      <c r="X198" s="4" t="str">
        <f>IF(World_Cup_Matches[[#This Row],[Home Team Goals]]&gt;World_Cup_Matches[[#This Row],[Away Team Goals]],"Hime Win",IF(World_Cup_Matches[[#This Row],[Away Team Goals]]&gt;World_Cup_Matches[[#This Row],[Home Team Goals]],"Away win","Draw"))</f>
        <v>Hime Win</v>
      </c>
    </row>
    <row r="199" spans="1:24" x14ac:dyDescent="0.2">
      <c r="A199" s="19">
        <v>1966</v>
      </c>
      <c r="B199" s="15" t="s">
        <v>485</v>
      </c>
      <c r="C199" s="3" t="s">
        <v>83</v>
      </c>
      <c r="D199" s="3" t="s">
        <v>436</v>
      </c>
      <c r="E199" s="3" t="s">
        <v>437</v>
      </c>
      <c r="F199" s="3" t="s">
        <v>223</v>
      </c>
      <c r="G199" s="11">
        <v>2</v>
      </c>
      <c r="H199" s="11">
        <v>1</v>
      </c>
      <c r="I199" s="3" t="s">
        <v>458</v>
      </c>
      <c r="J199" s="3" t="s">
        <v>1842</v>
      </c>
      <c r="K199" s="3">
        <v>94493</v>
      </c>
      <c r="L199" s="11">
        <v>1</v>
      </c>
      <c r="M199" s="11">
        <v>0</v>
      </c>
      <c r="N199" s="3" t="s">
        <v>398</v>
      </c>
      <c r="O199" s="3" t="s">
        <v>409</v>
      </c>
      <c r="P199" s="3" t="s">
        <v>465</v>
      </c>
      <c r="Q199" s="11">
        <v>536</v>
      </c>
      <c r="R199" s="11">
        <v>1635</v>
      </c>
      <c r="S199" s="3" t="s">
        <v>227</v>
      </c>
      <c r="T199" s="4" t="s">
        <v>462</v>
      </c>
      <c r="U199" s="11">
        <f>World_Cup_Matches[[#This Row],[Home Team Goals]]+World_Cup_Matches[[#This Row],[Away Team Goals]]</f>
        <v>3</v>
      </c>
      <c r="V199" s="11">
        <f>World_Cup_Matches[[#This Row],[Home Team Goals]]-World_Cup_Matches[[#This Row],[Away Team Goals]]</f>
        <v>1</v>
      </c>
      <c r="W199" s="4" t="str">
        <f>IF(World_Cup_Matches[[#This Row],[Home Team Goals]]&gt;World_Cup_Matches[[#This Row],[Away Team Goals]],World_Cup_Matches[[#This Row],[Home Team Name]],IF(World_Cup_Matches[[#This Row],[Away Team Goals]]&gt;World_Cup_Matches[[#This Row],[Home Team Goals]], World_Cup_Matches[[#This Row],[Away Team Name]],"Draw"))</f>
        <v>England</v>
      </c>
      <c r="X199" s="4" t="str">
        <f>IF(World_Cup_Matches[[#This Row],[Home Team Goals]]&gt;World_Cup_Matches[[#This Row],[Away Team Goals]],"Hime Win",IF(World_Cup_Matches[[#This Row],[Away Team Goals]]&gt;World_Cup_Matches[[#This Row],[Home Team Goals]],"Away win","Draw"))</f>
        <v>Hime Win</v>
      </c>
    </row>
    <row r="200" spans="1:24" x14ac:dyDescent="0.2">
      <c r="A200" s="19">
        <v>1966</v>
      </c>
      <c r="B200" s="15" t="s">
        <v>486</v>
      </c>
      <c r="C200" s="3" t="s">
        <v>155</v>
      </c>
      <c r="D200" s="3" t="s">
        <v>436</v>
      </c>
      <c r="E200" s="3" t="s">
        <v>437</v>
      </c>
      <c r="F200" s="3" t="s">
        <v>458</v>
      </c>
      <c r="G200" s="11">
        <v>2</v>
      </c>
      <c r="H200" s="11">
        <v>1</v>
      </c>
      <c r="I200" s="3" t="s">
        <v>332</v>
      </c>
      <c r="J200" s="3" t="s">
        <v>1842</v>
      </c>
      <c r="K200" s="3">
        <v>87696</v>
      </c>
      <c r="L200" s="11">
        <v>1</v>
      </c>
      <c r="M200" s="11">
        <v>1</v>
      </c>
      <c r="N200" s="3" t="s">
        <v>473</v>
      </c>
      <c r="O200" s="3" t="s">
        <v>460</v>
      </c>
      <c r="P200" s="3" t="s">
        <v>452</v>
      </c>
      <c r="Q200" s="11">
        <v>3479</v>
      </c>
      <c r="R200" s="11">
        <v>1709</v>
      </c>
      <c r="S200" s="3" t="s">
        <v>462</v>
      </c>
      <c r="T200" s="4" t="s">
        <v>335</v>
      </c>
      <c r="U200" s="11">
        <f>World_Cup_Matches[[#This Row],[Home Team Goals]]+World_Cup_Matches[[#This Row],[Away Team Goals]]</f>
        <v>3</v>
      </c>
      <c r="V200" s="11">
        <f>World_Cup_Matches[[#This Row],[Home Team Goals]]-World_Cup_Matches[[#This Row],[Away Team Goals]]</f>
        <v>1</v>
      </c>
      <c r="W200" s="4" t="str">
        <f>IF(World_Cup_Matches[[#This Row],[Home Team Goals]]&gt;World_Cup_Matches[[#This Row],[Away Team Goals]],World_Cup_Matches[[#This Row],[Home Team Name]],IF(World_Cup_Matches[[#This Row],[Away Team Goals]]&gt;World_Cup_Matches[[#This Row],[Home Team Goals]], World_Cup_Matches[[#This Row],[Away Team Name]],"Draw"))</f>
        <v>Portugal</v>
      </c>
      <c r="X200" s="4" t="str">
        <f>IF(World_Cup_Matches[[#This Row],[Home Team Goals]]&gt;World_Cup_Matches[[#This Row],[Away Team Goals]],"Hime Win",IF(World_Cup_Matches[[#This Row],[Away Team Goals]]&gt;World_Cup_Matches[[#This Row],[Home Team Goals]],"Away win","Draw"))</f>
        <v>Hime Win</v>
      </c>
    </row>
    <row r="201" spans="1:24" x14ac:dyDescent="0.2">
      <c r="A201" s="19">
        <v>1966</v>
      </c>
      <c r="B201" s="15" t="s">
        <v>487</v>
      </c>
      <c r="C201" s="3" t="s">
        <v>86</v>
      </c>
      <c r="D201" s="3" t="s">
        <v>436</v>
      </c>
      <c r="E201" s="3" t="s">
        <v>437</v>
      </c>
      <c r="F201" s="3" t="s">
        <v>223</v>
      </c>
      <c r="G201" s="11">
        <v>4</v>
      </c>
      <c r="H201" s="11">
        <v>2</v>
      </c>
      <c r="I201" s="3" t="s">
        <v>285</v>
      </c>
      <c r="J201" s="3" t="s">
        <v>488</v>
      </c>
      <c r="K201" s="3">
        <v>96924</v>
      </c>
      <c r="L201" s="11">
        <v>0</v>
      </c>
      <c r="M201" s="11">
        <v>0</v>
      </c>
      <c r="N201" s="3" t="s">
        <v>397</v>
      </c>
      <c r="O201" s="3" t="s">
        <v>438</v>
      </c>
      <c r="P201" s="3" t="s">
        <v>393</v>
      </c>
      <c r="Q201" s="11">
        <v>3478</v>
      </c>
      <c r="R201" s="11">
        <v>1633</v>
      </c>
      <c r="S201" s="3" t="s">
        <v>227</v>
      </c>
      <c r="T201" s="4" t="s">
        <v>289</v>
      </c>
      <c r="U201" s="11">
        <f>World_Cup_Matches[[#This Row],[Home Team Goals]]+World_Cup_Matches[[#This Row],[Away Team Goals]]</f>
        <v>6</v>
      </c>
      <c r="V201" s="11">
        <f>World_Cup_Matches[[#This Row],[Home Team Goals]]-World_Cup_Matches[[#This Row],[Away Team Goals]]</f>
        <v>2</v>
      </c>
      <c r="W201" s="4" t="str">
        <f>IF(World_Cup_Matches[[#This Row],[Home Team Goals]]&gt;World_Cup_Matches[[#This Row],[Away Team Goals]],World_Cup_Matches[[#This Row],[Home Team Name]],IF(World_Cup_Matches[[#This Row],[Away Team Goals]]&gt;World_Cup_Matches[[#This Row],[Home Team Goals]], World_Cup_Matches[[#This Row],[Away Team Name]],"Draw"))</f>
        <v>England</v>
      </c>
      <c r="X201" s="4" t="str">
        <f>IF(World_Cup_Matches[[#This Row],[Home Team Goals]]&gt;World_Cup_Matches[[#This Row],[Away Team Goals]],"Hime Win",IF(World_Cup_Matches[[#This Row],[Away Team Goals]]&gt;World_Cup_Matches[[#This Row],[Home Team Goals]],"Away win","Draw"))</f>
        <v>Hime Win</v>
      </c>
    </row>
    <row r="202" spans="1:24" x14ac:dyDescent="0.2">
      <c r="A202" s="19">
        <v>1970</v>
      </c>
      <c r="B202" s="15" t="s">
        <v>489</v>
      </c>
      <c r="C202" s="3" t="s">
        <v>21</v>
      </c>
      <c r="D202" s="3" t="s">
        <v>490</v>
      </c>
      <c r="E202" s="3" t="s">
        <v>491</v>
      </c>
      <c r="F202" s="3" t="s">
        <v>25</v>
      </c>
      <c r="G202" s="11">
        <v>0</v>
      </c>
      <c r="H202" s="11">
        <v>0</v>
      </c>
      <c r="I202" s="3" t="s">
        <v>332</v>
      </c>
      <c r="J202" s="3" t="s">
        <v>1842</v>
      </c>
      <c r="K202" s="3">
        <v>107160</v>
      </c>
      <c r="L202" s="11">
        <v>0</v>
      </c>
      <c r="M202" s="11">
        <v>0</v>
      </c>
      <c r="N202" s="3" t="s">
        <v>446</v>
      </c>
      <c r="O202" s="3" t="s">
        <v>492</v>
      </c>
      <c r="P202" s="3" t="s">
        <v>448</v>
      </c>
      <c r="Q202" s="11">
        <v>250</v>
      </c>
      <c r="R202" s="11">
        <v>1902</v>
      </c>
      <c r="S202" s="3" t="s">
        <v>30</v>
      </c>
      <c r="T202" s="4" t="s">
        <v>335</v>
      </c>
      <c r="U202" s="11">
        <f>World_Cup_Matches[[#This Row],[Home Team Goals]]+World_Cup_Matches[[#This Row],[Away Team Goals]]</f>
        <v>0</v>
      </c>
      <c r="V202" s="11">
        <f>World_Cup_Matches[[#This Row],[Home Team Goals]]-World_Cup_Matches[[#This Row],[Away Team Goals]]</f>
        <v>0</v>
      </c>
      <c r="W202" s="4" t="str">
        <f>IF(World_Cup_Matches[[#This Row],[Home Team Goals]]&gt;World_Cup_Matches[[#This Row],[Away Team Goals]],World_Cup_Matches[[#This Row],[Home Team Name]],IF(World_Cup_Matches[[#This Row],[Away Team Goals]]&gt;World_Cup_Matches[[#This Row],[Home Team Goals]], World_Cup_Matches[[#This Row],[Away Team Name]],"Draw"))</f>
        <v>Draw</v>
      </c>
      <c r="X202" s="4" t="str">
        <f>IF(World_Cup_Matches[[#This Row],[Home Team Goals]]&gt;World_Cup_Matches[[#This Row],[Away Team Goals]],"Hime Win",IF(World_Cup_Matches[[#This Row],[Away Team Goals]]&gt;World_Cup_Matches[[#This Row],[Home Team Goals]],"Away win","Draw"))</f>
        <v>Draw</v>
      </c>
    </row>
    <row r="203" spans="1:24" x14ac:dyDescent="0.2">
      <c r="A203" s="19">
        <v>1970</v>
      </c>
      <c r="B203" s="15" t="s">
        <v>493</v>
      </c>
      <c r="C203" s="3" t="s">
        <v>40</v>
      </c>
      <c r="D203" s="3" t="s">
        <v>494</v>
      </c>
      <c r="E203" s="3" t="s">
        <v>495</v>
      </c>
      <c r="F203" s="3" t="s">
        <v>72</v>
      </c>
      <c r="G203" s="11">
        <v>2</v>
      </c>
      <c r="H203" s="11">
        <v>0</v>
      </c>
      <c r="I203" s="3" t="s">
        <v>496</v>
      </c>
      <c r="J203" s="3" t="s">
        <v>1842</v>
      </c>
      <c r="K203" s="3">
        <v>20654</v>
      </c>
      <c r="L203" s="11">
        <v>1</v>
      </c>
      <c r="M203" s="11">
        <v>0</v>
      </c>
      <c r="N203" s="3" t="s">
        <v>415</v>
      </c>
      <c r="O203" s="3" t="s">
        <v>497</v>
      </c>
      <c r="P203" s="3" t="s">
        <v>498</v>
      </c>
      <c r="Q203" s="11">
        <v>250</v>
      </c>
      <c r="R203" s="11">
        <v>1881</v>
      </c>
      <c r="S203" s="3" t="s">
        <v>73</v>
      </c>
      <c r="T203" s="4" t="s">
        <v>499</v>
      </c>
      <c r="U203" s="11">
        <f>World_Cup_Matches[[#This Row],[Home Team Goals]]+World_Cup_Matches[[#This Row],[Away Team Goals]]</f>
        <v>2</v>
      </c>
      <c r="V203" s="11">
        <f>World_Cup_Matches[[#This Row],[Home Team Goals]]-World_Cup_Matches[[#This Row],[Away Team Goals]]</f>
        <v>2</v>
      </c>
      <c r="W203" s="4" t="str">
        <f>IF(World_Cup_Matches[[#This Row],[Home Team Goals]]&gt;World_Cup_Matches[[#This Row],[Away Team Goals]],World_Cup_Matches[[#This Row],[Home Team Name]],IF(World_Cup_Matches[[#This Row],[Away Team Goals]]&gt;World_Cup_Matches[[#This Row],[Home Team Goals]], World_Cup_Matches[[#This Row],[Away Team Name]],"Draw"))</f>
        <v>Uruguay</v>
      </c>
      <c r="X203" s="4" t="str">
        <f>IF(World_Cup_Matches[[#This Row],[Home Team Goals]]&gt;World_Cup_Matches[[#This Row],[Away Team Goals]],"Hime Win",IF(World_Cup_Matches[[#This Row],[Away Team Goals]]&gt;World_Cup_Matches[[#This Row],[Home Team Goals]],"Away win","Draw"))</f>
        <v>Hime Win</v>
      </c>
    </row>
    <row r="204" spans="1:24" x14ac:dyDescent="0.2">
      <c r="A204" s="19">
        <v>1970</v>
      </c>
      <c r="B204" s="15" t="s">
        <v>493</v>
      </c>
      <c r="C204" s="3" t="s">
        <v>31</v>
      </c>
      <c r="D204" s="3" t="s">
        <v>500</v>
      </c>
      <c r="E204" s="3" t="s">
        <v>501</v>
      </c>
      <c r="F204" s="3" t="s">
        <v>51</v>
      </c>
      <c r="G204" s="11">
        <v>3</v>
      </c>
      <c r="H204" s="11">
        <v>2</v>
      </c>
      <c r="I204" s="3" t="s">
        <v>401</v>
      </c>
      <c r="J204" s="3" t="s">
        <v>1842</v>
      </c>
      <c r="K204" s="3">
        <v>13765</v>
      </c>
      <c r="L204" s="11">
        <v>0</v>
      </c>
      <c r="M204" s="11">
        <v>1</v>
      </c>
      <c r="N204" s="3" t="s">
        <v>502</v>
      </c>
      <c r="O204" s="3" t="s">
        <v>503</v>
      </c>
      <c r="P204" s="3" t="s">
        <v>504</v>
      </c>
      <c r="Q204" s="11">
        <v>250</v>
      </c>
      <c r="R204" s="11">
        <v>1780</v>
      </c>
      <c r="S204" s="3" t="s">
        <v>54</v>
      </c>
      <c r="T204" s="4" t="s">
        <v>404</v>
      </c>
      <c r="U204" s="11">
        <f>World_Cup_Matches[[#This Row],[Home Team Goals]]+World_Cup_Matches[[#This Row],[Away Team Goals]]</f>
        <v>5</v>
      </c>
      <c r="V204" s="11">
        <f>World_Cup_Matches[[#This Row],[Home Team Goals]]-World_Cup_Matches[[#This Row],[Away Team Goals]]</f>
        <v>1</v>
      </c>
      <c r="W204" s="4" t="str">
        <f>IF(World_Cup_Matches[[#This Row],[Home Team Goals]]&gt;World_Cup_Matches[[#This Row],[Away Team Goals]],World_Cup_Matches[[#This Row],[Home Team Name]],IF(World_Cup_Matches[[#This Row],[Away Team Goals]]&gt;World_Cup_Matches[[#This Row],[Home Team Goals]], World_Cup_Matches[[#This Row],[Away Team Name]],"Draw"))</f>
        <v>Peru</v>
      </c>
      <c r="X204" s="4" t="str">
        <f>IF(World_Cup_Matches[[#This Row],[Home Team Goals]]&gt;World_Cup_Matches[[#This Row],[Away Team Goals]],"Hime Win",IF(World_Cup_Matches[[#This Row],[Away Team Goals]]&gt;World_Cup_Matches[[#This Row],[Home Team Goals]],"Away win","Draw"))</f>
        <v>Hime Win</v>
      </c>
    </row>
    <row r="205" spans="1:24" x14ac:dyDescent="0.2">
      <c r="A205" s="19">
        <v>1970</v>
      </c>
      <c r="B205" s="15" t="s">
        <v>493</v>
      </c>
      <c r="C205" s="3" t="s">
        <v>49</v>
      </c>
      <c r="D205" s="3" t="s">
        <v>505</v>
      </c>
      <c r="E205" s="3" t="s">
        <v>506</v>
      </c>
      <c r="F205" s="3" t="s">
        <v>223</v>
      </c>
      <c r="G205" s="11">
        <v>1</v>
      </c>
      <c r="H205" s="11">
        <v>0</v>
      </c>
      <c r="I205" s="3" t="s">
        <v>50</v>
      </c>
      <c r="J205" s="3" t="s">
        <v>1842</v>
      </c>
      <c r="K205" s="3">
        <v>50560</v>
      </c>
      <c r="L205" s="11">
        <v>0</v>
      </c>
      <c r="M205" s="11">
        <v>0</v>
      </c>
      <c r="N205" s="3" t="s">
        <v>507</v>
      </c>
      <c r="O205" s="3" t="s">
        <v>508</v>
      </c>
      <c r="P205" s="3" t="s">
        <v>509</v>
      </c>
      <c r="Q205" s="11">
        <v>250</v>
      </c>
      <c r="R205" s="11">
        <v>1812</v>
      </c>
      <c r="S205" s="3" t="s">
        <v>227</v>
      </c>
      <c r="T205" s="4" t="s">
        <v>53</v>
      </c>
      <c r="U205" s="11">
        <f>World_Cup_Matches[[#This Row],[Home Team Goals]]+World_Cup_Matches[[#This Row],[Away Team Goals]]</f>
        <v>1</v>
      </c>
      <c r="V205" s="11">
        <f>World_Cup_Matches[[#This Row],[Home Team Goals]]-World_Cup_Matches[[#This Row],[Away Team Goals]]</f>
        <v>1</v>
      </c>
      <c r="W205" s="4" t="str">
        <f>IF(World_Cup_Matches[[#This Row],[Home Team Goals]]&gt;World_Cup_Matches[[#This Row],[Away Team Goals]],World_Cup_Matches[[#This Row],[Home Team Name]],IF(World_Cup_Matches[[#This Row],[Away Team Goals]]&gt;World_Cup_Matches[[#This Row],[Home Team Goals]], World_Cup_Matches[[#This Row],[Away Team Name]],"Draw"))</f>
        <v>England</v>
      </c>
      <c r="X205" s="4" t="str">
        <f>IF(World_Cup_Matches[[#This Row],[Home Team Goals]]&gt;World_Cup_Matches[[#This Row],[Away Team Goals]],"Hime Win",IF(World_Cup_Matches[[#This Row],[Away Team Goals]]&gt;World_Cup_Matches[[#This Row],[Home Team Goals]],"Away win","Draw"))</f>
        <v>Hime Win</v>
      </c>
    </row>
    <row r="206" spans="1:24" x14ac:dyDescent="0.2">
      <c r="A206" s="19">
        <v>1970</v>
      </c>
      <c r="B206" s="15" t="s">
        <v>510</v>
      </c>
      <c r="C206" s="3" t="s">
        <v>40</v>
      </c>
      <c r="D206" s="3" t="s">
        <v>511</v>
      </c>
      <c r="E206" s="3" t="s">
        <v>512</v>
      </c>
      <c r="F206" s="3" t="s">
        <v>138</v>
      </c>
      <c r="G206" s="11">
        <v>1</v>
      </c>
      <c r="H206" s="11">
        <v>0</v>
      </c>
      <c r="I206" s="3" t="s">
        <v>117</v>
      </c>
      <c r="J206" s="3" t="s">
        <v>1842</v>
      </c>
      <c r="K206" s="3">
        <v>13433</v>
      </c>
      <c r="L206" s="11">
        <v>1</v>
      </c>
      <c r="M206" s="11">
        <v>0</v>
      </c>
      <c r="N206" s="3" t="s">
        <v>448</v>
      </c>
      <c r="O206" s="3" t="s">
        <v>497</v>
      </c>
      <c r="P206" s="3" t="s">
        <v>452</v>
      </c>
      <c r="Q206" s="11">
        <v>250</v>
      </c>
      <c r="R206" s="11">
        <v>1883</v>
      </c>
      <c r="S206" s="3" t="s">
        <v>142</v>
      </c>
      <c r="T206" s="4" t="s">
        <v>121</v>
      </c>
      <c r="U206" s="11">
        <f>World_Cup_Matches[[#This Row],[Home Team Goals]]+World_Cup_Matches[[#This Row],[Away Team Goals]]</f>
        <v>1</v>
      </c>
      <c r="V206" s="11">
        <f>World_Cup_Matches[[#This Row],[Home Team Goals]]-World_Cup_Matches[[#This Row],[Away Team Goals]]</f>
        <v>1</v>
      </c>
      <c r="W206" s="4" t="str">
        <f>IF(World_Cup_Matches[[#This Row],[Home Team Goals]]&gt;World_Cup_Matches[[#This Row],[Away Team Goals]],World_Cup_Matches[[#This Row],[Home Team Name]],IF(World_Cup_Matches[[#This Row],[Away Team Goals]]&gt;World_Cup_Matches[[#This Row],[Home Team Goals]], World_Cup_Matches[[#This Row],[Away Team Name]],"Draw"))</f>
        <v>Italy</v>
      </c>
      <c r="X206" s="4" t="str">
        <f>IF(World_Cup_Matches[[#This Row],[Home Team Goals]]&gt;World_Cup_Matches[[#This Row],[Away Team Goals]],"Hime Win",IF(World_Cup_Matches[[#This Row],[Away Team Goals]]&gt;World_Cup_Matches[[#This Row],[Home Team Goals]],"Away win","Draw"))</f>
        <v>Hime Win</v>
      </c>
    </row>
    <row r="207" spans="1:24" x14ac:dyDescent="0.2">
      <c r="A207" s="19">
        <v>1970</v>
      </c>
      <c r="B207" s="15" t="s">
        <v>510</v>
      </c>
      <c r="C207" s="3" t="s">
        <v>31</v>
      </c>
      <c r="D207" s="3" t="s">
        <v>500</v>
      </c>
      <c r="E207" s="3" t="s">
        <v>501</v>
      </c>
      <c r="F207" s="3" t="s">
        <v>285</v>
      </c>
      <c r="G207" s="11">
        <v>2</v>
      </c>
      <c r="H207" s="11">
        <v>1</v>
      </c>
      <c r="I207" s="3" t="s">
        <v>513</v>
      </c>
      <c r="J207" s="3" t="s">
        <v>1842</v>
      </c>
      <c r="K207" s="3">
        <v>12942</v>
      </c>
      <c r="L207" s="11">
        <v>0</v>
      </c>
      <c r="M207" s="11">
        <v>1</v>
      </c>
      <c r="N207" s="3" t="s">
        <v>514</v>
      </c>
      <c r="O207" s="3" t="s">
        <v>515</v>
      </c>
      <c r="P207" s="3" t="s">
        <v>516</v>
      </c>
      <c r="Q207" s="11">
        <v>250</v>
      </c>
      <c r="R207" s="11">
        <v>1839</v>
      </c>
      <c r="S207" s="3" t="s">
        <v>289</v>
      </c>
      <c r="T207" s="4" t="s">
        <v>517</v>
      </c>
      <c r="U207" s="11">
        <f>World_Cup_Matches[[#This Row],[Home Team Goals]]+World_Cup_Matches[[#This Row],[Away Team Goals]]</f>
        <v>3</v>
      </c>
      <c r="V207" s="11">
        <f>World_Cup_Matches[[#This Row],[Home Team Goals]]-World_Cup_Matches[[#This Row],[Away Team Goals]]</f>
        <v>1</v>
      </c>
      <c r="W207" s="4" t="str">
        <f>IF(World_Cup_Matches[[#This Row],[Home Team Goals]]&gt;World_Cup_Matches[[#This Row],[Away Team Goals]],World_Cup_Matches[[#This Row],[Home Team Name]],IF(World_Cup_Matches[[#This Row],[Away Team Goals]]&gt;World_Cup_Matches[[#This Row],[Home Team Goals]], World_Cup_Matches[[#This Row],[Away Team Name]],"Draw"))</f>
        <v>Germany FR</v>
      </c>
      <c r="X207" s="4" t="str">
        <f>IF(World_Cup_Matches[[#This Row],[Home Team Goals]]&gt;World_Cup_Matches[[#This Row],[Away Team Goals]],"Hime Win",IF(World_Cup_Matches[[#This Row],[Away Team Goals]]&gt;World_Cup_Matches[[#This Row],[Home Team Goals]],"Away win","Draw"))</f>
        <v>Hime Win</v>
      </c>
    </row>
    <row r="208" spans="1:24" x14ac:dyDescent="0.2">
      <c r="A208" s="19">
        <v>1970</v>
      </c>
      <c r="B208" s="15" t="s">
        <v>510</v>
      </c>
      <c r="C208" s="3" t="s">
        <v>49</v>
      </c>
      <c r="D208" s="3" t="s">
        <v>505</v>
      </c>
      <c r="E208" s="3" t="s">
        <v>506</v>
      </c>
      <c r="F208" s="3" t="s">
        <v>42</v>
      </c>
      <c r="G208" s="11">
        <v>4</v>
      </c>
      <c r="H208" s="11">
        <v>1</v>
      </c>
      <c r="I208" s="3" t="s">
        <v>145</v>
      </c>
      <c r="J208" s="3" t="s">
        <v>1842</v>
      </c>
      <c r="K208" s="3">
        <v>52897</v>
      </c>
      <c r="L208" s="11">
        <v>1</v>
      </c>
      <c r="M208" s="11">
        <v>1</v>
      </c>
      <c r="N208" s="3" t="s">
        <v>518</v>
      </c>
      <c r="O208" s="3" t="s">
        <v>519</v>
      </c>
      <c r="P208" s="3" t="s">
        <v>409</v>
      </c>
      <c r="Q208" s="11">
        <v>250</v>
      </c>
      <c r="R208" s="11">
        <v>1770</v>
      </c>
      <c r="S208" s="3" t="s">
        <v>47</v>
      </c>
      <c r="T208" s="4" t="s">
        <v>148</v>
      </c>
      <c r="U208" s="11">
        <f>World_Cup_Matches[[#This Row],[Home Team Goals]]+World_Cup_Matches[[#This Row],[Away Team Goals]]</f>
        <v>5</v>
      </c>
      <c r="V208" s="11">
        <f>World_Cup_Matches[[#This Row],[Home Team Goals]]-World_Cup_Matches[[#This Row],[Away Team Goals]]</f>
        <v>3</v>
      </c>
      <c r="W208" s="4" t="str">
        <f>IF(World_Cup_Matches[[#This Row],[Home Team Goals]]&gt;World_Cup_Matches[[#This Row],[Away Team Goals]],World_Cup_Matches[[#This Row],[Home Team Name]],IF(World_Cup_Matches[[#This Row],[Away Team Goals]]&gt;World_Cup_Matches[[#This Row],[Home Team Goals]], World_Cup_Matches[[#This Row],[Away Team Name]],"Draw"))</f>
        <v>Brazil</v>
      </c>
      <c r="X208" s="4" t="str">
        <f>IF(World_Cup_Matches[[#This Row],[Home Team Goals]]&gt;World_Cup_Matches[[#This Row],[Away Team Goals]],"Hime Win",IF(World_Cup_Matches[[#This Row],[Away Team Goals]]&gt;World_Cup_Matches[[#This Row],[Home Team Goals]],"Away win","Draw"))</f>
        <v>Hime Win</v>
      </c>
    </row>
    <row r="209" spans="1:24" x14ac:dyDescent="0.2">
      <c r="A209" s="19">
        <v>1970</v>
      </c>
      <c r="B209" s="15" t="s">
        <v>510</v>
      </c>
      <c r="C209" s="3" t="s">
        <v>21</v>
      </c>
      <c r="D209" s="3" t="s">
        <v>490</v>
      </c>
      <c r="E209" s="3" t="s">
        <v>491</v>
      </c>
      <c r="F209" s="3" t="s">
        <v>34</v>
      </c>
      <c r="G209" s="11">
        <v>3</v>
      </c>
      <c r="H209" s="11">
        <v>0</v>
      </c>
      <c r="I209" s="3" t="s">
        <v>520</v>
      </c>
      <c r="J209" s="3" t="s">
        <v>1842</v>
      </c>
      <c r="K209" s="3">
        <v>92205</v>
      </c>
      <c r="L209" s="11">
        <v>1</v>
      </c>
      <c r="M209" s="11">
        <v>0</v>
      </c>
      <c r="N209" s="3" t="s">
        <v>521</v>
      </c>
      <c r="O209" s="3" t="s">
        <v>522</v>
      </c>
      <c r="P209" s="3" t="s">
        <v>446</v>
      </c>
      <c r="Q209" s="11">
        <v>250</v>
      </c>
      <c r="R209" s="11">
        <v>1747</v>
      </c>
      <c r="S209" s="3" t="s">
        <v>38</v>
      </c>
      <c r="T209" s="4" t="s">
        <v>523</v>
      </c>
      <c r="U209" s="11">
        <f>World_Cup_Matches[[#This Row],[Home Team Goals]]+World_Cup_Matches[[#This Row],[Away Team Goals]]</f>
        <v>3</v>
      </c>
      <c r="V209" s="11">
        <f>World_Cup_Matches[[#This Row],[Home Team Goals]]-World_Cup_Matches[[#This Row],[Away Team Goals]]</f>
        <v>3</v>
      </c>
      <c r="W209" s="4" t="str">
        <f>IF(World_Cup_Matches[[#This Row],[Home Team Goals]]&gt;World_Cup_Matches[[#This Row],[Away Team Goals]],World_Cup_Matches[[#This Row],[Home Team Name]],IF(World_Cup_Matches[[#This Row],[Away Team Goals]]&gt;World_Cup_Matches[[#This Row],[Home Team Goals]], World_Cup_Matches[[#This Row],[Away Team Name]],"Draw"))</f>
        <v>Belgium</v>
      </c>
      <c r="X209" s="4" t="str">
        <f>IF(World_Cup_Matches[[#This Row],[Home Team Goals]]&gt;World_Cup_Matches[[#This Row],[Away Team Goals]],"Hime Win",IF(World_Cup_Matches[[#This Row],[Away Team Goals]]&gt;World_Cup_Matches[[#This Row],[Home Team Goals]],"Away win","Draw"))</f>
        <v>Hime Win</v>
      </c>
    </row>
    <row r="210" spans="1:24" x14ac:dyDescent="0.2">
      <c r="A210" s="19">
        <v>1970</v>
      </c>
      <c r="B210" s="15" t="s">
        <v>524</v>
      </c>
      <c r="C210" s="3" t="s">
        <v>40</v>
      </c>
      <c r="D210" s="3" t="s">
        <v>494</v>
      </c>
      <c r="E210" s="3" t="s">
        <v>495</v>
      </c>
      <c r="F210" s="3" t="s">
        <v>72</v>
      </c>
      <c r="G210" s="11">
        <v>0</v>
      </c>
      <c r="H210" s="11">
        <v>0</v>
      </c>
      <c r="I210" s="3" t="s">
        <v>138</v>
      </c>
      <c r="J210" s="3" t="s">
        <v>1842</v>
      </c>
      <c r="K210" s="3">
        <v>29968</v>
      </c>
      <c r="L210" s="11">
        <v>0</v>
      </c>
      <c r="M210" s="11">
        <v>0</v>
      </c>
      <c r="N210" s="3" t="s">
        <v>522</v>
      </c>
      <c r="O210" s="3" t="s">
        <v>446</v>
      </c>
      <c r="P210" s="3" t="s">
        <v>525</v>
      </c>
      <c r="Q210" s="11">
        <v>250</v>
      </c>
      <c r="R210" s="11">
        <v>1884</v>
      </c>
      <c r="S210" s="3" t="s">
        <v>73</v>
      </c>
      <c r="T210" s="4" t="s">
        <v>142</v>
      </c>
      <c r="U210" s="11">
        <f>World_Cup_Matches[[#This Row],[Home Team Goals]]+World_Cup_Matches[[#This Row],[Away Team Goals]]</f>
        <v>0</v>
      </c>
      <c r="V210" s="11">
        <f>World_Cup_Matches[[#This Row],[Home Team Goals]]-World_Cup_Matches[[#This Row],[Away Team Goals]]</f>
        <v>0</v>
      </c>
      <c r="W210" s="4" t="str">
        <f>IF(World_Cup_Matches[[#This Row],[Home Team Goals]]&gt;World_Cup_Matches[[#This Row],[Away Team Goals]],World_Cup_Matches[[#This Row],[Home Team Name]],IF(World_Cup_Matches[[#This Row],[Away Team Goals]]&gt;World_Cup_Matches[[#This Row],[Home Team Goals]], World_Cup_Matches[[#This Row],[Away Team Name]],"Draw"))</f>
        <v>Draw</v>
      </c>
      <c r="X210" s="4" t="str">
        <f>IF(World_Cup_Matches[[#This Row],[Home Team Goals]]&gt;World_Cup_Matches[[#This Row],[Away Team Goals]],"Hime Win",IF(World_Cup_Matches[[#This Row],[Away Team Goals]]&gt;World_Cup_Matches[[#This Row],[Home Team Goals]],"Away win","Draw"))</f>
        <v>Draw</v>
      </c>
    </row>
    <row r="211" spans="1:24" x14ac:dyDescent="0.2">
      <c r="A211" s="19">
        <v>1970</v>
      </c>
      <c r="B211" s="15" t="s">
        <v>524</v>
      </c>
      <c r="C211" s="3" t="s">
        <v>31</v>
      </c>
      <c r="D211" s="3" t="s">
        <v>500</v>
      </c>
      <c r="E211" s="3" t="s">
        <v>501</v>
      </c>
      <c r="F211" s="3" t="s">
        <v>51</v>
      </c>
      <c r="G211" s="11">
        <v>3</v>
      </c>
      <c r="H211" s="11">
        <v>0</v>
      </c>
      <c r="I211" s="3" t="s">
        <v>513</v>
      </c>
      <c r="J211" s="3" t="s">
        <v>1842</v>
      </c>
      <c r="K211" s="3">
        <v>13537</v>
      </c>
      <c r="L211" s="11">
        <v>0</v>
      </c>
      <c r="M211" s="11">
        <v>0</v>
      </c>
      <c r="N211" s="3" t="s">
        <v>438</v>
      </c>
      <c r="O211" s="3" t="s">
        <v>504</v>
      </c>
      <c r="P211" s="3" t="s">
        <v>502</v>
      </c>
      <c r="Q211" s="11">
        <v>250</v>
      </c>
      <c r="R211" s="11">
        <v>1893</v>
      </c>
      <c r="S211" s="3" t="s">
        <v>54</v>
      </c>
      <c r="T211" s="4" t="s">
        <v>517</v>
      </c>
      <c r="U211" s="11">
        <f>World_Cup_Matches[[#This Row],[Home Team Goals]]+World_Cup_Matches[[#This Row],[Away Team Goals]]</f>
        <v>3</v>
      </c>
      <c r="V211" s="11">
        <f>World_Cup_Matches[[#This Row],[Home Team Goals]]-World_Cup_Matches[[#This Row],[Away Team Goals]]</f>
        <v>3</v>
      </c>
      <c r="W211" s="4" t="str">
        <f>IF(World_Cup_Matches[[#This Row],[Home Team Goals]]&gt;World_Cup_Matches[[#This Row],[Away Team Goals]],World_Cup_Matches[[#This Row],[Home Team Name]],IF(World_Cup_Matches[[#This Row],[Away Team Goals]]&gt;World_Cup_Matches[[#This Row],[Home Team Goals]], World_Cup_Matches[[#This Row],[Away Team Name]],"Draw"))</f>
        <v>Peru</v>
      </c>
      <c r="X211" s="4" t="str">
        <f>IF(World_Cup_Matches[[#This Row],[Home Team Goals]]&gt;World_Cup_Matches[[#This Row],[Away Team Goals]],"Hime Win",IF(World_Cup_Matches[[#This Row],[Away Team Goals]]&gt;World_Cup_Matches[[#This Row],[Home Team Goals]],"Away win","Draw"))</f>
        <v>Hime Win</v>
      </c>
    </row>
    <row r="212" spans="1:24" x14ac:dyDescent="0.2">
      <c r="A212" s="19">
        <v>1970</v>
      </c>
      <c r="B212" s="15" t="s">
        <v>524</v>
      </c>
      <c r="C212" s="3" t="s">
        <v>49</v>
      </c>
      <c r="D212" s="3" t="s">
        <v>505</v>
      </c>
      <c r="E212" s="3" t="s">
        <v>506</v>
      </c>
      <c r="F212" s="3" t="s">
        <v>50</v>
      </c>
      <c r="G212" s="11">
        <v>2</v>
      </c>
      <c r="H212" s="11">
        <v>1</v>
      </c>
      <c r="I212" s="3" t="s">
        <v>145</v>
      </c>
      <c r="J212" s="3" t="s">
        <v>1842</v>
      </c>
      <c r="K212" s="3">
        <v>56818</v>
      </c>
      <c r="L212" s="11">
        <v>0</v>
      </c>
      <c r="M212" s="11">
        <v>1</v>
      </c>
      <c r="N212" s="3" t="s">
        <v>509</v>
      </c>
      <c r="O212" s="3" t="s">
        <v>526</v>
      </c>
      <c r="P212" s="3" t="s">
        <v>507</v>
      </c>
      <c r="Q212" s="11">
        <v>250</v>
      </c>
      <c r="R212" s="11">
        <v>1919</v>
      </c>
      <c r="S212" s="3" t="s">
        <v>53</v>
      </c>
      <c r="T212" s="4" t="s">
        <v>148</v>
      </c>
      <c r="U212" s="11">
        <f>World_Cup_Matches[[#This Row],[Home Team Goals]]+World_Cup_Matches[[#This Row],[Away Team Goals]]</f>
        <v>3</v>
      </c>
      <c r="V212" s="11">
        <f>World_Cup_Matches[[#This Row],[Home Team Goals]]-World_Cup_Matches[[#This Row],[Away Team Goals]]</f>
        <v>1</v>
      </c>
      <c r="W212" s="4" t="str">
        <f>IF(World_Cup_Matches[[#This Row],[Home Team Goals]]&gt;World_Cup_Matches[[#This Row],[Away Team Goals]],World_Cup_Matches[[#This Row],[Home Team Name]],IF(World_Cup_Matches[[#This Row],[Away Team Goals]]&gt;World_Cup_Matches[[#This Row],[Home Team Goals]], World_Cup_Matches[[#This Row],[Away Team Name]],"Draw"))</f>
        <v>Romania</v>
      </c>
      <c r="X212" s="4" t="str">
        <f>IF(World_Cup_Matches[[#This Row],[Home Team Goals]]&gt;World_Cup_Matches[[#This Row],[Away Team Goals]],"Hime Win",IF(World_Cup_Matches[[#This Row],[Away Team Goals]]&gt;World_Cup_Matches[[#This Row],[Home Team Goals]],"Away win","Draw"))</f>
        <v>Hime Win</v>
      </c>
    </row>
    <row r="213" spans="1:24" x14ac:dyDescent="0.2">
      <c r="A213" s="19">
        <v>1970</v>
      </c>
      <c r="B213" s="15" t="s">
        <v>524</v>
      </c>
      <c r="C213" s="3" t="s">
        <v>21</v>
      </c>
      <c r="D213" s="3" t="s">
        <v>490</v>
      </c>
      <c r="E213" s="3" t="s">
        <v>491</v>
      </c>
      <c r="F213" s="3" t="s">
        <v>332</v>
      </c>
      <c r="G213" s="11">
        <v>4</v>
      </c>
      <c r="H213" s="11">
        <v>1</v>
      </c>
      <c r="I213" s="3" t="s">
        <v>34</v>
      </c>
      <c r="J213" s="3" t="s">
        <v>1842</v>
      </c>
      <c r="K213" s="3">
        <v>95261</v>
      </c>
      <c r="L213" s="11">
        <v>1</v>
      </c>
      <c r="M213" s="11">
        <v>0</v>
      </c>
      <c r="N213" s="3" t="s">
        <v>497</v>
      </c>
      <c r="O213" s="3" t="s">
        <v>527</v>
      </c>
      <c r="P213" s="3" t="s">
        <v>415</v>
      </c>
      <c r="Q213" s="11">
        <v>250</v>
      </c>
      <c r="R213" s="11">
        <v>1753</v>
      </c>
      <c r="S213" s="3" t="s">
        <v>335</v>
      </c>
      <c r="T213" s="4" t="s">
        <v>38</v>
      </c>
      <c r="U213" s="11">
        <f>World_Cup_Matches[[#This Row],[Home Team Goals]]+World_Cup_Matches[[#This Row],[Away Team Goals]]</f>
        <v>5</v>
      </c>
      <c r="V213" s="11">
        <f>World_Cup_Matches[[#This Row],[Home Team Goals]]-World_Cup_Matches[[#This Row],[Away Team Goals]]</f>
        <v>3</v>
      </c>
      <c r="W213" s="4" t="str">
        <f>IF(World_Cup_Matches[[#This Row],[Home Team Goals]]&gt;World_Cup_Matches[[#This Row],[Away Team Goals]],World_Cup_Matches[[#This Row],[Home Team Name]],IF(World_Cup_Matches[[#This Row],[Away Team Goals]]&gt;World_Cup_Matches[[#This Row],[Home Team Goals]], World_Cup_Matches[[#This Row],[Away Team Name]],"Draw"))</f>
        <v>Soviet Union</v>
      </c>
      <c r="X213" s="4" t="str">
        <f>IF(World_Cup_Matches[[#This Row],[Home Team Goals]]&gt;World_Cup_Matches[[#This Row],[Away Team Goals]],"Hime Win",IF(World_Cup_Matches[[#This Row],[Away Team Goals]]&gt;World_Cup_Matches[[#This Row],[Home Team Goals]],"Away win","Draw"))</f>
        <v>Hime Win</v>
      </c>
    </row>
    <row r="214" spans="1:24" x14ac:dyDescent="0.2">
      <c r="A214" s="19">
        <v>1970</v>
      </c>
      <c r="B214" s="15" t="s">
        <v>528</v>
      </c>
      <c r="C214" s="3" t="s">
        <v>40</v>
      </c>
      <c r="D214" s="3" t="s">
        <v>511</v>
      </c>
      <c r="E214" s="3" t="s">
        <v>512</v>
      </c>
      <c r="F214" s="3" t="s">
        <v>117</v>
      </c>
      <c r="G214" s="11">
        <v>1</v>
      </c>
      <c r="H214" s="11">
        <v>1</v>
      </c>
      <c r="I214" s="3" t="s">
        <v>496</v>
      </c>
      <c r="J214" s="3" t="s">
        <v>1842</v>
      </c>
      <c r="K214" s="3">
        <v>9624</v>
      </c>
      <c r="L214" s="11">
        <v>0</v>
      </c>
      <c r="M214" s="11">
        <v>0</v>
      </c>
      <c r="N214" s="3" t="s">
        <v>498</v>
      </c>
      <c r="O214" s="3" t="s">
        <v>521</v>
      </c>
      <c r="P214" s="3" t="s">
        <v>525</v>
      </c>
      <c r="Q214" s="11">
        <v>250</v>
      </c>
      <c r="R214" s="11">
        <v>1880</v>
      </c>
      <c r="S214" s="3" t="s">
        <v>121</v>
      </c>
      <c r="T214" s="4" t="s">
        <v>499</v>
      </c>
      <c r="U214" s="11">
        <f>World_Cup_Matches[[#This Row],[Home Team Goals]]+World_Cup_Matches[[#This Row],[Away Team Goals]]</f>
        <v>2</v>
      </c>
      <c r="V214" s="11">
        <f>World_Cup_Matches[[#This Row],[Home Team Goals]]-World_Cup_Matches[[#This Row],[Away Team Goals]]</f>
        <v>0</v>
      </c>
      <c r="W214" s="4" t="str">
        <f>IF(World_Cup_Matches[[#This Row],[Home Team Goals]]&gt;World_Cup_Matches[[#This Row],[Away Team Goals]],World_Cup_Matches[[#This Row],[Home Team Name]],IF(World_Cup_Matches[[#This Row],[Away Team Goals]]&gt;World_Cup_Matches[[#This Row],[Home Team Goals]], World_Cup_Matches[[#This Row],[Away Team Name]],"Draw"))</f>
        <v>Draw</v>
      </c>
      <c r="X214" s="4" t="str">
        <f>IF(World_Cup_Matches[[#This Row],[Home Team Goals]]&gt;World_Cup_Matches[[#This Row],[Away Team Goals]],"Hime Win",IF(World_Cup_Matches[[#This Row],[Away Team Goals]]&gt;World_Cup_Matches[[#This Row],[Home Team Goals]],"Away win","Draw"))</f>
        <v>Draw</v>
      </c>
    </row>
    <row r="215" spans="1:24" x14ac:dyDescent="0.2">
      <c r="A215" s="19">
        <v>1970</v>
      </c>
      <c r="B215" s="15" t="s">
        <v>528</v>
      </c>
      <c r="C215" s="3" t="s">
        <v>31</v>
      </c>
      <c r="D215" s="3" t="s">
        <v>500</v>
      </c>
      <c r="E215" s="3" t="s">
        <v>501</v>
      </c>
      <c r="F215" s="3" t="s">
        <v>285</v>
      </c>
      <c r="G215" s="11">
        <v>5</v>
      </c>
      <c r="H215" s="11">
        <v>2</v>
      </c>
      <c r="I215" s="3" t="s">
        <v>401</v>
      </c>
      <c r="J215" s="3" t="s">
        <v>1842</v>
      </c>
      <c r="K215" s="3">
        <v>12710</v>
      </c>
      <c r="L215" s="11">
        <v>2</v>
      </c>
      <c r="M215" s="11">
        <v>1</v>
      </c>
      <c r="N215" s="3" t="s">
        <v>515</v>
      </c>
      <c r="O215" s="3" t="s">
        <v>516</v>
      </c>
      <c r="P215" s="3" t="s">
        <v>529</v>
      </c>
      <c r="Q215" s="11">
        <v>250</v>
      </c>
      <c r="R215" s="11">
        <v>1774</v>
      </c>
      <c r="S215" s="3" t="s">
        <v>289</v>
      </c>
      <c r="T215" s="4" t="s">
        <v>404</v>
      </c>
      <c r="U215" s="11">
        <f>World_Cup_Matches[[#This Row],[Home Team Goals]]+World_Cup_Matches[[#This Row],[Away Team Goals]]</f>
        <v>7</v>
      </c>
      <c r="V215" s="11">
        <f>World_Cup_Matches[[#This Row],[Home Team Goals]]-World_Cup_Matches[[#This Row],[Away Team Goals]]</f>
        <v>3</v>
      </c>
      <c r="W215" s="4" t="str">
        <f>IF(World_Cup_Matches[[#This Row],[Home Team Goals]]&gt;World_Cup_Matches[[#This Row],[Away Team Goals]],World_Cup_Matches[[#This Row],[Home Team Name]],IF(World_Cup_Matches[[#This Row],[Away Team Goals]]&gt;World_Cup_Matches[[#This Row],[Home Team Goals]], World_Cup_Matches[[#This Row],[Away Team Name]],"Draw"))</f>
        <v>Germany FR</v>
      </c>
      <c r="X215" s="4" t="str">
        <f>IF(World_Cup_Matches[[#This Row],[Home Team Goals]]&gt;World_Cup_Matches[[#This Row],[Away Team Goals]],"Hime Win",IF(World_Cup_Matches[[#This Row],[Away Team Goals]]&gt;World_Cup_Matches[[#This Row],[Home Team Goals]],"Away win","Draw"))</f>
        <v>Hime Win</v>
      </c>
    </row>
    <row r="216" spans="1:24" x14ac:dyDescent="0.2">
      <c r="A216" s="19">
        <v>1970</v>
      </c>
      <c r="B216" s="15" t="s">
        <v>528</v>
      </c>
      <c r="C216" s="3" t="s">
        <v>49</v>
      </c>
      <c r="D216" s="3" t="s">
        <v>505</v>
      </c>
      <c r="E216" s="3" t="s">
        <v>506</v>
      </c>
      <c r="F216" s="3" t="s">
        <v>42</v>
      </c>
      <c r="G216" s="11">
        <v>1</v>
      </c>
      <c r="H216" s="11">
        <v>0</v>
      </c>
      <c r="I216" s="3" t="s">
        <v>223</v>
      </c>
      <c r="J216" s="3" t="s">
        <v>1842</v>
      </c>
      <c r="K216" s="3">
        <v>66843</v>
      </c>
      <c r="L216" s="11">
        <v>0</v>
      </c>
      <c r="M216" s="11">
        <v>0</v>
      </c>
      <c r="N216" s="3" t="s">
        <v>519</v>
      </c>
      <c r="O216" s="3" t="s">
        <v>409</v>
      </c>
      <c r="P216" s="3" t="s">
        <v>508</v>
      </c>
      <c r="Q216" s="11">
        <v>250</v>
      </c>
      <c r="R216" s="11">
        <v>1764</v>
      </c>
      <c r="S216" s="3" t="s">
        <v>47</v>
      </c>
      <c r="T216" s="4" t="s">
        <v>227</v>
      </c>
      <c r="U216" s="11">
        <f>World_Cup_Matches[[#This Row],[Home Team Goals]]+World_Cup_Matches[[#This Row],[Away Team Goals]]</f>
        <v>1</v>
      </c>
      <c r="V216" s="11">
        <f>World_Cup_Matches[[#This Row],[Home Team Goals]]-World_Cup_Matches[[#This Row],[Away Team Goals]]</f>
        <v>1</v>
      </c>
      <c r="W216" s="4" t="str">
        <f>IF(World_Cup_Matches[[#This Row],[Home Team Goals]]&gt;World_Cup_Matches[[#This Row],[Away Team Goals]],World_Cup_Matches[[#This Row],[Home Team Name]],IF(World_Cup_Matches[[#This Row],[Away Team Goals]]&gt;World_Cup_Matches[[#This Row],[Home Team Goals]], World_Cup_Matches[[#This Row],[Away Team Name]],"Draw"))</f>
        <v>Brazil</v>
      </c>
      <c r="X216" s="4" t="str">
        <f>IF(World_Cup_Matches[[#This Row],[Home Team Goals]]&gt;World_Cup_Matches[[#This Row],[Away Team Goals]],"Hime Win",IF(World_Cup_Matches[[#This Row],[Away Team Goals]]&gt;World_Cup_Matches[[#This Row],[Home Team Goals]],"Away win","Draw"))</f>
        <v>Hime Win</v>
      </c>
    </row>
    <row r="217" spans="1:24" x14ac:dyDescent="0.2">
      <c r="A217" s="19">
        <v>1970</v>
      </c>
      <c r="B217" s="15" t="s">
        <v>528</v>
      </c>
      <c r="C217" s="3" t="s">
        <v>21</v>
      </c>
      <c r="D217" s="3" t="s">
        <v>490</v>
      </c>
      <c r="E217" s="3" t="s">
        <v>491</v>
      </c>
      <c r="F217" s="3" t="s">
        <v>25</v>
      </c>
      <c r="G217" s="11">
        <v>4</v>
      </c>
      <c r="H217" s="11">
        <v>0</v>
      </c>
      <c r="I217" s="3" t="s">
        <v>520</v>
      </c>
      <c r="J217" s="3" t="s">
        <v>1842</v>
      </c>
      <c r="K217" s="3">
        <v>103058</v>
      </c>
      <c r="L217" s="11">
        <v>1</v>
      </c>
      <c r="M217" s="11">
        <v>0</v>
      </c>
      <c r="N217" s="3" t="s">
        <v>452</v>
      </c>
      <c r="O217" s="3" t="s">
        <v>492</v>
      </c>
      <c r="P217" s="3" t="s">
        <v>448</v>
      </c>
      <c r="Q217" s="11">
        <v>250</v>
      </c>
      <c r="R217" s="11">
        <v>1820</v>
      </c>
      <c r="S217" s="3" t="s">
        <v>30</v>
      </c>
      <c r="T217" s="4" t="s">
        <v>523</v>
      </c>
      <c r="U217" s="11">
        <f>World_Cup_Matches[[#This Row],[Home Team Goals]]+World_Cup_Matches[[#This Row],[Away Team Goals]]</f>
        <v>4</v>
      </c>
      <c r="V217" s="11">
        <f>World_Cup_Matches[[#This Row],[Home Team Goals]]-World_Cup_Matches[[#This Row],[Away Team Goals]]</f>
        <v>4</v>
      </c>
      <c r="W217" s="4" t="str">
        <f>IF(World_Cup_Matches[[#This Row],[Home Team Goals]]&gt;World_Cup_Matches[[#This Row],[Away Team Goals]],World_Cup_Matches[[#This Row],[Home Team Name]],IF(World_Cup_Matches[[#This Row],[Away Team Goals]]&gt;World_Cup_Matches[[#This Row],[Home Team Goals]], World_Cup_Matches[[#This Row],[Away Team Name]],"Draw"))</f>
        <v>Mexico</v>
      </c>
      <c r="X217" s="4" t="str">
        <f>IF(World_Cup_Matches[[#This Row],[Home Team Goals]]&gt;World_Cup_Matches[[#This Row],[Away Team Goals]],"Hime Win",IF(World_Cup_Matches[[#This Row],[Away Team Goals]]&gt;World_Cup_Matches[[#This Row],[Home Team Goals]],"Away win","Draw"))</f>
        <v>Hime Win</v>
      </c>
    </row>
    <row r="218" spans="1:24" x14ac:dyDescent="0.2">
      <c r="A218" s="19">
        <v>1970</v>
      </c>
      <c r="B218" s="15" t="s">
        <v>530</v>
      </c>
      <c r="C218" s="3" t="s">
        <v>40</v>
      </c>
      <c r="D218" s="3" t="s">
        <v>494</v>
      </c>
      <c r="E218" s="3" t="s">
        <v>495</v>
      </c>
      <c r="F218" s="3" t="s">
        <v>117</v>
      </c>
      <c r="G218" s="11">
        <v>1</v>
      </c>
      <c r="H218" s="11">
        <v>0</v>
      </c>
      <c r="I218" s="3" t="s">
        <v>72</v>
      </c>
      <c r="J218" s="3" t="s">
        <v>1842</v>
      </c>
      <c r="K218" s="3">
        <v>18163</v>
      </c>
      <c r="L218" s="11">
        <v>0</v>
      </c>
      <c r="M218" s="11">
        <v>0</v>
      </c>
      <c r="N218" s="3" t="s">
        <v>527</v>
      </c>
      <c r="O218" s="3" t="s">
        <v>448</v>
      </c>
      <c r="P218" s="3" t="s">
        <v>521</v>
      </c>
      <c r="Q218" s="11">
        <v>250</v>
      </c>
      <c r="R218" s="11">
        <v>1922</v>
      </c>
      <c r="S218" s="3" t="s">
        <v>121</v>
      </c>
      <c r="T218" s="4" t="s">
        <v>73</v>
      </c>
      <c r="U218" s="11">
        <f>World_Cup_Matches[[#This Row],[Home Team Goals]]+World_Cup_Matches[[#This Row],[Away Team Goals]]</f>
        <v>1</v>
      </c>
      <c r="V218" s="11">
        <f>World_Cup_Matches[[#This Row],[Home Team Goals]]-World_Cup_Matches[[#This Row],[Away Team Goals]]</f>
        <v>1</v>
      </c>
      <c r="W218" s="4" t="str">
        <f>IF(World_Cup_Matches[[#This Row],[Home Team Goals]]&gt;World_Cup_Matches[[#This Row],[Away Team Goals]],World_Cup_Matches[[#This Row],[Home Team Name]],IF(World_Cup_Matches[[#This Row],[Away Team Goals]]&gt;World_Cup_Matches[[#This Row],[Home Team Goals]], World_Cup_Matches[[#This Row],[Away Team Name]],"Draw"))</f>
        <v>Sweden</v>
      </c>
      <c r="X218" s="4" t="str">
        <f>IF(World_Cup_Matches[[#This Row],[Home Team Goals]]&gt;World_Cup_Matches[[#This Row],[Away Team Goals]],"Hime Win",IF(World_Cup_Matches[[#This Row],[Away Team Goals]]&gt;World_Cup_Matches[[#This Row],[Home Team Goals]],"Away win","Draw"))</f>
        <v>Hime Win</v>
      </c>
    </row>
    <row r="219" spans="1:24" x14ac:dyDescent="0.2">
      <c r="A219" s="19">
        <v>1970</v>
      </c>
      <c r="B219" s="15" t="s">
        <v>530</v>
      </c>
      <c r="C219" s="3" t="s">
        <v>31</v>
      </c>
      <c r="D219" s="3" t="s">
        <v>500</v>
      </c>
      <c r="E219" s="3" t="s">
        <v>501</v>
      </c>
      <c r="F219" s="3" t="s">
        <v>285</v>
      </c>
      <c r="G219" s="11">
        <v>3</v>
      </c>
      <c r="H219" s="11">
        <v>1</v>
      </c>
      <c r="I219" s="3" t="s">
        <v>51</v>
      </c>
      <c r="J219" s="3" t="s">
        <v>1842</v>
      </c>
      <c r="K219" s="3">
        <v>17875</v>
      </c>
      <c r="L219" s="11">
        <v>3</v>
      </c>
      <c r="M219" s="11">
        <v>1</v>
      </c>
      <c r="N219" s="3" t="s">
        <v>503</v>
      </c>
      <c r="O219" s="3" t="s">
        <v>515</v>
      </c>
      <c r="P219" s="3" t="s">
        <v>502</v>
      </c>
      <c r="Q219" s="11">
        <v>250</v>
      </c>
      <c r="R219" s="11">
        <v>1840</v>
      </c>
      <c r="S219" s="3" t="s">
        <v>289</v>
      </c>
      <c r="T219" s="4" t="s">
        <v>54</v>
      </c>
      <c r="U219" s="11">
        <f>World_Cup_Matches[[#This Row],[Home Team Goals]]+World_Cup_Matches[[#This Row],[Away Team Goals]]</f>
        <v>4</v>
      </c>
      <c r="V219" s="11">
        <f>World_Cup_Matches[[#This Row],[Home Team Goals]]-World_Cup_Matches[[#This Row],[Away Team Goals]]</f>
        <v>2</v>
      </c>
      <c r="W219" s="4" t="str">
        <f>IF(World_Cup_Matches[[#This Row],[Home Team Goals]]&gt;World_Cup_Matches[[#This Row],[Away Team Goals]],World_Cup_Matches[[#This Row],[Home Team Name]],IF(World_Cup_Matches[[#This Row],[Away Team Goals]]&gt;World_Cup_Matches[[#This Row],[Home Team Goals]], World_Cup_Matches[[#This Row],[Away Team Name]],"Draw"))</f>
        <v>Germany FR</v>
      </c>
      <c r="X219" s="4" t="str">
        <f>IF(World_Cup_Matches[[#This Row],[Home Team Goals]]&gt;World_Cup_Matches[[#This Row],[Away Team Goals]],"Hime Win",IF(World_Cup_Matches[[#This Row],[Away Team Goals]]&gt;World_Cup_Matches[[#This Row],[Home Team Goals]],"Away win","Draw"))</f>
        <v>Hime Win</v>
      </c>
    </row>
    <row r="220" spans="1:24" x14ac:dyDescent="0.2">
      <c r="A220" s="19">
        <v>1970</v>
      </c>
      <c r="B220" s="15" t="s">
        <v>530</v>
      </c>
      <c r="C220" s="3" t="s">
        <v>49</v>
      </c>
      <c r="D220" s="3" t="s">
        <v>505</v>
      </c>
      <c r="E220" s="3" t="s">
        <v>506</v>
      </c>
      <c r="F220" s="3" t="s">
        <v>42</v>
      </c>
      <c r="G220" s="11">
        <v>3</v>
      </c>
      <c r="H220" s="11">
        <v>2</v>
      </c>
      <c r="I220" s="3" t="s">
        <v>50</v>
      </c>
      <c r="J220" s="3" t="s">
        <v>1842</v>
      </c>
      <c r="K220" s="3">
        <v>50804</v>
      </c>
      <c r="L220" s="11">
        <v>2</v>
      </c>
      <c r="M220" s="11">
        <v>1</v>
      </c>
      <c r="N220" s="3" t="s">
        <v>531</v>
      </c>
      <c r="O220" s="3" t="s">
        <v>518</v>
      </c>
      <c r="P220" s="3" t="s">
        <v>507</v>
      </c>
      <c r="Q220" s="11">
        <v>250</v>
      </c>
      <c r="R220" s="11">
        <v>1769</v>
      </c>
      <c r="S220" s="3" t="s">
        <v>47</v>
      </c>
      <c r="T220" s="4" t="s">
        <v>53</v>
      </c>
      <c r="U220" s="11">
        <f>World_Cup_Matches[[#This Row],[Home Team Goals]]+World_Cup_Matches[[#This Row],[Away Team Goals]]</f>
        <v>5</v>
      </c>
      <c r="V220" s="11">
        <f>World_Cup_Matches[[#This Row],[Home Team Goals]]-World_Cup_Matches[[#This Row],[Away Team Goals]]</f>
        <v>1</v>
      </c>
      <c r="W220" s="4" t="str">
        <f>IF(World_Cup_Matches[[#This Row],[Home Team Goals]]&gt;World_Cup_Matches[[#This Row],[Away Team Goals]],World_Cup_Matches[[#This Row],[Home Team Name]],IF(World_Cup_Matches[[#This Row],[Away Team Goals]]&gt;World_Cup_Matches[[#This Row],[Home Team Goals]], World_Cup_Matches[[#This Row],[Away Team Name]],"Draw"))</f>
        <v>Brazil</v>
      </c>
      <c r="X220" s="4" t="str">
        <f>IF(World_Cup_Matches[[#This Row],[Home Team Goals]]&gt;World_Cup_Matches[[#This Row],[Away Team Goals]],"Hime Win",IF(World_Cup_Matches[[#This Row],[Away Team Goals]]&gt;World_Cup_Matches[[#This Row],[Home Team Goals]],"Away win","Draw"))</f>
        <v>Hime Win</v>
      </c>
    </row>
    <row r="221" spans="1:24" x14ac:dyDescent="0.2">
      <c r="A221" s="19">
        <v>1970</v>
      </c>
      <c r="B221" s="15" t="s">
        <v>530</v>
      </c>
      <c r="C221" s="3" t="s">
        <v>21</v>
      </c>
      <c r="D221" s="3" t="s">
        <v>490</v>
      </c>
      <c r="E221" s="3" t="s">
        <v>491</v>
      </c>
      <c r="F221" s="3" t="s">
        <v>332</v>
      </c>
      <c r="G221" s="11">
        <v>2</v>
      </c>
      <c r="H221" s="11">
        <v>0</v>
      </c>
      <c r="I221" s="3" t="s">
        <v>520</v>
      </c>
      <c r="J221" s="3" t="s">
        <v>1842</v>
      </c>
      <c r="K221" s="3">
        <v>89979</v>
      </c>
      <c r="L221" s="11">
        <v>0</v>
      </c>
      <c r="M221" s="11">
        <v>0</v>
      </c>
      <c r="N221" s="3" t="s">
        <v>532</v>
      </c>
      <c r="O221" s="3" t="s">
        <v>533</v>
      </c>
      <c r="P221" s="3" t="s">
        <v>534</v>
      </c>
      <c r="Q221" s="11">
        <v>250</v>
      </c>
      <c r="R221" s="11">
        <v>1823</v>
      </c>
      <c r="S221" s="3" t="s">
        <v>335</v>
      </c>
      <c r="T221" s="4" t="s">
        <v>523</v>
      </c>
      <c r="U221" s="11">
        <f>World_Cup_Matches[[#This Row],[Home Team Goals]]+World_Cup_Matches[[#This Row],[Away Team Goals]]</f>
        <v>2</v>
      </c>
      <c r="V221" s="11">
        <f>World_Cup_Matches[[#This Row],[Home Team Goals]]-World_Cup_Matches[[#This Row],[Away Team Goals]]</f>
        <v>2</v>
      </c>
      <c r="W221" s="4" t="str">
        <f>IF(World_Cup_Matches[[#This Row],[Home Team Goals]]&gt;World_Cup_Matches[[#This Row],[Away Team Goals]],World_Cup_Matches[[#This Row],[Home Team Name]],IF(World_Cup_Matches[[#This Row],[Away Team Goals]]&gt;World_Cup_Matches[[#This Row],[Home Team Goals]], World_Cup_Matches[[#This Row],[Away Team Name]],"Draw"))</f>
        <v>Soviet Union</v>
      </c>
      <c r="X221" s="4" t="str">
        <f>IF(World_Cup_Matches[[#This Row],[Home Team Goals]]&gt;World_Cup_Matches[[#This Row],[Away Team Goals]],"Hime Win",IF(World_Cup_Matches[[#This Row],[Away Team Goals]]&gt;World_Cup_Matches[[#This Row],[Home Team Goals]],"Away win","Draw"))</f>
        <v>Hime Win</v>
      </c>
    </row>
    <row r="222" spans="1:24" x14ac:dyDescent="0.2">
      <c r="A222" s="19">
        <v>1970</v>
      </c>
      <c r="B222" s="15" t="s">
        <v>535</v>
      </c>
      <c r="C222" s="3" t="s">
        <v>40</v>
      </c>
      <c r="D222" s="3" t="s">
        <v>511</v>
      </c>
      <c r="E222" s="3" t="s">
        <v>512</v>
      </c>
      <c r="F222" s="3" t="s">
        <v>138</v>
      </c>
      <c r="G222" s="11">
        <v>0</v>
      </c>
      <c r="H222" s="11">
        <v>0</v>
      </c>
      <c r="I222" s="3" t="s">
        <v>496</v>
      </c>
      <c r="J222" s="3" t="s">
        <v>1842</v>
      </c>
      <c r="K222" s="3">
        <v>9890</v>
      </c>
      <c r="L222" s="11">
        <v>0</v>
      </c>
      <c r="M222" s="11">
        <v>0</v>
      </c>
      <c r="N222" s="3" t="s">
        <v>534</v>
      </c>
      <c r="O222" s="3" t="s">
        <v>498</v>
      </c>
      <c r="P222" s="3" t="s">
        <v>446</v>
      </c>
      <c r="Q222" s="11">
        <v>250</v>
      </c>
      <c r="R222" s="11">
        <v>1877</v>
      </c>
      <c r="S222" s="3" t="s">
        <v>142</v>
      </c>
      <c r="T222" s="4" t="s">
        <v>499</v>
      </c>
      <c r="U222" s="11">
        <f>World_Cup_Matches[[#This Row],[Home Team Goals]]+World_Cup_Matches[[#This Row],[Away Team Goals]]</f>
        <v>0</v>
      </c>
      <c r="V222" s="11">
        <f>World_Cup_Matches[[#This Row],[Home Team Goals]]-World_Cup_Matches[[#This Row],[Away Team Goals]]</f>
        <v>0</v>
      </c>
      <c r="W222" s="4" t="str">
        <f>IF(World_Cup_Matches[[#This Row],[Home Team Goals]]&gt;World_Cup_Matches[[#This Row],[Away Team Goals]],World_Cup_Matches[[#This Row],[Home Team Name]],IF(World_Cup_Matches[[#This Row],[Away Team Goals]]&gt;World_Cup_Matches[[#This Row],[Home Team Goals]], World_Cup_Matches[[#This Row],[Away Team Name]],"Draw"))</f>
        <v>Draw</v>
      </c>
      <c r="X222" s="4" t="str">
        <f>IF(World_Cup_Matches[[#This Row],[Home Team Goals]]&gt;World_Cup_Matches[[#This Row],[Away Team Goals]],"Hime Win",IF(World_Cup_Matches[[#This Row],[Away Team Goals]]&gt;World_Cup_Matches[[#This Row],[Home Team Goals]],"Away win","Draw"))</f>
        <v>Draw</v>
      </c>
    </row>
    <row r="223" spans="1:24" x14ac:dyDescent="0.2">
      <c r="A223" s="19">
        <v>1970</v>
      </c>
      <c r="B223" s="15" t="s">
        <v>535</v>
      </c>
      <c r="C223" s="3" t="s">
        <v>31</v>
      </c>
      <c r="D223" s="3" t="s">
        <v>500</v>
      </c>
      <c r="E223" s="3" t="s">
        <v>501</v>
      </c>
      <c r="F223" s="3" t="s">
        <v>401</v>
      </c>
      <c r="G223" s="11">
        <v>1</v>
      </c>
      <c r="H223" s="11">
        <v>1</v>
      </c>
      <c r="I223" s="3" t="s">
        <v>513</v>
      </c>
      <c r="J223" s="3" t="s">
        <v>1842</v>
      </c>
      <c r="K223" s="3">
        <v>12299</v>
      </c>
      <c r="L223" s="11">
        <v>1</v>
      </c>
      <c r="M223" s="11">
        <v>0</v>
      </c>
      <c r="N223" s="3" t="s">
        <v>529</v>
      </c>
      <c r="O223" s="3" t="s">
        <v>438</v>
      </c>
      <c r="P223" s="3" t="s">
        <v>514</v>
      </c>
      <c r="Q223" s="11">
        <v>250</v>
      </c>
      <c r="R223" s="11">
        <v>1779</v>
      </c>
      <c r="S223" s="3" t="s">
        <v>404</v>
      </c>
      <c r="T223" s="4" t="s">
        <v>517</v>
      </c>
      <c r="U223" s="11">
        <f>World_Cup_Matches[[#This Row],[Home Team Goals]]+World_Cup_Matches[[#This Row],[Away Team Goals]]</f>
        <v>2</v>
      </c>
      <c r="V223" s="11">
        <f>World_Cup_Matches[[#This Row],[Home Team Goals]]-World_Cup_Matches[[#This Row],[Away Team Goals]]</f>
        <v>0</v>
      </c>
      <c r="W223" s="4" t="str">
        <f>IF(World_Cup_Matches[[#This Row],[Home Team Goals]]&gt;World_Cup_Matches[[#This Row],[Away Team Goals]],World_Cup_Matches[[#This Row],[Home Team Name]],IF(World_Cup_Matches[[#This Row],[Away Team Goals]]&gt;World_Cup_Matches[[#This Row],[Home Team Goals]], World_Cup_Matches[[#This Row],[Away Team Name]],"Draw"))</f>
        <v>Draw</v>
      </c>
      <c r="X223" s="4" t="str">
        <f>IF(World_Cup_Matches[[#This Row],[Home Team Goals]]&gt;World_Cup_Matches[[#This Row],[Away Team Goals]],"Hime Win",IF(World_Cup_Matches[[#This Row],[Away Team Goals]]&gt;World_Cup_Matches[[#This Row],[Home Team Goals]],"Away win","Draw"))</f>
        <v>Draw</v>
      </c>
    </row>
    <row r="224" spans="1:24" x14ac:dyDescent="0.2">
      <c r="A224" s="19">
        <v>1970</v>
      </c>
      <c r="B224" s="15" t="s">
        <v>535</v>
      </c>
      <c r="C224" s="3" t="s">
        <v>49</v>
      </c>
      <c r="D224" s="3" t="s">
        <v>505</v>
      </c>
      <c r="E224" s="3" t="s">
        <v>506</v>
      </c>
      <c r="F224" s="3" t="s">
        <v>223</v>
      </c>
      <c r="G224" s="11">
        <v>1</v>
      </c>
      <c r="H224" s="11">
        <v>0</v>
      </c>
      <c r="I224" s="3" t="s">
        <v>145</v>
      </c>
      <c r="J224" s="3" t="s">
        <v>1842</v>
      </c>
      <c r="K224" s="3">
        <v>49292</v>
      </c>
      <c r="L224" s="11">
        <v>0</v>
      </c>
      <c r="M224" s="11">
        <v>0</v>
      </c>
      <c r="N224" s="3" t="s">
        <v>508</v>
      </c>
      <c r="O224" s="3" t="s">
        <v>526</v>
      </c>
      <c r="P224" s="3" t="s">
        <v>531</v>
      </c>
      <c r="Q224" s="11">
        <v>250</v>
      </c>
      <c r="R224" s="11">
        <v>1813</v>
      </c>
      <c r="S224" s="3" t="s">
        <v>227</v>
      </c>
      <c r="T224" s="4" t="s">
        <v>148</v>
      </c>
      <c r="U224" s="11">
        <f>World_Cup_Matches[[#This Row],[Home Team Goals]]+World_Cup_Matches[[#This Row],[Away Team Goals]]</f>
        <v>1</v>
      </c>
      <c r="V224" s="11">
        <f>World_Cup_Matches[[#This Row],[Home Team Goals]]-World_Cup_Matches[[#This Row],[Away Team Goals]]</f>
        <v>1</v>
      </c>
      <c r="W224" s="4" t="str">
        <f>IF(World_Cup_Matches[[#This Row],[Home Team Goals]]&gt;World_Cup_Matches[[#This Row],[Away Team Goals]],World_Cup_Matches[[#This Row],[Home Team Name]],IF(World_Cup_Matches[[#This Row],[Away Team Goals]]&gt;World_Cup_Matches[[#This Row],[Home Team Goals]], World_Cup_Matches[[#This Row],[Away Team Name]],"Draw"))</f>
        <v>England</v>
      </c>
      <c r="X224" s="4" t="str">
        <f>IF(World_Cup_Matches[[#This Row],[Home Team Goals]]&gt;World_Cup_Matches[[#This Row],[Away Team Goals]],"Hime Win",IF(World_Cup_Matches[[#This Row],[Away Team Goals]]&gt;World_Cup_Matches[[#This Row],[Home Team Goals]],"Away win","Draw"))</f>
        <v>Hime Win</v>
      </c>
    </row>
    <row r="225" spans="1:24" x14ac:dyDescent="0.2">
      <c r="A225" s="19">
        <v>1970</v>
      </c>
      <c r="B225" s="15" t="s">
        <v>535</v>
      </c>
      <c r="C225" s="3" t="s">
        <v>21</v>
      </c>
      <c r="D225" s="3" t="s">
        <v>490</v>
      </c>
      <c r="E225" s="3" t="s">
        <v>491</v>
      </c>
      <c r="F225" s="3" t="s">
        <v>25</v>
      </c>
      <c r="G225" s="11">
        <v>1</v>
      </c>
      <c r="H225" s="11">
        <v>0</v>
      </c>
      <c r="I225" s="3" t="s">
        <v>34</v>
      </c>
      <c r="J225" s="3" t="s">
        <v>1842</v>
      </c>
      <c r="K225" s="3">
        <v>108192</v>
      </c>
      <c r="L225" s="11">
        <v>1</v>
      </c>
      <c r="M225" s="11">
        <v>0</v>
      </c>
      <c r="N225" s="3" t="s">
        <v>533</v>
      </c>
      <c r="O225" s="3" t="s">
        <v>527</v>
      </c>
      <c r="P225" s="3" t="s">
        <v>532</v>
      </c>
      <c r="Q225" s="11">
        <v>250</v>
      </c>
      <c r="R225" s="11">
        <v>1752</v>
      </c>
      <c r="S225" s="3" t="s">
        <v>30</v>
      </c>
      <c r="T225" s="4" t="s">
        <v>38</v>
      </c>
      <c r="U225" s="11">
        <f>World_Cup_Matches[[#This Row],[Home Team Goals]]+World_Cup_Matches[[#This Row],[Away Team Goals]]</f>
        <v>1</v>
      </c>
      <c r="V225" s="11">
        <f>World_Cup_Matches[[#This Row],[Home Team Goals]]-World_Cup_Matches[[#This Row],[Away Team Goals]]</f>
        <v>1</v>
      </c>
      <c r="W225" s="4" t="str">
        <f>IF(World_Cup_Matches[[#This Row],[Home Team Goals]]&gt;World_Cup_Matches[[#This Row],[Away Team Goals]],World_Cup_Matches[[#This Row],[Home Team Name]],IF(World_Cup_Matches[[#This Row],[Away Team Goals]]&gt;World_Cup_Matches[[#This Row],[Home Team Goals]], World_Cup_Matches[[#This Row],[Away Team Name]],"Draw"))</f>
        <v>Mexico</v>
      </c>
      <c r="X225" s="4" t="str">
        <f>IF(World_Cup_Matches[[#This Row],[Home Team Goals]]&gt;World_Cup_Matches[[#This Row],[Away Team Goals]],"Hime Win",IF(World_Cup_Matches[[#This Row],[Away Team Goals]]&gt;World_Cup_Matches[[#This Row],[Home Team Goals]],"Away win","Draw"))</f>
        <v>Hime Win</v>
      </c>
    </row>
    <row r="226" spans="1:24" x14ac:dyDescent="0.2">
      <c r="A226" s="19">
        <v>1970</v>
      </c>
      <c r="B226" s="15" t="s">
        <v>536</v>
      </c>
      <c r="C226" s="3" t="s">
        <v>150</v>
      </c>
      <c r="D226" s="3" t="s">
        <v>511</v>
      </c>
      <c r="E226" s="3" t="s">
        <v>512</v>
      </c>
      <c r="F226" s="3" t="s">
        <v>138</v>
      </c>
      <c r="G226" s="11">
        <v>4</v>
      </c>
      <c r="H226" s="11">
        <v>1</v>
      </c>
      <c r="I226" s="3" t="s">
        <v>25</v>
      </c>
      <c r="J226" s="3" t="s">
        <v>1842</v>
      </c>
      <c r="K226" s="3">
        <v>26851</v>
      </c>
      <c r="L226" s="11">
        <v>1</v>
      </c>
      <c r="M226" s="11">
        <v>1</v>
      </c>
      <c r="N226" s="3" t="s">
        <v>497</v>
      </c>
      <c r="O226" s="3" t="s">
        <v>492</v>
      </c>
      <c r="P226" s="3" t="s">
        <v>527</v>
      </c>
      <c r="Q226" s="11">
        <v>251</v>
      </c>
      <c r="R226" s="11">
        <v>1882</v>
      </c>
      <c r="S226" s="3" t="s">
        <v>142</v>
      </c>
      <c r="T226" s="4" t="s">
        <v>30</v>
      </c>
      <c r="U226" s="11">
        <f>World_Cup_Matches[[#This Row],[Home Team Goals]]+World_Cup_Matches[[#This Row],[Away Team Goals]]</f>
        <v>5</v>
      </c>
      <c r="V226" s="11">
        <f>World_Cup_Matches[[#This Row],[Home Team Goals]]-World_Cup_Matches[[#This Row],[Away Team Goals]]</f>
        <v>3</v>
      </c>
      <c r="W226" s="4" t="str">
        <f>IF(World_Cup_Matches[[#This Row],[Home Team Goals]]&gt;World_Cup_Matches[[#This Row],[Away Team Goals]],World_Cup_Matches[[#This Row],[Home Team Name]],IF(World_Cup_Matches[[#This Row],[Away Team Goals]]&gt;World_Cup_Matches[[#This Row],[Home Team Goals]], World_Cup_Matches[[#This Row],[Away Team Name]],"Draw"))</f>
        <v>Italy</v>
      </c>
      <c r="X226" s="4" t="str">
        <f>IF(World_Cup_Matches[[#This Row],[Home Team Goals]]&gt;World_Cup_Matches[[#This Row],[Away Team Goals]],"Hime Win",IF(World_Cup_Matches[[#This Row],[Away Team Goals]]&gt;World_Cup_Matches[[#This Row],[Home Team Goals]],"Away win","Draw"))</f>
        <v>Hime Win</v>
      </c>
    </row>
    <row r="227" spans="1:24" x14ac:dyDescent="0.2">
      <c r="A227" s="19">
        <v>1970</v>
      </c>
      <c r="B227" s="15" t="s">
        <v>536</v>
      </c>
      <c r="C227" s="3" t="s">
        <v>150</v>
      </c>
      <c r="D227" s="3" t="s">
        <v>500</v>
      </c>
      <c r="E227" s="3" t="s">
        <v>501</v>
      </c>
      <c r="F227" s="3" t="s">
        <v>285</v>
      </c>
      <c r="G227" s="11">
        <v>3</v>
      </c>
      <c r="H227" s="11">
        <v>2</v>
      </c>
      <c r="I227" s="3" t="s">
        <v>223</v>
      </c>
      <c r="J227" s="3" t="s">
        <v>537</v>
      </c>
      <c r="K227" s="3">
        <v>23357</v>
      </c>
      <c r="L227" s="11">
        <v>0</v>
      </c>
      <c r="M227" s="11">
        <v>0</v>
      </c>
      <c r="N227" s="3" t="s">
        <v>533</v>
      </c>
      <c r="O227" s="3" t="s">
        <v>516</v>
      </c>
      <c r="P227" s="3" t="s">
        <v>515</v>
      </c>
      <c r="Q227" s="11">
        <v>251</v>
      </c>
      <c r="R227" s="11">
        <v>1811</v>
      </c>
      <c r="S227" s="3" t="s">
        <v>289</v>
      </c>
      <c r="T227" s="4" t="s">
        <v>227</v>
      </c>
      <c r="U227" s="11">
        <f>World_Cup_Matches[[#This Row],[Home Team Goals]]+World_Cup_Matches[[#This Row],[Away Team Goals]]</f>
        <v>5</v>
      </c>
      <c r="V227" s="11">
        <f>World_Cup_Matches[[#This Row],[Home Team Goals]]-World_Cup_Matches[[#This Row],[Away Team Goals]]</f>
        <v>1</v>
      </c>
      <c r="W227" s="4" t="str">
        <f>IF(World_Cup_Matches[[#This Row],[Home Team Goals]]&gt;World_Cup_Matches[[#This Row],[Away Team Goals]],World_Cup_Matches[[#This Row],[Home Team Name]],IF(World_Cup_Matches[[#This Row],[Away Team Goals]]&gt;World_Cup_Matches[[#This Row],[Home Team Goals]], World_Cup_Matches[[#This Row],[Away Team Name]],"Draw"))</f>
        <v>Germany FR</v>
      </c>
      <c r="X227" s="4" t="str">
        <f>IF(World_Cup_Matches[[#This Row],[Home Team Goals]]&gt;World_Cup_Matches[[#This Row],[Away Team Goals]],"Hime Win",IF(World_Cup_Matches[[#This Row],[Away Team Goals]]&gt;World_Cup_Matches[[#This Row],[Home Team Goals]],"Away win","Draw"))</f>
        <v>Hime Win</v>
      </c>
    </row>
    <row r="228" spans="1:24" x14ac:dyDescent="0.2">
      <c r="A228" s="19">
        <v>1970</v>
      </c>
      <c r="B228" s="15" t="s">
        <v>536</v>
      </c>
      <c r="C228" s="3" t="s">
        <v>150</v>
      </c>
      <c r="D228" s="3" t="s">
        <v>505</v>
      </c>
      <c r="E228" s="3" t="s">
        <v>506</v>
      </c>
      <c r="F228" s="3" t="s">
        <v>42</v>
      </c>
      <c r="G228" s="11">
        <v>4</v>
      </c>
      <c r="H228" s="11">
        <v>2</v>
      </c>
      <c r="I228" s="3" t="s">
        <v>51</v>
      </c>
      <c r="J228" s="3" t="s">
        <v>1842</v>
      </c>
      <c r="K228" s="3">
        <v>54233</v>
      </c>
      <c r="L228" s="11">
        <v>2</v>
      </c>
      <c r="M228" s="11">
        <v>1</v>
      </c>
      <c r="N228" s="3" t="s">
        <v>507</v>
      </c>
      <c r="O228" s="3" t="s">
        <v>531</v>
      </c>
      <c r="P228" s="3" t="s">
        <v>526</v>
      </c>
      <c r="Q228" s="11">
        <v>251</v>
      </c>
      <c r="R228" s="11">
        <v>1768</v>
      </c>
      <c r="S228" s="3" t="s">
        <v>47</v>
      </c>
      <c r="T228" s="4" t="s">
        <v>54</v>
      </c>
      <c r="U228" s="11">
        <f>World_Cup_Matches[[#This Row],[Home Team Goals]]+World_Cup_Matches[[#This Row],[Away Team Goals]]</f>
        <v>6</v>
      </c>
      <c r="V228" s="11">
        <f>World_Cup_Matches[[#This Row],[Home Team Goals]]-World_Cup_Matches[[#This Row],[Away Team Goals]]</f>
        <v>2</v>
      </c>
      <c r="W228" s="4" t="str">
        <f>IF(World_Cup_Matches[[#This Row],[Home Team Goals]]&gt;World_Cup_Matches[[#This Row],[Away Team Goals]],World_Cup_Matches[[#This Row],[Home Team Name]],IF(World_Cup_Matches[[#This Row],[Away Team Goals]]&gt;World_Cup_Matches[[#This Row],[Home Team Goals]], World_Cup_Matches[[#This Row],[Away Team Name]],"Draw"))</f>
        <v>Brazil</v>
      </c>
      <c r="X228" s="4" t="str">
        <f>IF(World_Cup_Matches[[#This Row],[Home Team Goals]]&gt;World_Cup_Matches[[#This Row],[Away Team Goals]],"Hime Win",IF(World_Cup_Matches[[#This Row],[Away Team Goals]]&gt;World_Cup_Matches[[#This Row],[Home Team Goals]],"Away win","Draw"))</f>
        <v>Hime Win</v>
      </c>
    </row>
    <row r="229" spans="1:24" x14ac:dyDescent="0.2">
      <c r="A229" s="19">
        <v>1970</v>
      </c>
      <c r="B229" s="15" t="s">
        <v>536</v>
      </c>
      <c r="C229" s="3" t="s">
        <v>150</v>
      </c>
      <c r="D229" s="3" t="s">
        <v>490</v>
      </c>
      <c r="E229" s="3" t="s">
        <v>491</v>
      </c>
      <c r="F229" s="3" t="s">
        <v>72</v>
      </c>
      <c r="G229" s="11">
        <v>1</v>
      </c>
      <c r="H229" s="11">
        <v>0</v>
      </c>
      <c r="I229" s="3" t="s">
        <v>332</v>
      </c>
      <c r="J229" s="3" t="s">
        <v>538</v>
      </c>
      <c r="K229" s="3">
        <v>26085</v>
      </c>
      <c r="L229" s="11">
        <v>0</v>
      </c>
      <c r="M229" s="11">
        <v>0</v>
      </c>
      <c r="N229" s="3" t="s">
        <v>514</v>
      </c>
      <c r="O229" s="3" t="s">
        <v>415</v>
      </c>
      <c r="P229" s="3" t="s">
        <v>522</v>
      </c>
      <c r="Q229" s="11">
        <v>251</v>
      </c>
      <c r="R229" s="11">
        <v>1925</v>
      </c>
      <c r="S229" s="3" t="s">
        <v>73</v>
      </c>
      <c r="T229" s="4" t="s">
        <v>335</v>
      </c>
      <c r="U229" s="11">
        <f>World_Cup_Matches[[#This Row],[Home Team Goals]]+World_Cup_Matches[[#This Row],[Away Team Goals]]</f>
        <v>1</v>
      </c>
      <c r="V229" s="11">
        <f>World_Cup_Matches[[#This Row],[Home Team Goals]]-World_Cup_Matches[[#This Row],[Away Team Goals]]</f>
        <v>1</v>
      </c>
      <c r="W229" s="4" t="str">
        <f>IF(World_Cup_Matches[[#This Row],[Home Team Goals]]&gt;World_Cup_Matches[[#This Row],[Away Team Goals]],World_Cup_Matches[[#This Row],[Home Team Name]],IF(World_Cup_Matches[[#This Row],[Away Team Goals]]&gt;World_Cup_Matches[[#This Row],[Home Team Goals]], World_Cup_Matches[[#This Row],[Away Team Name]],"Draw"))</f>
        <v>Uruguay</v>
      </c>
      <c r="X229" s="4" t="str">
        <f>IF(World_Cup_Matches[[#This Row],[Home Team Goals]]&gt;World_Cup_Matches[[#This Row],[Away Team Goals]],"Hime Win",IF(World_Cup_Matches[[#This Row],[Away Team Goals]]&gt;World_Cup_Matches[[#This Row],[Home Team Goals]],"Away win","Draw"))</f>
        <v>Hime Win</v>
      </c>
    </row>
    <row r="230" spans="1:24" x14ac:dyDescent="0.2">
      <c r="A230" s="19">
        <v>1970</v>
      </c>
      <c r="B230" s="15" t="s">
        <v>539</v>
      </c>
      <c r="C230" s="3" t="s">
        <v>83</v>
      </c>
      <c r="D230" s="3" t="s">
        <v>505</v>
      </c>
      <c r="E230" s="3" t="s">
        <v>506</v>
      </c>
      <c r="F230" s="3" t="s">
        <v>42</v>
      </c>
      <c r="G230" s="11">
        <v>3</v>
      </c>
      <c r="H230" s="11">
        <v>1</v>
      </c>
      <c r="I230" s="3" t="s">
        <v>72</v>
      </c>
      <c r="J230" s="3" t="s">
        <v>1842</v>
      </c>
      <c r="K230" s="3">
        <v>51261</v>
      </c>
      <c r="L230" s="11">
        <v>1</v>
      </c>
      <c r="M230" s="11">
        <v>1</v>
      </c>
      <c r="N230" s="3" t="s">
        <v>515</v>
      </c>
      <c r="O230" s="3" t="s">
        <v>438</v>
      </c>
      <c r="P230" s="3" t="s">
        <v>531</v>
      </c>
      <c r="Q230" s="11">
        <v>569</v>
      </c>
      <c r="R230" s="11">
        <v>1771</v>
      </c>
      <c r="S230" s="3" t="s">
        <v>47</v>
      </c>
      <c r="T230" s="4" t="s">
        <v>73</v>
      </c>
      <c r="U230" s="11">
        <f>World_Cup_Matches[[#This Row],[Home Team Goals]]+World_Cup_Matches[[#This Row],[Away Team Goals]]</f>
        <v>4</v>
      </c>
      <c r="V230" s="11">
        <f>World_Cup_Matches[[#This Row],[Home Team Goals]]-World_Cup_Matches[[#This Row],[Away Team Goals]]</f>
        <v>2</v>
      </c>
      <c r="W230" s="4" t="str">
        <f>IF(World_Cup_Matches[[#This Row],[Home Team Goals]]&gt;World_Cup_Matches[[#This Row],[Away Team Goals]],World_Cup_Matches[[#This Row],[Home Team Name]],IF(World_Cup_Matches[[#This Row],[Away Team Goals]]&gt;World_Cup_Matches[[#This Row],[Home Team Goals]], World_Cup_Matches[[#This Row],[Away Team Name]],"Draw"))</f>
        <v>Brazil</v>
      </c>
      <c r="X230" s="4" t="str">
        <f>IF(World_Cup_Matches[[#This Row],[Home Team Goals]]&gt;World_Cup_Matches[[#This Row],[Away Team Goals]],"Hime Win",IF(World_Cup_Matches[[#This Row],[Away Team Goals]]&gt;World_Cup_Matches[[#This Row],[Home Team Goals]],"Away win","Draw"))</f>
        <v>Hime Win</v>
      </c>
    </row>
    <row r="231" spans="1:24" x14ac:dyDescent="0.2">
      <c r="A231" s="19">
        <v>1970</v>
      </c>
      <c r="B231" s="15" t="s">
        <v>540</v>
      </c>
      <c r="C231" s="3" t="s">
        <v>83</v>
      </c>
      <c r="D231" s="3" t="s">
        <v>490</v>
      </c>
      <c r="E231" s="3" t="s">
        <v>491</v>
      </c>
      <c r="F231" s="3" t="s">
        <v>138</v>
      </c>
      <c r="G231" s="11">
        <v>4</v>
      </c>
      <c r="H231" s="11">
        <v>3</v>
      </c>
      <c r="I231" s="3" t="s">
        <v>285</v>
      </c>
      <c r="J231" s="3" t="s">
        <v>157</v>
      </c>
      <c r="K231" s="3">
        <v>102444</v>
      </c>
      <c r="L231" s="11">
        <v>0</v>
      </c>
      <c r="M231" s="11">
        <v>0</v>
      </c>
      <c r="N231" s="3" t="s">
        <v>409</v>
      </c>
      <c r="O231" s="3" t="s">
        <v>532</v>
      </c>
      <c r="P231" s="3" t="s">
        <v>516</v>
      </c>
      <c r="Q231" s="11">
        <v>569</v>
      </c>
      <c r="R231" s="11">
        <v>1838</v>
      </c>
      <c r="S231" s="3" t="s">
        <v>142</v>
      </c>
      <c r="T231" s="4" t="s">
        <v>289</v>
      </c>
      <c r="U231" s="11">
        <f>World_Cup_Matches[[#This Row],[Home Team Goals]]+World_Cup_Matches[[#This Row],[Away Team Goals]]</f>
        <v>7</v>
      </c>
      <c r="V231" s="11">
        <f>World_Cup_Matches[[#This Row],[Home Team Goals]]-World_Cup_Matches[[#This Row],[Away Team Goals]]</f>
        <v>1</v>
      </c>
      <c r="W231" s="4" t="str">
        <f>IF(World_Cup_Matches[[#This Row],[Home Team Goals]]&gt;World_Cup_Matches[[#This Row],[Away Team Goals]],World_Cup_Matches[[#This Row],[Home Team Name]],IF(World_Cup_Matches[[#This Row],[Away Team Goals]]&gt;World_Cup_Matches[[#This Row],[Home Team Goals]], World_Cup_Matches[[#This Row],[Away Team Name]],"Draw"))</f>
        <v>Italy</v>
      </c>
      <c r="X231" s="4" t="str">
        <f>IF(World_Cup_Matches[[#This Row],[Home Team Goals]]&gt;World_Cup_Matches[[#This Row],[Away Team Goals]],"Hime Win",IF(World_Cup_Matches[[#This Row],[Away Team Goals]]&gt;World_Cup_Matches[[#This Row],[Home Team Goals]],"Away win","Draw"))</f>
        <v>Hime Win</v>
      </c>
    </row>
    <row r="232" spans="1:24" x14ac:dyDescent="0.2">
      <c r="A232" s="19">
        <v>1970</v>
      </c>
      <c r="B232" s="15" t="s">
        <v>541</v>
      </c>
      <c r="C232" s="3" t="s">
        <v>155</v>
      </c>
      <c r="D232" s="3" t="s">
        <v>490</v>
      </c>
      <c r="E232" s="3" t="s">
        <v>491</v>
      </c>
      <c r="F232" s="3" t="s">
        <v>285</v>
      </c>
      <c r="G232" s="11">
        <v>1</v>
      </c>
      <c r="H232" s="11">
        <v>0</v>
      </c>
      <c r="I232" s="3" t="s">
        <v>72</v>
      </c>
      <c r="J232" s="3" t="s">
        <v>1842</v>
      </c>
      <c r="K232" s="3">
        <v>104403</v>
      </c>
      <c r="L232" s="11">
        <v>1</v>
      </c>
      <c r="M232" s="11">
        <v>0</v>
      </c>
      <c r="N232" s="3" t="s">
        <v>502</v>
      </c>
      <c r="O232" s="3" t="s">
        <v>531</v>
      </c>
      <c r="P232" s="3" t="s">
        <v>503</v>
      </c>
      <c r="Q232" s="11">
        <v>3477</v>
      </c>
      <c r="R232" s="11">
        <v>1843</v>
      </c>
      <c r="S232" s="3" t="s">
        <v>289</v>
      </c>
      <c r="T232" s="4" t="s">
        <v>73</v>
      </c>
      <c r="U232" s="11">
        <f>World_Cup_Matches[[#This Row],[Home Team Goals]]+World_Cup_Matches[[#This Row],[Away Team Goals]]</f>
        <v>1</v>
      </c>
      <c r="V232" s="11">
        <f>World_Cup_Matches[[#This Row],[Home Team Goals]]-World_Cup_Matches[[#This Row],[Away Team Goals]]</f>
        <v>1</v>
      </c>
      <c r="W232" s="4" t="str">
        <f>IF(World_Cup_Matches[[#This Row],[Home Team Goals]]&gt;World_Cup_Matches[[#This Row],[Away Team Goals]],World_Cup_Matches[[#This Row],[Home Team Name]],IF(World_Cup_Matches[[#This Row],[Away Team Goals]]&gt;World_Cup_Matches[[#This Row],[Home Team Goals]], World_Cup_Matches[[#This Row],[Away Team Name]],"Draw"))</f>
        <v>Germany FR</v>
      </c>
      <c r="X232" s="4" t="str">
        <f>IF(World_Cup_Matches[[#This Row],[Home Team Goals]]&gt;World_Cup_Matches[[#This Row],[Away Team Goals]],"Hime Win",IF(World_Cup_Matches[[#This Row],[Away Team Goals]]&gt;World_Cup_Matches[[#This Row],[Home Team Goals]],"Away win","Draw"))</f>
        <v>Hime Win</v>
      </c>
    </row>
    <row r="233" spans="1:24" x14ac:dyDescent="0.2">
      <c r="A233" s="19">
        <v>1970</v>
      </c>
      <c r="B233" s="15" t="s">
        <v>542</v>
      </c>
      <c r="C233" s="3" t="s">
        <v>86</v>
      </c>
      <c r="D233" s="3" t="s">
        <v>490</v>
      </c>
      <c r="E233" s="3" t="s">
        <v>491</v>
      </c>
      <c r="F233" s="3" t="s">
        <v>42</v>
      </c>
      <c r="G233" s="11">
        <v>4</v>
      </c>
      <c r="H233" s="11">
        <v>1</v>
      </c>
      <c r="I233" s="3" t="s">
        <v>138</v>
      </c>
      <c r="J233" s="3" t="s">
        <v>1842</v>
      </c>
      <c r="K233" s="3">
        <v>107412</v>
      </c>
      <c r="L233" s="11">
        <v>1</v>
      </c>
      <c r="M233" s="11">
        <v>1</v>
      </c>
      <c r="N233" s="3" t="s">
        <v>522</v>
      </c>
      <c r="O233" s="3" t="s">
        <v>497</v>
      </c>
      <c r="P233" s="3" t="s">
        <v>533</v>
      </c>
      <c r="Q233" s="11">
        <v>3476</v>
      </c>
      <c r="R233" s="11">
        <v>1765</v>
      </c>
      <c r="S233" s="3" t="s">
        <v>47</v>
      </c>
      <c r="T233" s="4" t="s">
        <v>142</v>
      </c>
      <c r="U233" s="11">
        <f>World_Cup_Matches[[#This Row],[Home Team Goals]]+World_Cup_Matches[[#This Row],[Away Team Goals]]</f>
        <v>5</v>
      </c>
      <c r="V233" s="11">
        <f>World_Cup_Matches[[#This Row],[Home Team Goals]]-World_Cup_Matches[[#This Row],[Away Team Goals]]</f>
        <v>3</v>
      </c>
      <c r="W233" s="4" t="str">
        <f>IF(World_Cup_Matches[[#This Row],[Home Team Goals]]&gt;World_Cup_Matches[[#This Row],[Away Team Goals]],World_Cup_Matches[[#This Row],[Home Team Name]],IF(World_Cup_Matches[[#This Row],[Away Team Goals]]&gt;World_Cup_Matches[[#This Row],[Home Team Goals]], World_Cup_Matches[[#This Row],[Away Team Name]],"Draw"))</f>
        <v>Brazil</v>
      </c>
      <c r="X233" s="4" t="str">
        <f>IF(World_Cup_Matches[[#This Row],[Home Team Goals]]&gt;World_Cup_Matches[[#This Row],[Away Team Goals]],"Hime Win",IF(World_Cup_Matches[[#This Row],[Away Team Goals]]&gt;World_Cup_Matches[[#This Row],[Home Team Goals]],"Away win","Draw"))</f>
        <v>Hime Win</v>
      </c>
    </row>
    <row r="234" spans="1:24" x14ac:dyDescent="0.2">
      <c r="A234" s="19">
        <v>1974</v>
      </c>
      <c r="B234" s="15" t="s">
        <v>543</v>
      </c>
      <c r="C234" s="3" t="s">
        <v>40</v>
      </c>
      <c r="D234" s="3" t="s">
        <v>544</v>
      </c>
      <c r="E234" s="3" t="s">
        <v>545</v>
      </c>
      <c r="F234" s="3" t="s">
        <v>42</v>
      </c>
      <c r="G234" s="11">
        <v>0</v>
      </c>
      <c r="H234" s="11">
        <v>0</v>
      </c>
      <c r="I234" s="3" t="s">
        <v>41</v>
      </c>
      <c r="J234" s="3" t="s">
        <v>1842</v>
      </c>
      <c r="K234" s="3">
        <v>62000</v>
      </c>
      <c r="L234" s="11">
        <v>0</v>
      </c>
      <c r="M234" s="11">
        <v>0</v>
      </c>
      <c r="N234" s="3" t="s">
        <v>497</v>
      </c>
      <c r="O234" s="3" t="s">
        <v>507</v>
      </c>
      <c r="P234" s="3" t="s">
        <v>546</v>
      </c>
      <c r="Q234" s="11">
        <v>262</v>
      </c>
      <c r="R234" s="11">
        <v>1986</v>
      </c>
      <c r="S234" s="3" t="s">
        <v>47</v>
      </c>
      <c r="T234" s="4" t="s">
        <v>46</v>
      </c>
      <c r="U234" s="11">
        <f>World_Cup_Matches[[#This Row],[Home Team Goals]]+World_Cup_Matches[[#This Row],[Away Team Goals]]</f>
        <v>0</v>
      </c>
      <c r="V234" s="11">
        <f>World_Cup_Matches[[#This Row],[Home Team Goals]]-World_Cup_Matches[[#This Row],[Away Team Goals]]</f>
        <v>0</v>
      </c>
      <c r="W234" s="4" t="str">
        <f>IF(World_Cup_Matches[[#This Row],[Home Team Goals]]&gt;World_Cup_Matches[[#This Row],[Away Team Goals]],World_Cup_Matches[[#This Row],[Home Team Name]],IF(World_Cup_Matches[[#This Row],[Away Team Goals]]&gt;World_Cup_Matches[[#This Row],[Home Team Goals]], World_Cup_Matches[[#This Row],[Away Team Name]],"Draw"))</f>
        <v>Draw</v>
      </c>
      <c r="X234" s="4" t="str">
        <f>IF(World_Cup_Matches[[#This Row],[Home Team Goals]]&gt;World_Cup_Matches[[#This Row],[Away Team Goals]],"Hime Win",IF(World_Cup_Matches[[#This Row],[Away Team Goals]]&gt;World_Cup_Matches[[#This Row],[Home Team Goals]],"Away win","Draw"))</f>
        <v>Draw</v>
      </c>
    </row>
    <row r="235" spans="1:24" x14ac:dyDescent="0.2">
      <c r="A235" s="19">
        <v>1974</v>
      </c>
      <c r="B235" s="15" t="s">
        <v>547</v>
      </c>
      <c r="C235" s="3" t="s">
        <v>21</v>
      </c>
      <c r="D235" s="3" t="s">
        <v>548</v>
      </c>
      <c r="E235" s="3" t="s">
        <v>549</v>
      </c>
      <c r="F235" s="3" t="s">
        <v>285</v>
      </c>
      <c r="G235" s="11">
        <v>1</v>
      </c>
      <c r="H235" s="11">
        <v>0</v>
      </c>
      <c r="I235" s="3" t="s">
        <v>61</v>
      </c>
      <c r="J235" s="3" t="s">
        <v>1842</v>
      </c>
      <c r="K235" s="3">
        <v>81100</v>
      </c>
      <c r="L235" s="11">
        <v>1</v>
      </c>
      <c r="M235" s="11">
        <v>0</v>
      </c>
      <c r="N235" s="3" t="s">
        <v>550</v>
      </c>
      <c r="O235" s="3" t="s">
        <v>448</v>
      </c>
      <c r="P235" s="3" t="s">
        <v>551</v>
      </c>
      <c r="Q235" s="11">
        <v>262</v>
      </c>
      <c r="R235" s="11">
        <v>2003</v>
      </c>
      <c r="S235" s="3" t="s">
        <v>289</v>
      </c>
      <c r="T235" s="4" t="s">
        <v>63</v>
      </c>
      <c r="U235" s="11">
        <f>World_Cup_Matches[[#This Row],[Home Team Goals]]+World_Cup_Matches[[#This Row],[Away Team Goals]]</f>
        <v>1</v>
      </c>
      <c r="V235" s="11">
        <f>World_Cup_Matches[[#This Row],[Home Team Goals]]-World_Cup_Matches[[#This Row],[Away Team Goals]]</f>
        <v>1</v>
      </c>
      <c r="W235" s="4" t="str">
        <f>IF(World_Cup_Matches[[#This Row],[Home Team Goals]]&gt;World_Cup_Matches[[#This Row],[Away Team Goals]],World_Cup_Matches[[#This Row],[Home Team Name]],IF(World_Cup_Matches[[#This Row],[Away Team Goals]]&gt;World_Cup_Matches[[#This Row],[Home Team Goals]], World_Cup_Matches[[#This Row],[Away Team Name]],"Draw"))</f>
        <v>Germany FR</v>
      </c>
      <c r="X235" s="4" t="str">
        <f>IF(World_Cup_Matches[[#This Row],[Home Team Goals]]&gt;World_Cup_Matches[[#This Row],[Away Team Goals]],"Hime Win",IF(World_Cup_Matches[[#This Row],[Away Team Goals]]&gt;World_Cup_Matches[[#This Row],[Home Team Goals]],"Away win","Draw"))</f>
        <v>Hime Win</v>
      </c>
    </row>
    <row r="236" spans="1:24" x14ac:dyDescent="0.2">
      <c r="A236" s="19">
        <v>1974</v>
      </c>
      <c r="B236" s="15" t="s">
        <v>552</v>
      </c>
      <c r="C236" s="3" t="s">
        <v>21</v>
      </c>
      <c r="D236" s="3" t="s">
        <v>553</v>
      </c>
      <c r="E236" s="3" t="s">
        <v>554</v>
      </c>
      <c r="F236" s="3" t="s">
        <v>555</v>
      </c>
      <c r="G236" s="11">
        <v>2</v>
      </c>
      <c r="H236" s="11">
        <v>0</v>
      </c>
      <c r="I236" s="3" t="s">
        <v>556</v>
      </c>
      <c r="J236" s="3" t="s">
        <v>1842</v>
      </c>
      <c r="K236" s="3">
        <v>17000</v>
      </c>
      <c r="L236" s="11">
        <v>0</v>
      </c>
      <c r="M236" s="11">
        <v>0</v>
      </c>
      <c r="N236" s="3" t="s">
        <v>557</v>
      </c>
      <c r="O236" s="3" t="s">
        <v>558</v>
      </c>
      <c r="P236" s="3" t="s">
        <v>559</v>
      </c>
      <c r="Q236" s="11">
        <v>262</v>
      </c>
      <c r="R236" s="11">
        <v>1955</v>
      </c>
      <c r="S236" s="3" t="s">
        <v>560</v>
      </c>
      <c r="T236" s="4" t="s">
        <v>561</v>
      </c>
      <c r="U236" s="11">
        <f>World_Cup_Matches[[#This Row],[Home Team Goals]]+World_Cup_Matches[[#This Row],[Away Team Goals]]</f>
        <v>2</v>
      </c>
      <c r="V236" s="11">
        <f>World_Cup_Matches[[#This Row],[Home Team Goals]]-World_Cup_Matches[[#This Row],[Away Team Goals]]</f>
        <v>2</v>
      </c>
      <c r="W236" s="4" t="str">
        <f>IF(World_Cup_Matches[[#This Row],[Home Team Goals]]&gt;World_Cup_Matches[[#This Row],[Away Team Goals]],World_Cup_Matches[[#This Row],[Home Team Name]],IF(World_Cup_Matches[[#This Row],[Away Team Goals]]&gt;World_Cup_Matches[[#This Row],[Home Team Goals]], World_Cup_Matches[[#This Row],[Away Team Name]],"Draw"))</f>
        <v>German DR</v>
      </c>
      <c r="X236" s="4" t="str">
        <f>IF(World_Cup_Matches[[#This Row],[Home Team Goals]]&gt;World_Cup_Matches[[#This Row],[Away Team Goals]],"Hime Win",IF(World_Cup_Matches[[#This Row],[Away Team Goals]]&gt;World_Cup_Matches[[#This Row],[Home Team Goals]],"Away win","Draw"))</f>
        <v>Hime Win</v>
      </c>
    </row>
    <row r="237" spans="1:24" x14ac:dyDescent="0.2">
      <c r="A237" s="19">
        <v>1974</v>
      </c>
      <c r="B237" s="15" t="s">
        <v>552</v>
      </c>
      <c r="C237" s="3" t="s">
        <v>40</v>
      </c>
      <c r="D237" s="3" t="s">
        <v>562</v>
      </c>
      <c r="E237" s="3" t="s">
        <v>563</v>
      </c>
      <c r="F237" s="3" t="s">
        <v>564</v>
      </c>
      <c r="G237" s="11">
        <v>0</v>
      </c>
      <c r="H237" s="11">
        <v>2</v>
      </c>
      <c r="I237" s="3" t="s">
        <v>272</v>
      </c>
      <c r="J237" s="3" t="s">
        <v>1842</v>
      </c>
      <c r="K237" s="3">
        <v>27000</v>
      </c>
      <c r="L237" s="11">
        <v>0</v>
      </c>
      <c r="M237" s="11">
        <v>2</v>
      </c>
      <c r="N237" s="3" t="s">
        <v>565</v>
      </c>
      <c r="O237" s="3" t="s">
        <v>566</v>
      </c>
      <c r="P237" s="3" t="s">
        <v>567</v>
      </c>
      <c r="Q237" s="11">
        <v>262</v>
      </c>
      <c r="R237" s="11">
        <v>2176</v>
      </c>
      <c r="S237" s="3" t="s">
        <v>568</v>
      </c>
      <c r="T237" s="4" t="s">
        <v>275</v>
      </c>
      <c r="U237" s="11">
        <f>World_Cup_Matches[[#This Row],[Home Team Goals]]+World_Cup_Matches[[#This Row],[Away Team Goals]]</f>
        <v>2</v>
      </c>
      <c r="V237" s="11">
        <f>World_Cup_Matches[[#This Row],[Home Team Goals]]-World_Cup_Matches[[#This Row],[Away Team Goals]]</f>
        <v>-2</v>
      </c>
      <c r="W237" s="4" t="str">
        <f>IF(World_Cup_Matches[[#This Row],[Home Team Goals]]&gt;World_Cup_Matches[[#This Row],[Away Team Goals]],World_Cup_Matches[[#This Row],[Home Team Name]],IF(World_Cup_Matches[[#This Row],[Away Team Goals]]&gt;World_Cup_Matches[[#This Row],[Home Team Goals]], World_Cup_Matches[[#This Row],[Away Team Name]],"Draw"))</f>
        <v>Scotland</v>
      </c>
      <c r="X237" s="4" t="str">
        <f>IF(World_Cup_Matches[[#This Row],[Home Team Goals]]&gt;World_Cup_Matches[[#This Row],[Away Team Goals]],"Hime Win",IF(World_Cup_Matches[[#This Row],[Away Team Goals]]&gt;World_Cup_Matches[[#This Row],[Home Team Goals]],"Away win","Draw"))</f>
        <v>Away win</v>
      </c>
    </row>
    <row r="238" spans="1:24" x14ac:dyDescent="0.2">
      <c r="A238" s="19">
        <v>1974</v>
      </c>
      <c r="B238" s="15" t="s">
        <v>569</v>
      </c>
      <c r="C238" s="3" t="s">
        <v>49</v>
      </c>
      <c r="D238" s="3" t="s">
        <v>570</v>
      </c>
      <c r="E238" s="3" t="s">
        <v>571</v>
      </c>
      <c r="F238" s="3" t="s">
        <v>72</v>
      </c>
      <c r="G238" s="11">
        <v>0</v>
      </c>
      <c r="H238" s="11">
        <v>2</v>
      </c>
      <c r="I238" s="3" t="s">
        <v>109</v>
      </c>
      <c r="J238" s="3" t="s">
        <v>1842</v>
      </c>
      <c r="K238" s="3">
        <v>55100</v>
      </c>
      <c r="L238" s="11">
        <v>0</v>
      </c>
      <c r="M238" s="11">
        <v>1</v>
      </c>
      <c r="N238" s="3" t="s">
        <v>572</v>
      </c>
      <c r="O238" s="3" t="s">
        <v>573</v>
      </c>
      <c r="P238" s="3" t="s">
        <v>574</v>
      </c>
      <c r="Q238" s="11">
        <v>262</v>
      </c>
      <c r="R238" s="11">
        <v>2098</v>
      </c>
      <c r="S238" s="3" t="s">
        <v>73</v>
      </c>
      <c r="T238" s="4" t="s">
        <v>114</v>
      </c>
      <c r="U238" s="11">
        <f>World_Cup_Matches[[#This Row],[Home Team Goals]]+World_Cup_Matches[[#This Row],[Away Team Goals]]</f>
        <v>2</v>
      </c>
      <c r="V238" s="11">
        <f>World_Cup_Matches[[#This Row],[Home Team Goals]]-World_Cup_Matches[[#This Row],[Away Team Goals]]</f>
        <v>-2</v>
      </c>
      <c r="W238" s="4" t="str">
        <f>IF(World_Cup_Matches[[#This Row],[Home Team Goals]]&gt;World_Cup_Matches[[#This Row],[Away Team Goals]],World_Cup_Matches[[#This Row],[Home Team Name]],IF(World_Cup_Matches[[#This Row],[Away Team Goals]]&gt;World_Cup_Matches[[#This Row],[Home Team Goals]], World_Cup_Matches[[#This Row],[Away Team Name]],"Draw"))</f>
        <v>Netherlands</v>
      </c>
      <c r="X238" s="4" t="str">
        <f>IF(World_Cup_Matches[[#This Row],[Home Team Goals]]&gt;World_Cup_Matches[[#This Row],[Away Team Goals]],"Hime Win",IF(World_Cup_Matches[[#This Row],[Away Team Goals]]&gt;World_Cup_Matches[[#This Row],[Home Team Goals]],"Away win","Draw"))</f>
        <v>Away win</v>
      </c>
    </row>
    <row r="239" spans="1:24" x14ac:dyDescent="0.2">
      <c r="A239" s="19">
        <v>1974</v>
      </c>
      <c r="B239" s="15" t="s">
        <v>569</v>
      </c>
      <c r="C239" s="3" t="s">
        <v>49</v>
      </c>
      <c r="D239" s="3" t="s">
        <v>575</v>
      </c>
      <c r="E239" s="3" t="s">
        <v>576</v>
      </c>
      <c r="F239" s="3" t="s">
        <v>117</v>
      </c>
      <c r="G239" s="11">
        <v>0</v>
      </c>
      <c r="H239" s="11">
        <v>0</v>
      </c>
      <c r="I239" s="3" t="s">
        <v>401</v>
      </c>
      <c r="J239" s="3" t="s">
        <v>1842</v>
      </c>
      <c r="K239" s="3">
        <v>23800</v>
      </c>
      <c r="L239" s="11">
        <v>0</v>
      </c>
      <c r="M239" s="11">
        <v>0</v>
      </c>
      <c r="N239" s="3" t="s">
        <v>577</v>
      </c>
      <c r="O239" s="3" t="s">
        <v>578</v>
      </c>
      <c r="P239" s="3" t="s">
        <v>579</v>
      </c>
      <c r="Q239" s="11">
        <v>262</v>
      </c>
      <c r="R239" s="11">
        <v>1995</v>
      </c>
      <c r="S239" s="3" t="s">
        <v>121</v>
      </c>
      <c r="T239" s="4" t="s">
        <v>404</v>
      </c>
      <c r="U239" s="11">
        <f>World_Cup_Matches[[#This Row],[Home Team Goals]]+World_Cup_Matches[[#This Row],[Away Team Goals]]</f>
        <v>0</v>
      </c>
      <c r="V239" s="11">
        <f>World_Cup_Matches[[#This Row],[Home Team Goals]]-World_Cup_Matches[[#This Row],[Away Team Goals]]</f>
        <v>0</v>
      </c>
      <c r="W239" s="4" t="str">
        <f>IF(World_Cup_Matches[[#This Row],[Home Team Goals]]&gt;World_Cup_Matches[[#This Row],[Away Team Goals]],World_Cup_Matches[[#This Row],[Home Team Name]],IF(World_Cup_Matches[[#This Row],[Away Team Goals]]&gt;World_Cup_Matches[[#This Row],[Home Team Goals]], World_Cup_Matches[[#This Row],[Away Team Name]],"Draw"))</f>
        <v>Draw</v>
      </c>
      <c r="X239" s="4" t="str">
        <f>IF(World_Cup_Matches[[#This Row],[Home Team Goals]]&gt;World_Cup_Matches[[#This Row],[Away Team Goals]],"Hime Win",IF(World_Cup_Matches[[#This Row],[Away Team Goals]]&gt;World_Cup_Matches[[#This Row],[Home Team Goals]],"Away win","Draw"))</f>
        <v>Draw</v>
      </c>
    </row>
    <row r="240" spans="1:24" x14ac:dyDescent="0.2">
      <c r="A240" s="19">
        <v>1974</v>
      </c>
      <c r="B240" s="15" t="s">
        <v>580</v>
      </c>
      <c r="C240" s="3" t="s">
        <v>31</v>
      </c>
      <c r="D240" s="3" t="s">
        <v>548</v>
      </c>
      <c r="E240" s="3" t="s">
        <v>581</v>
      </c>
      <c r="F240" s="3" t="s">
        <v>138</v>
      </c>
      <c r="G240" s="11">
        <v>3</v>
      </c>
      <c r="H240" s="11">
        <v>1</v>
      </c>
      <c r="I240" s="3" t="s">
        <v>582</v>
      </c>
      <c r="J240" s="3" t="s">
        <v>1842</v>
      </c>
      <c r="K240" s="3">
        <v>53000</v>
      </c>
      <c r="L240" s="11">
        <v>0</v>
      </c>
      <c r="M240" s="11">
        <v>0</v>
      </c>
      <c r="N240" s="3" t="s">
        <v>583</v>
      </c>
      <c r="O240" s="3" t="s">
        <v>584</v>
      </c>
      <c r="P240" s="3" t="s">
        <v>472</v>
      </c>
      <c r="Q240" s="11">
        <v>262</v>
      </c>
      <c r="R240" s="11">
        <v>2083</v>
      </c>
      <c r="S240" s="3" t="s">
        <v>142</v>
      </c>
      <c r="T240" s="4" t="s">
        <v>585</v>
      </c>
      <c r="U240" s="11">
        <f>World_Cup_Matches[[#This Row],[Home Team Goals]]+World_Cup_Matches[[#This Row],[Away Team Goals]]</f>
        <v>4</v>
      </c>
      <c r="V240" s="11">
        <f>World_Cup_Matches[[#This Row],[Home Team Goals]]-World_Cup_Matches[[#This Row],[Away Team Goals]]</f>
        <v>2</v>
      </c>
      <c r="W240" s="4" t="str">
        <f>IF(World_Cup_Matches[[#This Row],[Home Team Goals]]&gt;World_Cup_Matches[[#This Row],[Away Team Goals]],World_Cup_Matches[[#This Row],[Home Team Name]],IF(World_Cup_Matches[[#This Row],[Away Team Goals]]&gt;World_Cup_Matches[[#This Row],[Home Team Goals]], World_Cup_Matches[[#This Row],[Away Team Name]],"Draw"))</f>
        <v>Italy</v>
      </c>
      <c r="X240" s="4" t="str">
        <f>IF(World_Cup_Matches[[#This Row],[Home Team Goals]]&gt;World_Cup_Matches[[#This Row],[Away Team Goals]],"Hime Win",IF(World_Cup_Matches[[#This Row],[Away Team Goals]]&gt;World_Cup_Matches[[#This Row],[Home Team Goals]],"Away win","Draw"))</f>
        <v>Hime Win</v>
      </c>
    </row>
    <row r="241" spans="1:24" x14ac:dyDescent="0.2">
      <c r="A241" s="19">
        <v>1974</v>
      </c>
      <c r="B241" s="15" t="s">
        <v>580</v>
      </c>
      <c r="C241" s="3" t="s">
        <v>31</v>
      </c>
      <c r="D241" s="3" t="s">
        <v>586</v>
      </c>
      <c r="E241" s="3" t="s">
        <v>587</v>
      </c>
      <c r="F241" s="3" t="s">
        <v>190</v>
      </c>
      <c r="G241" s="11">
        <v>3</v>
      </c>
      <c r="H241" s="11">
        <v>2</v>
      </c>
      <c r="I241" s="3" t="s">
        <v>56</v>
      </c>
      <c r="J241" s="3" t="s">
        <v>1842</v>
      </c>
      <c r="K241" s="3">
        <v>32700</v>
      </c>
      <c r="L241" s="11">
        <v>2</v>
      </c>
      <c r="M241" s="11">
        <v>0</v>
      </c>
      <c r="N241" s="3" t="s">
        <v>588</v>
      </c>
      <c r="O241" s="3" t="s">
        <v>589</v>
      </c>
      <c r="P241" s="3" t="s">
        <v>415</v>
      </c>
      <c r="Q241" s="11">
        <v>262</v>
      </c>
      <c r="R241" s="11">
        <v>1952</v>
      </c>
      <c r="S241" s="3" t="s">
        <v>194</v>
      </c>
      <c r="T241" s="4" t="s">
        <v>59</v>
      </c>
      <c r="U241" s="11">
        <f>World_Cup_Matches[[#This Row],[Home Team Goals]]+World_Cup_Matches[[#This Row],[Away Team Goals]]</f>
        <v>5</v>
      </c>
      <c r="V241" s="11">
        <f>World_Cup_Matches[[#This Row],[Home Team Goals]]-World_Cup_Matches[[#This Row],[Away Team Goals]]</f>
        <v>1</v>
      </c>
      <c r="W241" s="4" t="str">
        <f>IF(World_Cup_Matches[[#This Row],[Home Team Goals]]&gt;World_Cup_Matches[[#This Row],[Away Team Goals]],World_Cup_Matches[[#This Row],[Home Team Name]],IF(World_Cup_Matches[[#This Row],[Away Team Goals]]&gt;World_Cup_Matches[[#This Row],[Home Team Goals]], World_Cup_Matches[[#This Row],[Away Team Name]],"Draw"))</f>
        <v>Poland</v>
      </c>
      <c r="X241" s="4" t="str">
        <f>IF(World_Cup_Matches[[#This Row],[Home Team Goals]]&gt;World_Cup_Matches[[#This Row],[Away Team Goals]],"Hime Win",IF(World_Cup_Matches[[#This Row],[Away Team Goals]]&gt;World_Cup_Matches[[#This Row],[Home Team Goals]],"Away win","Draw"))</f>
        <v>Hime Win</v>
      </c>
    </row>
    <row r="242" spans="1:24" x14ac:dyDescent="0.2">
      <c r="A242" s="19">
        <v>1974</v>
      </c>
      <c r="B242" s="15" t="s">
        <v>590</v>
      </c>
      <c r="C242" s="3" t="s">
        <v>21</v>
      </c>
      <c r="D242" s="3" t="s">
        <v>553</v>
      </c>
      <c r="E242" s="3" t="s">
        <v>554</v>
      </c>
      <c r="F242" s="3" t="s">
        <v>556</v>
      </c>
      <c r="G242" s="11">
        <v>0</v>
      </c>
      <c r="H242" s="11">
        <v>3</v>
      </c>
      <c r="I242" s="3" t="s">
        <v>285</v>
      </c>
      <c r="J242" s="3" t="s">
        <v>1842</v>
      </c>
      <c r="K242" s="3">
        <v>53300</v>
      </c>
      <c r="L242" s="11">
        <v>0</v>
      </c>
      <c r="M242" s="11">
        <v>2</v>
      </c>
      <c r="N242" s="3" t="s">
        <v>591</v>
      </c>
      <c r="O242" s="3" t="s">
        <v>578</v>
      </c>
      <c r="P242" s="3" t="s">
        <v>577</v>
      </c>
      <c r="Q242" s="11">
        <v>262</v>
      </c>
      <c r="R242" s="11">
        <v>1954</v>
      </c>
      <c r="S242" s="3" t="s">
        <v>561</v>
      </c>
      <c r="T242" s="4" t="s">
        <v>289</v>
      </c>
      <c r="U242" s="11">
        <f>World_Cup_Matches[[#This Row],[Home Team Goals]]+World_Cup_Matches[[#This Row],[Away Team Goals]]</f>
        <v>3</v>
      </c>
      <c r="V242" s="11">
        <f>World_Cup_Matches[[#This Row],[Home Team Goals]]-World_Cup_Matches[[#This Row],[Away Team Goals]]</f>
        <v>-3</v>
      </c>
      <c r="W242" s="4" t="str">
        <f>IF(World_Cup_Matches[[#This Row],[Home Team Goals]]&gt;World_Cup_Matches[[#This Row],[Away Team Goals]],World_Cup_Matches[[#This Row],[Home Team Name]],IF(World_Cup_Matches[[#This Row],[Away Team Goals]]&gt;World_Cup_Matches[[#This Row],[Home Team Goals]], World_Cup_Matches[[#This Row],[Away Team Name]],"Draw"))</f>
        <v>Germany FR</v>
      </c>
      <c r="X242" s="4" t="str">
        <f>IF(World_Cup_Matches[[#This Row],[Home Team Goals]]&gt;World_Cup_Matches[[#This Row],[Away Team Goals]],"Hime Win",IF(World_Cup_Matches[[#This Row],[Away Team Goals]]&gt;World_Cup_Matches[[#This Row],[Home Team Goals]],"Away win","Draw"))</f>
        <v>Away win</v>
      </c>
    </row>
    <row r="243" spans="1:24" x14ac:dyDescent="0.2">
      <c r="A243" s="19">
        <v>1974</v>
      </c>
      <c r="B243" s="15" t="s">
        <v>592</v>
      </c>
      <c r="C243" s="3" t="s">
        <v>40</v>
      </c>
      <c r="D243" s="3" t="s">
        <v>544</v>
      </c>
      <c r="E243" s="3" t="s">
        <v>545</v>
      </c>
      <c r="F243" s="3" t="s">
        <v>272</v>
      </c>
      <c r="G243" s="11">
        <v>0</v>
      </c>
      <c r="H243" s="11">
        <v>0</v>
      </c>
      <c r="I243" s="3" t="s">
        <v>42</v>
      </c>
      <c r="J243" s="3" t="s">
        <v>1842</v>
      </c>
      <c r="K243" s="3">
        <v>62000</v>
      </c>
      <c r="L243" s="11">
        <v>0</v>
      </c>
      <c r="M243" s="11">
        <v>0</v>
      </c>
      <c r="N243" s="3" t="s">
        <v>593</v>
      </c>
      <c r="O243" s="3" t="s">
        <v>572</v>
      </c>
      <c r="P243" s="3" t="s">
        <v>594</v>
      </c>
      <c r="Q243" s="11">
        <v>262</v>
      </c>
      <c r="R243" s="11">
        <v>1985</v>
      </c>
      <c r="S243" s="3" t="s">
        <v>275</v>
      </c>
      <c r="T243" s="4" t="s">
        <v>47</v>
      </c>
      <c r="U243" s="11">
        <f>World_Cup_Matches[[#This Row],[Home Team Goals]]+World_Cup_Matches[[#This Row],[Away Team Goals]]</f>
        <v>0</v>
      </c>
      <c r="V243" s="11">
        <f>World_Cup_Matches[[#This Row],[Home Team Goals]]-World_Cup_Matches[[#This Row],[Away Team Goals]]</f>
        <v>0</v>
      </c>
      <c r="W243" s="4" t="str">
        <f>IF(World_Cup_Matches[[#This Row],[Home Team Goals]]&gt;World_Cup_Matches[[#This Row],[Away Team Goals]],World_Cup_Matches[[#This Row],[Home Team Name]],IF(World_Cup_Matches[[#This Row],[Away Team Goals]]&gt;World_Cup_Matches[[#This Row],[Home Team Goals]], World_Cup_Matches[[#This Row],[Away Team Name]],"Draw"))</f>
        <v>Draw</v>
      </c>
      <c r="X243" s="4" t="str">
        <f>IF(World_Cup_Matches[[#This Row],[Home Team Goals]]&gt;World_Cup_Matches[[#This Row],[Away Team Goals]],"Hime Win",IF(World_Cup_Matches[[#This Row],[Away Team Goals]]&gt;World_Cup_Matches[[#This Row],[Home Team Goals]],"Away win","Draw"))</f>
        <v>Draw</v>
      </c>
    </row>
    <row r="244" spans="1:24" x14ac:dyDescent="0.2">
      <c r="A244" s="19">
        <v>1974</v>
      </c>
      <c r="B244" s="15" t="s">
        <v>592</v>
      </c>
      <c r="C244" s="3" t="s">
        <v>21</v>
      </c>
      <c r="D244" s="3" t="s">
        <v>548</v>
      </c>
      <c r="E244" s="3" t="s">
        <v>549</v>
      </c>
      <c r="F244" s="3" t="s">
        <v>61</v>
      </c>
      <c r="G244" s="11">
        <v>1</v>
      </c>
      <c r="H244" s="11">
        <v>1</v>
      </c>
      <c r="I244" s="3" t="s">
        <v>555</v>
      </c>
      <c r="J244" s="3" t="s">
        <v>1842</v>
      </c>
      <c r="K244" s="3">
        <v>28300</v>
      </c>
      <c r="L244" s="11">
        <v>0</v>
      </c>
      <c r="M244" s="11">
        <v>0</v>
      </c>
      <c r="N244" s="3" t="s">
        <v>595</v>
      </c>
      <c r="O244" s="3" t="s">
        <v>497</v>
      </c>
      <c r="P244" s="3" t="s">
        <v>415</v>
      </c>
      <c r="Q244" s="11">
        <v>262</v>
      </c>
      <c r="R244" s="11">
        <v>2004</v>
      </c>
      <c r="S244" s="3" t="s">
        <v>63</v>
      </c>
      <c r="T244" s="4" t="s">
        <v>560</v>
      </c>
      <c r="U244" s="11">
        <f>World_Cup_Matches[[#This Row],[Home Team Goals]]+World_Cup_Matches[[#This Row],[Away Team Goals]]</f>
        <v>2</v>
      </c>
      <c r="V244" s="11">
        <f>World_Cup_Matches[[#This Row],[Home Team Goals]]-World_Cup_Matches[[#This Row],[Away Team Goals]]</f>
        <v>0</v>
      </c>
      <c r="W244" s="4" t="str">
        <f>IF(World_Cup_Matches[[#This Row],[Home Team Goals]]&gt;World_Cup_Matches[[#This Row],[Away Team Goals]],World_Cup_Matches[[#This Row],[Home Team Name]],IF(World_Cup_Matches[[#This Row],[Away Team Goals]]&gt;World_Cup_Matches[[#This Row],[Home Team Goals]], World_Cup_Matches[[#This Row],[Away Team Name]],"Draw"))</f>
        <v>Draw</v>
      </c>
      <c r="X244" s="4" t="str">
        <f>IF(World_Cup_Matches[[#This Row],[Home Team Goals]]&gt;World_Cup_Matches[[#This Row],[Away Team Goals]],"Hime Win",IF(World_Cup_Matches[[#This Row],[Away Team Goals]]&gt;World_Cup_Matches[[#This Row],[Home Team Goals]],"Away win","Draw"))</f>
        <v>Draw</v>
      </c>
    </row>
    <row r="245" spans="1:24" x14ac:dyDescent="0.2">
      <c r="A245" s="19">
        <v>1974</v>
      </c>
      <c r="B245" s="15" t="s">
        <v>592</v>
      </c>
      <c r="C245" s="3" t="s">
        <v>40</v>
      </c>
      <c r="D245" s="3" t="s">
        <v>596</v>
      </c>
      <c r="E245" s="3" t="s">
        <v>597</v>
      </c>
      <c r="F245" s="3" t="s">
        <v>41</v>
      </c>
      <c r="G245" s="11">
        <v>9</v>
      </c>
      <c r="H245" s="11">
        <v>0</v>
      </c>
      <c r="I245" s="3" t="s">
        <v>564</v>
      </c>
      <c r="J245" s="3" t="s">
        <v>1842</v>
      </c>
      <c r="K245" s="3">
        <v>31700</v>
      </c>
      <c r="L245" s="11">
        <v>6</v>
      </c>
      <c r="M245" s="11">
        <v>0</v>
      </c>
      <c r="N245" s="3" t="s">
        <v>559</v>
      </c>
      <c r="O245" s="3" t="s">
        <v>583</v>
      </c>
      <c r="P245" s="3" t="s">
        <v>518</v>
      </c>
      <c r="Q245" s="11">
        <v>262</v>
      </c>
      <c r="R245" s="11">
        <v>2186</v>
      </c>
      <c r="S245" s="3" t="s">
        <v>46</v>
      </c>
      <c r="T245" s="4" t="s">
        <v>568</v>
      </c>
      <c r="U245" s="11">
        <f>World_Cup_Matches[[#This Row],[Home Team Goals]]+World_Cup_Matches[[#This Row],[Away Team Goals]]</f>
        <v>9</v>
      </c>
      <c r="V245" s="11">
        <f>World_Cup_Matches[[#This Row],[Home Team Goals]]-World_Cup_Matches[[#This Row],[Away Team Goals]]</f>
        <v>9</v>
      </c>
      <c r="W245" s="4" t="str">
        <f>IF(World_Cup_Matches[[#This Row],[Home Team Goals]]&gt;World_Cup_Matches[[#This Row],[Away Team Goals]],World_Cup_Matches[[#This Row],[Home Team Name]],IF(World_Cup_Matches[[#This Row],[Away Team Goals]]&gt;World_Cup_Matches[[#This Row],[Home Team Goals]], World_Cup_Matches[[#This Row],[Away Team Name]],"Draw"))</f>
        <v>Yugoslavia</v>
      </c>
      <c r="X245" s="4" t="str">
        <f>IF(World_Cup_Matches[[#This Row],[Home Team Goals]]&gt;World_Cup_Matches[[#This Row],[Away Team Goals]],"Hime Win",IF(World_Cup_Matches[[#This Row],[Away Team Goals]]&gt;World_Cup_Matches[[#This Row],[Home Team Goals]],"Away win","Draw"))</f>
        <v>Hime Win</v>
      </c>
    </row>
    <row r="246" spans="1:24" x14ac:dyDescent="0.2">
      <c r="A246" s="19">
        <v>1974</v>
      </c>
      <c r="B246" s="15" t="s">
        <v>598</v>
      </c>
      <c r="C246" s="3" t="s">
        <v>49</v>
      </c>
      <c r="D246" s="3" t="s">
        <v>562</v>
      </c>
      <c r="E246" s="3" t="s">
        <v>563</v>
      </c>
      <c r="F246" s="3" t="s">
        <v>109</v>
      </c>
      <c r="G246" s="11">
        <v>0</v>
      </c>
      <c r="H246" s="11">
        <v>0</v>
      </c>
      <c r="I246" s="3" t="s">
        <v>117</v>
      </c>
      <c r="J246" s="3" t="s">
        <v>1842</v>
      </c>
      <c r="K246" s="3">
        <v>53700</v>
      </c>
      <c r="L246" s="11">
        <v>0</v>
      </c>
      <c r="M246" s="11">
        <v>0</v>
      </c>
      <c r="N246" s="3" t="s">
        <v>551</v>
      </c>
      <c r="O246" s="3" t="s">
        <v>446</v>
      </c>
      <c r="P246" s="3" t="s">
        <v>588</v>
      </c>
      <c r="Q246" s="11">
        <v>262</v>
      </c>
      <c r="R246" s="11">
        <v>2097</v>
      </c>
      <c r="S246" s="3" t="s">
        <v>114</v>
      </c>
      <c r="T246" s="4" t="s">
        <v>121</v>
      </c>
      <c r="U246" s="11">
        <f>World_Cup_Matches[[#This Row],[Home Team Goals]]+World_Cup_Matches[[#This Row],[Away Team Goals]]</f>
        <v>0</v>
      </c>
      <c r="V246" s="11">
        <f>World_Cup_Matches[[#This Row],[Home Team Goals]]-World_Cup_Matches[[#This Row],[Away Team Goals]]</f>
        <v>0</v>
      </c>
      <c r="W246" s="4" t="str">
        <f>IF(World_Cup_Matches[[#This Row],[Home Team Goals]]&gt;World_Cup_Matches[[#This Row],[Away Team Goals]],World_Cup_Matches[[#This Row],[Home Team Name]],IF(World_Cup_Matches[[#This Row],[Away Team Goals]]&gt;World_Cup_Matches[[#This Row],[Home Team Goals]], World_Cup_Matches[[#This Row],[Away Team Name]],"Draw"))</f>
        <v>Draw</v>
      </c>
      <c r="X246" s="4" t="str">
        <f>IF(World_Cup_Matches[[#This Row],[Home Team Goals]]&gt;World_Cup_Matches[[#This Row],[Away Team Goals]],"Hime Win",IF(World_Cup_Matches[[#This Row],[Away Team Goals]]&gt;World_Cup_Matches[[#This Row],[Home Team Goals]],"Away win","Draw"))</f>
        <v>Draw</v>
      </c>
    </row>
    <row r="247" spans="1:24" x14ac:dyDescent="0.2">
      <c r="A247" s="19">
        <v>1974</v>
      </c>
      <c r="B247" s="15" t="s">
        <v>598</v>
      </c>
      <c r="C247" s="3" t="s">
        <v>49</v>
      </c>
      <c r="D247" s="3" t="s">
        <v>570</v>
      </c>
      <c r="E247" s="3" t="s">
        <v>571</v>
      </c>
      <c r="F247" s="3" t="s">
        <v>401</v>
      </c>
      <c r="G247" s="11">
        <v>1</v>
      </c>
      <c r="H247" s="11">
        <v>1</v>
      </c>
      <c r="I247" s="3" t="s">
        <v>72</v>
      </c>
      <c r="J247" s="3" t="s">
        <v>1842</v>
      </c>
      <c r="K247" s="3">
        <v>13400</v>
      </c>
      <c r="L247" s="11">
        <v>0</v>
      </c>
      <c r="M247" s="11">
        <v>0</v>
      </c>
      <c r="N247" s="3" t="s">
        <v>448</v>
      </c>
      <c r="O247" s="3" t="s">
        <v>550</v>
      </c>
      <c r="P247" s="3" t="s">
        <v>599</v>
      </c>
      <c r="Q247" s="11">
        <v>262</v>
      </c>
      <c r="R247" s="11">
        <v>1996</v>
      </c>
      <c r="S247" s="3" t="s">
        <v>404</v>
      </c>
      <c r="T247" s="4" t="s">
        <v>73</v>
      </c>
      <c r="U247" s="11">
        <f>World_Cup_Matches[[#This Row],[Home Team Goals]]+World_Cup_Matches[[#This Row],[Away Team Goals]]</f>
        <v>2</v>
      </c>
      <c r="V247" s="11">
        <f>World_Cup_Matches[[#This Row],[Home Team Goals]]-World_Cup_Matches[[#This Row],[Away Team Goals]]</f>
        <v>0</v>
      </c>
      <c r="W247" s="4" t="str">
        <f>IF(World_Cup_Matches[[#This Row],[Home Team Goals]]&gt;World_Cup_Matches[[#This Row],[Away Team Goals]],World_Cup_Matches[[#This Row],[Home Team Name]],IF(World_Cup_Matches[[#This Row],[Away Team Goals]]&gt;World_Cup_Matches[[#This Row],[Home Team Goals]], World_Cup_Matches[[#This Row],[Away Team Name]],"Draw"))</f>
        <v>Draw</v>
      </c>
      <c r="X247" s="4" t="str">
        <f>IF(World_Cup_Matches[[#This Row],[Home Team Goals]]&gt;World_Cup_Matches[[#This Row],[Away Team Goals]],"Hime Win",IF(World_Cup_Matches[[#This Row],[Away Team Goals]]&gt;World_Cup_Matches[[#This Row],[Home Team Goals]],"Away win","Draw"))</f>
        <v>Draw</v>
      </c>
    </row>
    <row r="248" spans="1:24" x14ac:dyDescent="0.2">
      <c r="A248" s="19">
        <v>1974</v>
      </c>
      <c r="B248" s="15" t="s">
        <v>598</v>
      </c>
      <c r="C248" s="3" t="s">
        <v>31</v>
      </c>
      <c r="D248" s="3" t="s">
        <v>548</v>
      </c>
      <c r="E248" s="3" t="s">
        <v>581</v>
      </c>
      <c r="F248" s="3" t="s">
        <v>582</v>
      </c>
      <c r="G248" s="11">
        <v>0</v>
      </c>
      <c r="H248" s="11">
        <v>7</v>
      </c>
      <c r="I248" s="3" t="s">
        <v>190</v>
      </c>
      <c r="J248" s="3" t="s">
        <v>1842</v>
      </c>
      <c r="K248" s="3">
        <v>25300</v>
      </c>
      <c r="L248" s="11">
        <v>0</v>
      </c>
      <c r="M248" s="11">
        <v>5</v>
      </c>
      <c r="N248" s="3" t="s">
        <v>579</v>
      </c>
      <c r="O248" s="3" t="s">
        <v>600</v>
      </c>
      <c r="P248" s="3" t="s">
        <v>601</v>
      </c>
      <c r="Q248" s="11">
        <v>262</v>
      </c>
      <c r="R248" s="11">
        <v>2085</v>
      </c>
      <c r="S248" s="3" t="s">
        <v>585</v>
      </c>
      <c r="T248" s="4" t="s">
        <v>194</v>
      </c>
      <c r="U248" s="11">
        <f>World_Cup_Matches[[#This Row],[Home Team Goals]]+World_Cup_Matches[[#This Row],[Away Team Goals]]</f>
        <v>7</v>
      </c>
      <c r="V248" s="11">
        <f>World_Cup_Matches[[#This Row],[Home Team Goals]]-World_Cup_Matches[[#This Row],[Away Team Goals]]</f>
        <v>-7</v>
      </c>
      <c r="W248" s="4" t="str">
        <f>IF(World_Cup_Matches[[#This Row],[Home Team Goals]]&gt;World_Cup_Matches[[#This Row],[Away Team Goals]],World_Cup_Matches[[#This Row],[Home Team Name]],IF(World_Cup_Matches[[#This Row],[Away Team Goals]]&gt;World_Cup_Matches[[#This Row],[Home Team Goals]], World_Cup_Matches[[#This Row],[Away Team Name]],"Draw"))</f>
        <v>Poland</v>
      </c>
      <c r="X248" s="4" t="str">
        <f>IF(World_Cup_Matches[[#This Row],[Home Team Goals]]&gt;World_Cup_Matches[[#This Row],[Away Team Goals]],"Hime Win",IF(World_Cup_Matches[[#This Row],[Away Team Goals]]&gt;World_Cup_Matches[[#This Row],[Home Team Goals]],"Away win","Draw"))</f>
        <v>Away win</v>
      </c>
    </row>
    <row r="249" spans="1:24" x14ac:dyDescent="0.2">
      <c r="A249" s="19">
        <v>1974</v>
      </c>
      <c r="B249" s="15" t="s">
        <v>598</v>
      </c>
      <c r="C249" s="3" t="s">
        <v>31</v>
      </c>
      <c r="D249" s="3" t="s">
        <v>586</v>
      </c>
      <c r="E249" s="3" t="s">
        <v>587</v>
      </c>
      <c r="F249" s="3" t="s">
        <v>56</v>
      </c>
      <c r="G249" s="11">
        <v>1</v>
      </c>
      <c r="H249" s="11">
        <v>1</v>
      </c>
      <c r="I249" s="3" t="s">
        <v>138</v>
      </c>
      <c r="J249" s="3" t="s">
        <v>1842</v>
      </c>
      <c r="K249" s="3">
        <v>70100</v>
      </c>
      <c r="L249" s="11">
        <v>1</v>
      </c>
      <c r="M249" s="11">
        <v>1</v>
      </c>
      <c r="N249" s="3" t="s">
        <v>573</v>
      </c>
      <c r="O249" s="3" t="s">
        <v>522</v>
      </c>
      <c r="P249" s="3" t="s">
        <v>574</v>
      </c>
      <c r="Q249" s="11">
        <v>262</v>
      </c>
      <c r="R249" s="11">
        <v>1949</v>
      </c>
      <c r="S249" s="3" t="s">
        <v>59</v>
      </c>
      <c r="T249" s="4" t="s">
        <v>142</v>
      </c>
      <c r="U249" s="11">
        <f>World_Cup_Matches[[#This Row],[Home Team Goals]]+World_Cup_Matches[[#This Row],[Away Team Goals]]</f>
        <v>2</v>
      </c>
      <c r="V249" s="11">
        <f>World_Cup_Matches[[#This Row],[Home Team Goals]]-World_Cup_Matches[[#This Row],[Away Team Goals]]</f>
        <v>0</v>
      </c>
      <c r="W249" s="4" t="str">
        <f>IF(World_Cup_Matches[[#This Row],[Home Team Goals]]&gt;World_Cup_Matches[[#This Row],[Away Team Goals]],World_Cup_Matches[[#This Row],[Home Team Name]],IF(World_Cup_Matches[[#This Row],[Away Team Goals]]&gt;World_Cup_Matches[[#This Row],[Home Team Goals]], World_Cup_Matches[[#This Row],[Away Team Name]],"Draw"))</f>
        <v>Draw</v>
      </c>
      <c r="X249" s="4" t="str">
        <f>IF(World_Cup_Matches[[#This Row],[Home Team Goals]]&gt;World_Cup_Matches[[#This Row],[Away Team Goals]],"Hime Win",IF(World_Cup_Matches[[#This Row],[Away Team Goals]]&gt;World_Cup_Matches[[#This Row],[Home Team Goals]],"Away win","Draw"))</f>
        <v>Draw</v>
      </c>
    </row>
    <row r="250" spans="1:24" x14ac:dyDescent="0.2">
      <c r="A250" s="19">
        <v>1974</v>
      </c>
      <c r="B250" s="15" t="s">
        <v>602</v>
      </c>
      <c r="C250" s="3" t="s">
        <v>40</v>
      </c>
      <c r="D250" s="3" t="s">
        <v>544</v>
      </c>
      <c r="E250" s="3" t="s">
        <v>545</v>
      </c>
      <c r="F250" s="3" t="s">
        <v>272</v>
      </c>
      <c r="G250" s="11">
        <v>1</v>
      </c>
      <c r="H250" s="11">
        <v>1</v>
      </c>
      <c r="I250" s="3" t="s">
        <v>41</v>
      </c>
      <c r="J250" s="3" t="s">
        <v>1842</v>
      </c>
      <c r="K250" s="3">
        <v>56000</v>
      </c>
      <c r="L250" s="11">
        <v>0</v>
      </c>
      <c r="M250" s="11">
        <v>0</v>
      </c>
      <c r="N250" s="3" t="s">
        <v>578</v>
      </c>
      <c r="O250" s="3" t="s">
        <v>522</v>
      </c>
      <c r="P250" s="3" t="s">
        <v>446</v>
      </c>
      <c r="Q250" s="11">
        <v>262</v>
      </c>
      <c r="R250" s="11">
        <v>2175</v>
      </c>
      <c r="S250" s="3" t="s">
        <v>275</v>
      </c>
      <c r="T250" s="4" t="s">
        <v>46</v>
      </c>
      <c r="U250" s="11">
        <f>World_Cup_Matches[[#This Row],[Home Team Goals]]+World_Cup_Matches[[#This Row],[Away Team Goals]]</f>
        <v>2</v>
      </c>
      <c r="V250" s="11">
        <f>World_Cup_Matches[[#This Row],[Home Team Goals]]-World_Cup_Matches[[#This Row],[Away Team Goals]]</f>
        <v>0</v>
      </c>
      <c r="W250" s="4" t="str">
        <f>IF(World_Cup_Matches[[#This Row],[Home Team Goals]]&gt;World_Cup_Matches[[#This Row],[Away Team Goals]],World_Cup_Matches[[#This Row],[Home Team Name]],IF(World_Cup_Matches[[#This Row],[Away Team Goals]]&gt;World_Cup_Matches[[#This Row],[Home Team Goals]], World_Cup_Matches[[#This Row],[Away Team Name]],"Draw"))</f>
        <v>Draw</v>
      </c>
      <c r="X250" s="4" t="str">
        <f>IF(World_Cup_Matches[[#This Row],[Home Team Goals]]&gt;World_Cup_Matches[[#This Row],[Away Team Goals]],"Hime Win",IF(World_Cup_Matches[[#This Row],[Away Team Goals]]&gt;World_Cup_Matches[[#This Row],[Home Team Goals]],"Away win","Draw"))</f>
        <v>Draw</v>
      </c>
    </row>
    <row r="251" spans="1:24" x14ac:dyDescent="0.2">
      <c r="A251" s="19">
        <v>1974</v>
      </c>
      <c r="B251" s="15" t="s">
        <v>602</v>
      </c>
      <c r="C251" s="3" t="s">
        <v>21</v>
      </c>
      <c r="D251" s="3" t="s">
        <v>548</v>
      </c>
      <c r="E251" s="3" t="s">
        <v>549</v>
      </c>
      <c r="F251" s="3" t="s">
        <v>556</v>
      </c>
      <c r="G251" s="11">
        <v>0</v>
      </c>
      <c r="H251" s="11">
        <v>0</v>
      </c>
      <c r="I251" s="3" t="s">
        <v>61</v>
      </c>
      <c r="J251" s="3" t="s">
        <v>1842</v>
      </c>
      <c r="K251" s="3">
        <v>17400</v>
      </c>
      <c r="L251" s="11">
        <v>0</v>
      </c>
      <c r="M251" s="11">
        <v>0</v>
      </c>
      <c r="N251" s="3" t="s">
        <v>584</v>
      </c>
      <c r="O251" s="3" t="s">
        <v>507</v>
      </c>
      <c r="P251" s="3" t="s">
        <v>593</v>
      </c>
      <c r="Q251" s="11">
        <v>262</v>
      </c>
      <c r="R251" s="11">
        <v>1953</v>
      </c>
      <c r="S251" s="3" t="s">
        <v>561</v>
      </c>
      <c r="T251" s="4" t="s">
        <v>63</v>
      </c>
      <c r="U251" s="11">
        <f>World_Cup_Matches[[#This Row],[Home Team Goals]]+World_Cup_Matches[[#This Row],[Away Team Goals]]</f>
        <v>0</v>
      </c>
      <c r="V251" s="11">
        <f>World_Cup_Matches[[#This Row],[Home Team Goals]]-World_Cup_Matches[[#This Row],[Away Team Goals]]</f>
        <v>0</v>
      </c>
      <c r="W251" s="4" t="str">
        <f>IF(World_Cup_Matches[[#This Row],[Home Team Goals]]&gt;World_Cup_Matches[[#This Row],[Away Team Goals]],World_Cup_Matches[[#This Row],[Home Team Name]],IF(World_Cup_Matches[[#This Row],[Away Team Goals]]&gt;World_Cup_Matches[[#This Row],[Home Team Goals]], World_Cup_Matches[[#This Row],[Away Team Name]],"Draw"))</f>
        <v>Draw</v>
      </c>
      <c r="X251" s="4" t="str">
        <f>IF(World_Cup_Matches[[#This Row],[Home Team Goals]]&gt;World_Cup_Matches[[#This Row],[Away Team Goals]],"Hime Win",IF(World_Cup_Matches[[#This Row],[Away Team Goals]]&gt;World_Cup_Matches[[#This Row],[Home Team Goals]],"Away win","Draw"))</f>
        <v>Draw</v>
      </c>
    </row>
    <row r="252" spans="1:24" x14ac:dyDescent="0.2">
      <c r="A252" s="19">
        <v>1974</v>
      </c>
      <c r="B252" s="15" t="s">
        <v>602</v>
      </c>
      <c r="C252" s="3" t="s">
        <v>40</v>
      </c>
      <c r="D252" s="3" t="s">
        <v>596</v>
      </c>
      <c r="E252" s="3" t="s">
        <v>597</v>
      </c>
      <c r="F252" s="3" t="s">
        <v>564</v>
      </c>
      <c r="G252" s="11">
        <v>0</v>
      </c>
      <c r="H252" s="11">
        <v>3</v>
      </c>
      <c r="I252" s="3" t="s">
        <v>42</v>
      </c>
      <c r="J252" s="3" t="s">
        <v>1842</v>
      </c>
      <c r="K252" s="3">
        <v>36200</v>
      </c>
      <c r="L252" s="11">
        <v>0</v>
      </c>
      <c r="M252" s="11">
        <v>1</v>
      </c>
      <c r="N252" s="3" t="s">
        <v>574</v>
      </c>
      <c r="O252" s="3" t="s">
        <v>595</v>
      </c>
      <c r="P252" s="3" t="s">
        <v>599</v>
      </c>
      <c r="Q252" s="11">
        <v>262</v>
      </c>
      <c r="R252" s="11">
        <v>1987</v>
      </c>
      <c r="S252" s="3" t="s">
        <v>568</v>
      </c>
      <c r="T252" s="4" t="s">
        <v>47</v>
      </c>
      <c r="U252" s="11">
        <f>World_Cup_Matches[[#This Row],[Home Team Goals]]+World_Cup_Matches[[#This Row],[Away Team Goals]]</f>
        <v>3</v>
      </c>
      <c r="V252" s="11">
        <f>World_Cup_Matches[[#This Row],[Home Team Goals]]-World_Cup_Matches[[#This Row],[Away Team Goals]]</f>
        <v>-3</v>
      </c>
      <c r="W252" s="4" t="str">
        <f>IF(World_Cup_Matches[[#This Row],[Home Team Goals]]&gt;World_Cup_Matches[[#This Row],[Away Team Goals]],World_Cup_Matches[[#This Row],[Home Team Name]],IF(World_Cup_Matches[[#This Row],[Away Team Goals]]&gt;World_Cup_Matches[[#This Row],[Home Team Goals]], World_Cup_Matches[[#This Row],[Away Team Name]],"Draw"))</f>
        <v>Brazil</v>
      </c>
      <c r="X252" s="4" t="str">
        <f>IF(World_Cup_Matches[[#This Row],[Home Team Goals]]&gt;World_Cup_Matches[[#This Row],[Away Team Goals]],"Hime Win",IF(World_Cup_Matches[[#This Row],[Away Team Goals]]&gt;World_Cup_Matches[[#This Row],[Home Team Goals]],"Away win","Draw"))</f>
        <v>Away win</v>
      </c>
    </row>
    <row r="253" spans="1:24" x14ac:dyDescent="0.2">
      <c r="A253" s="19">
        <v>1974</v>
      </c>
      <c r="B253" s="15" t="s">
        <v>603</v>
      </c>
      <c r="C253" s="3" t="s">
        <v>21</v>
      </c>
      <c r="D253" s="3" t="s">
        <v>553</v>
      </c>
      <c r="E253" s="3" t="s">
        <v>554</v>
      </c>
      <c r="F253" s="3" t="s">
        <v>555</v>
      </c>
      <c r="G253" s="11">
        <v>1</v>
      </c>
      <c r="H253" s="11">
        <v>0</v>
      </c>
      <c r="I253" s="3" t="s">
        <v>285</v>
      </c>
      <c r="J253" s="3" t="s">
        <v>1842</v>
      </c>
      <c r="K253" s="3">
        <v>60200</v>
      </c>
      <c r="L253" s="11">
        <v>0</v>
      </c>
      <c r="M253" s="11">
        <v>0</v>
      </c>
      <c r="N253" s="3" t="s">
        <v>518</v>
      </c>
      <c r="O253" s="3" t="s">
        <v>472</v>
      </c>
      <c r="P253" s="3" t="s">
        <v>546</v>
      </c>
      <c r="Q253" s="11">
        <v>262</v>
      </c>
      <c r="R253" s="11">
        <v>2062</v>
      </c>
      <c r="S253" s="3" t="s">
        <v>560</v>
      </c>
      <c r="T253" s="4" t="s">
        <v>289</v>
      </c>
      <c r="U253" s="11">
        <f>World_Cup_Matches[[#This Row],[Home Team Goals]]+World_Cup_Matches[[#This Row],[Away Team Goals]]</f>
        <v>1</v>
      </c>
      <c r="V253" s="11">
        <f>World_Cup_Matches[[#This Row],[Home Team Goals]]-World_Cup_Matches[[#This Row],[Away Team Goals]]</f>
        <v>1</v>
      </c>
      <c r="W253" s="4" t="str">
        <f>IF(World_Cup_Matches[[#This Row],[Home Team Goals]]&gt;World_Cup_Matches[[#This Row],[Away Team Goals]],World_Cup_Matches[[#This Row],[Home Team Name]],IF(World_Cup_Matches[[#This Row],[Away Team Goals]]&gt;World_Cup_Matches[[#This Row],[Home Team Goals]], World_Cup_Matches[[#This Row],[Away Team Name]],"Draw"))</f>
        <v>German DR</v>
      </c>
      <c r="X253" s="4" t="str">
        <f>IF(World_Cup_Matches[[#This Row],[Home Team Goals]]&gt;World_Cup_Matches[[#This Row],[Away Team Goals]],"Hime Win",IF(World_Cup_Matches[[#This Row],[Away Team Goals]]&gt;World_Cup_Matches[[#This Row],[Home Team Goals]],"Away win","Draw"))</f>
        <v>Hime Win</v>
      </c>
    </row>
    <row r="254" spans="1:24" x14ac:dyDescent="0.2">
      <c r="A254" s="19">
        <v>1974</v>
      </c>
      <c r="B254" s="15" t="s">
        <v>604</v>
      </c>
      <c r="C254" s="3" t="s">
        <v>49</v>
      </c>
      <c r="D254" s="3" t="s">
        <v>562</v>
      </c>
      <c r="E254" s="3" t="s">
        <v>563</v>
      </c>
      <c r="F254" s="3" t="s">
        <v>401</v>
      </c>
      <c r="G254" s="11">
        <v>1</v>
      </c>
      <c r="H254" s="11">
        <v>4</v>
      </c>
      <c r="I254" s="3" t="s">
        <v>109</v>
      </c>
      <c r="J254" s="3" t="s">
        <v>1842</v>
      </c>
      <c r="K254" s="3">
        <v>53300</v>
      </c>
      <c r="L254" s="11">
        <v>0</v>
      </c>
      <c r="M254" s="11">
        <v>2</v>
      </c>
      <c r="N254" s="3" t="s">
        <v>566</v>
      </c>
      <c r="O254" s="3" t="s">
        <v>600</v>
      </c>
      <c r="P254" s="3" t="s">
        <v>601</v>
      </c>
      <c r="Q254" s="11">
        <v>262</v>
      </c>
      <c r="R254" s="11">
        <v>1990</v>
      </c>
      <c r="S254" s="3" t="s">
        <v>404</v>
      </c>
      <c r="T254" s="4" t="s">
        <v>114</v>
      </c>
      <c r="U254" s="11">
        <f>World_Cup_Matches[[#This Row],[Home Team Goals]]+World_Cup_Matches[[#This Row],[Away Team Goals]]</f>
        <v>5</v>
      </c>
      <c r="V254" s="11">
        <f>World_Cup_Matches[[#This Row],[Home Team Goals]]-World_Cup_Matches[[#This Row],[Away Team Goals]]</f>
        <v>-3</v>
      </c>
      <c r="W254" s="4" t="str">
        <f>IF(World_Cup_Matches[[#This Row],[Home Team Goals]]&gt;World_Cup_Matches[[#This Row],[Away Team Goals]],World_Cup_Matches[[#This Row],[Home Team Name]],IF(World_Cup_Matches[[#This Row],[Away Team Goals]]&gt;World_Cup_Matches[[#This Row],[Home Team Goals]], World_Cup_Matches[[#This Row],[Away Team Name]],"Draw"))</f>
        <v>Netherlands</v>
      </c>
      <c r="X254" s="4" t="str">
        <f>IF(World_Cup_Matches[[#This Row],[Home Team Goals]]&gt;World_Cup_Matches[[#This Row],[Away Team Goals]],"Hime Win",IF(World_Cup_Matches[[#This Row],[Away Team Goals]]&gt;World_Cup_Matches[[#This Row],[Home Team Goals]],"Away win","Draw"))</f>
        <v>Away win</v>
      </c>
    </row>
    <row r="255" spans="1:24" x14ac:dyDescent="0.2">
      <c r="A255" s="19">
        <v>1974</v>
      </c>
      <c r="B255" s="15" t="s">
        <v>604</v>
      </c>
      <c r="C255" s="3" t="s">
        <v>31</v>
      </c>
      <c r="D255" s="3" t="s">
        <v>548</v>
      </c>
      <c r="E255" s="3" t="s">
        <v>581</v>
      </c>
      <c r="F255" s="3" t="s">
        <v>56</v>
      </c>
      <c r="G255" s="11">
        <v>4</v>
      </c>
      <c r="H255" s="11">
        <v>1</v>
      </c>
      <c r="I255" s="3" t="s">
        <v>582</v>
      </c>
      <c r="J255" s="3" t="s">
        <v>1842</v>
      </c>
      <c r="K255" s="3">
        <v>25900</v>
      </c>
      <c r="L255" s="11">
        <v>2</v>
      </c>
      <c r="M255" s="11">
        <v>0</v>
      </c>
      <c r="N255" s="3" t="s">
        <v>558</v>
      </c>
      <c r="O255" s="3" t="s">
        <v>591</v>
      </c>
      <c r="P255" s="3" t="s">
        <v>605</v>
      </c>
      <c r="Q255" s="11">
        <v>262</v>
      </c>
      <c r="R255" s="11">
        <v>1947</v>
      </c>
      <c r="S255" s="3" t="s">
        <v>59</v>
      </c>
      <c r="T255" s="4" t="s">
        <v>585</v>
      </c>
      <c r="U255" s="11">
        <f>World_Cup_Matches[[#This Row],[Home Team Goals]]+World_Cup_Matches[[#This Row],[Away Team Goals]]</f>
        <v>5</v>
      </c>
      <c r="V255" s="11">
        <f>World_Cup_Matches[[#This Row],[Home Team Goals]]-World_Cup_Matches[[#This Row],[Away Team Goals]]</f>
        <v>3</v>
      </c>
      <c r="W255" s="4" t="str">
        <f>IF(World_Cup_Matches[[#This Row],[Home Team Goals]]&gt;World_Cup_Matches[[#This Row],[Away Team Goals]],World_Cup_Matches[[#This Row],[Home Team Name]],IF(World_Cup_Matches[[#This Row],[Away Team Goals]]&gt;World_Cup_Matches[[#This Row],[Home Team Goals]], World_Cup_Matches[[#This Row],[Away Team Name]],"Draw"))</f>
        <v>Argentina</v>
      </c>
      <c r="X255" s="4" t="str">
        <f>IF(World_Cup_Matches[[#This Row],[Home Team Goals]]&gt;World_Cup_Matches[[#This Row],[Away Team Goals]],"Hime Win",IF(World_Cup_Matches[[#This Row],[Away Team Goals]]&gt;World_Cup_Matches[[#This Row],[Home Team Goals]],"Away win","Draw"))</f>
        <v>Hime Win</v>
      </c>
    </row>
    <row r="256" spans="1:24" x14ac:dyDescent="0.2">
      <c r="A256" s="19">
        <v>1974</v>
      </c>
      <c r="B256" s="15" t="s">
        <v>604</v>
      </c>
      <c r="C256" s="3" t="s">
        <v>49</v>
      </c>
      <c r="D256" s="3" t="s">
        <v>575</v>
      </c>
      <c r="E256" s="3" t="s">
        <v>576</v>
      </c>
      <c r="F256" s="3" t="s">
        <v>117</v>
      </c>
      <c r="G256" s="11">
        <v>3</v>
      </c>
      <c r="H256" s="11">
        <v>0</v>
      </c>
      <c r="I256" s="3" t="s">
        <v>72</v>
      </c>
      <c r="J256" s="3" t="s">
        <v>1842</v>
      </c>
      <c r="K256" s="3">
        <v>28300</v>
      </c>
      <c r="L256" s="11">
        <v>0</v>
      </c>
      <c r="M256" s="11">
        <v>0</v>
      </c>
      <c r="N256" s="3" t="s">
        <v>594</v>
      </c>
      <c r="O256" s="3" t="s">
        <v>583</v>
      </c>
      <c r="P256" s="3" t="s">
        <v>589</v>
      </c>
      <c r="Q256" s="11">
        <v>262</v>
      </c>
      <c r="R256" s="11">
        <v>2181</v>
      </c>
      <c r="S256" s="3" t="s">
        <v>121</v>
      </c>
      <c r="T256" s="4" t="s">
        <v>73</v>
      </c>
      <c r="U256" s="11">
        <f>World_Cup_Matches[[#This Row],[Home Team Goals]]+World_Cup_Matches[[#This Row],[Away Team Goals]]</f>
        <v>3</v>
      </c>
      <c r="V256" s="11">
        <f>World_Cup_Matches[[#This Row],[Home Team Goals]]-World_Cup_Matches[[#This Row],[Away Team Goals]]</f>
        <v>3</v>
      </c>
      <c r="W256" s="4" t="str">
        <f>IF(World_Cup_Matches[[#This Row],[Home Team Goals]]&gt;World_Cup_Matches[[#This Row],[Away Team Goals]],World_Cup_Matches[[#This Row],[Home Team Name]],IF(World_Cup_Matches[[#This Row],[Away Team Goals]]&gt;World_Cup_Matches[[#This Row],[Home Team Goals]], World_Cup_Matches[[#This Row],[Away Team Name]],"Draw"))</f>
        <v>Sweden</v>
      </c>
      <c r="X256" s="4" t="str">
        <f>IF(World_Cup_Matches[[#This Row],[Home Team Goals]]&gt;World_Cup_Matches[[#This Row],[Away Team Goals]],"Hime Win",IF(World_Cup_Matches[[#This Row],[Away Team Goals]]&gt;World_Cup_Matches[[#This Row],[Home Team Goals]],"Away win","Draw"))</f>
        <v>Hime Win</v>
      </c>
    </row>
    <row r="257" spans="1:24" x14ac:dyDescent="0.2">
      <c r="A257" s="19">
        <v>1974</v>
      </c>
      <c r="B257" s="15" t="s">
        <v>604</v>
      </c>
      <c r="C257" s="3" t="s">
        <v>31</v>
      </c>
      <c r="D257" s="3" t="s">
        <v>586</v>
      </c>
      <c r="E257" s="3" t="s">
        <v>587</v>
      </c>
      <c r="F257" s="3" t="s">
        <v>190</v>
      </c>
      <c r="G257" s="11">
        <v>2</v>
      </c>
      <c r="H257" s="11">
        <v>1</v>
      </c>
      <c r="I257" s="3" t="s">
        <v>138</v>
      </c>
      <c r="J257" s="3" t="s">
        <v>1842</v>
      </c>
      <c r="K257" s="3">
        <v>70100</v>
      </c>
      <c r="L257" s="11">
        <v>2</v>
      </c>
      <c r="M257" s="11">
        <v>0</v>
      </c>
      <c r="N257" s="3" t="s">
        <v>567</v>
      </c>
      <c r="O257" s="3" t="s">
        <v>551</v>
      </c>
      <c r="P257" s="3" t="s">
        <v>565</v>
      </c>
      <c r="Q257" s="11">
        <v>262</v>
      </c>
      <c r="R257" s="11">
        <v>2129</v>
      </c>
      <c r="S257" s="3" t="s">
        <v>194</v>
      </c>
      <c r="T257" s="4" t="s">
        <v>142</v>
      </c>
      <c r="U257" s="11">
        <f>World_Cup_Matches[[#This Row],[Home Team Goals]]+World_Cup_Matches[[#This Row],[Away Team Goals]]</f>
        <v>3</v>
      </c>
      <c r="V257" s="11">
        <f>World_Cup_Matches[[#This Row],[Home Team Goals]]-World_Cup_Matches[[#This Row],[Away Team Goals]]</f>
        <v>1</v>
      </c>
      <c r="W257" s="4" t="str">
        <f>IF(World_Cup_Matches[[#This Row],[Home Team Goals]]&gt;World_Cup_Matches[[#This Row],[Away Team Goals]],World_Cup_Matches[[#This Row],[Home Team Name]],IF(World_Cup_Matches[[#This Row],[Away Team Goals]]&gt;World_Cup_Matches[[#This Row],[Home Team Goals]], World_Cup_Matches[[#This Row],[Away Team Name]],"Draw"))</f>
        <v>Poland</v>
      </c>
      <c r="X257" s="4" t="str">
        <f>IF(World_Cup_Matches[[#This Row],[Home Team Goals]]&gt;World_Cup_Matches[[#This Row],[Away Team Goals]],"Hime Win",IF(World_Cup_Matches[[#This Row],[Away Team Goals]]&gt;World_Cup_Matches[[#This Row],[Home Team Goals]],"Away win","Draw"))</f>
        <v>Hime Win</v>
      </c>
    </row>
    <row r="258" spans="1:24" x14ac:dyDescent="0.2">
      <c r="A258" s="19">
        <v>1974</v>
      </c>
      <c r="B258" s="15" t="s">
        <v>606</v>
      </c>
      <c r="C258" s="3" t="s">
        <v>607</v>
      </c>
      <c r="D258" s="3" t="s">
        <v>575</v>
      </c>
      <c r="E258" s="3" t="s">
        <v>576</v>
      </c>
      <c r="F258" s="3" t="s">
        <v>41</v>
      </c>
      <c r="G258" s="11">
        <v>0</v>
      </c>
      <c r="H258" s="11">
        <v>2</v>
      </c>
      <c r="I258" s="3" t="s">
        <v>285</v>
      </c>
      <c r="J258" s="3" t="s">
        <v>1842</v>
      </c>
      <c r="K258" s="3">
        <v>67385</v>
      </c>
      <c r="L258" s="11">
        <v>0</v>
      </c>
      <c r="M258" s="11">
        <v>1</v>
      </c>
      <c r="N258" s="3" t="s">
        <v>472</v>
      </c>
      <c r="O258" s="3" t="s">
        <v>595</v>
      </c>
      <c r="P258" s="3" t="s">
        <v>577</v>
      </c>
      <c r="Q258" s="11">
        <v>263</v>
      </c>
      <c r="R258" s="11">
        <v>2066</v>
      </c>
      <c r="S258" s="3" t="s">
        <v>46</v>
      </c>
      <c r="T258" s="4" t="s">
        <v>289</v>
      </c>
      <c r="U258" s="11">
        <f>World_Cup_Matches[[#This Row],[Home Team Goals]]+World_Cup_Matches[[#This Row],[Away Team Goals]]</f>
        <v>2</v>
      </c>
      <c r="V258" s="11">
        <f>World_Cup_Matches[[#This Row],[Home Team Goals]]-World_Cup_Matches[[#This Row],[Away Team Goals]]</f>
        <v>-2</v>
      </c>
      <c r="W258" s="4" t="str">
        <f>IF(World_Cup_Matches[[#This Row],[Home Team Goals]]&gt;World_Cup_Matches[[#This Row],[Away Team Goals]],World_Cup_Matches[[#This Row],[Home Team Name]],IF(World_Cup_Matches[[#This Row],[Away Team Goals]]&gt;World_Cup_Matches[[#This Row],[Home Team Goals]], World_Cup_Matches[[#This Row],[Away Team Name]],"Draw"))</f>
        <v>Germany FR</v>
      </c>
      <c r="X258" s="4" t="str">
        <f>IF(World_Cup_Matches[[#This Row],[Home Team Goals]]&gt;World_Cup_Matches[[#This Row],[Away Team Goals]],"Hime Win",IF(World_Cup_Matches[[#This Row],[Away Team Goals]]&gt;World_Cup_Matches[[#This Row],[Home Team Goals]],"Away win","Draw"))</f>
        <v>Away win</v>
      </c>
    </row>
    <row r="259" spans="1:24" x14ac:dyDescent="0.2">
      <c r="A259" s="19">
        <v>1974</v>
      </c>
      <c r="B259" s="15" t="s">
        <v>608</v>
      </c>
      <c r="C259" s="3" t="s">
        <v>609</v>
      </c>
      <c r="D259" s="3" t="s">
        <v>570</v>
      </c>
      <c r="E259" s="3" t="s">
        <v>571</v>
      </c>
      <c r="F259" s="3" t="s">
        <v>42</v>
      </c>
      <c r="G259" s="11">
        <v>1</v>
      </c>
      <c r="H259" s="11">
        <v>0</v>
      </c>
      <c r="I259" s="3" t="s">
        <v>555</v>
      </c>
      <c r="J259" s="3" t="s">
        <v>1842</v>
      </c>
      <c r="K259" s="3">
        <v>59863</v>
      </c>
      <c r="L259" s="11">
        <v>0</v>
      </c>
      <c r="M259" s="11">
        <v>0</v>
      </c>
      <c r="N259" s="3" t="s">
        <v>588</v>
      </c>
      <c r="O259" s="3" t="s">
        <v>550</v>
      </c>
      <c r="P259" s="3" t="s">
        <v>566</v>
      </c>
      <c r="Q259" s="11">
        <v>263</v>
      </c>
      <c r="R259" s="11">
        <v>1982</v>
      </c>
      <c r="S259" s="3" t="s">
        <v>47</v>
      </c>
      <c r="T259" s="4" t="s">
        <v>560</v>
      </c>
      <c r="U259" s="11">
        <f>World_Cup_Matches[[#This Row],[Home Team Goals]]+World_Cup_Matches[[#This Row],[Away Team Goals]]</f>
        <v>1</v>
      </c>
      <c r="V259" s="11">
        <f>World_Cup_Matches[[#This Row],[Home Team Goals]]-World_Cup_Matches[[#This Row],[Away Team Goals]]</f>
        <v>1</v>
      </c>
      <c r="W259" s="4" t="str">
        <f>IF(World_Cup_Matches[[#This Row],[Home Team Goals]]&gt;World_Cup_Matches[[#This Row],[Away Team Goals]],World_Cup_Matches[[#This Row],[Home Team Name]],IF(World_Cup_Matches[[#This Row],[Away Team Goals]]&gt;World_Cup_Matches[[#This Row],[Home Team Goals]], World_Cup_Matches[[#This Row],[Away Team Name]],"Draw"))</f>
        <v>Brazil</v>
      </c>
      <c r="X259" s="4" t="str">
        <f>IF(World_Cup_Matches[[#This Row],[Home Team Goals]]&gt;World_Cup_Matches[[#This Row],[Away Team Goals]],"Hime Win",IF(World_Cup_Matches[[#This Row],[Away Team Goals]]&gt;World_Cup_Matches[[#This Row],[Home Team Goals]],"Away win","Draw"))</f>
        <v>Hime Win</v>
      </c>
    </row>
    <row r="260" spans="1:24" x14ac:dyDescent="0.2">
      <c r="A260" s="19">
        <v>1974</v>
      </c>
      <c r="B260" s="15" t="s">
        <v>608</v>
      </c>
      <c r="C260" s="3" t="s">
        <v>609</v>
      </c>
      <c r="D260" s="3" t="s">
        <v>596</v>
      </c>
      <c r="E260" s="3" t="s">
        <v>597</v>
      </c>
      <c r="F260" s="3" t="s">
        <v>109</v>
      </c>
      <c r="G260" s="11">
        <v>4</v>
      </c>
      <c r="H260" s="11">
        <v>0</v>
      </c>
      <c r="I260" s="3" t="s">
        <v>56</v>
      </c>
      <c r="J260" s="3" t="s">
        <v>1842</v>
      </c>
      <c r="K260" s="3">
        <v>56548</v>
      </c>
      <c r="L260" s="11">
        <v>2</v>
      </c>
      <c r="M260" s="11">
        <v>0</v>
      </c>
      <c r="N260" s="3" t="s">
        <v>415</v>
      </c>
      <c r="O260" s="3" t="s">
        <v>446</v>
      </c>
      <c r="P260" s="3" t="s">
        <v>573</v>
      </c>
      <c r="Q260" s="11">
        <v>263</v>
      </c>
      <c r="R260" s="11">
        <v>1948</v>
      </c>
      <c r="S260" s="3" t="s">
        <v>114</v>
      </c>
      <c r="T260" s="4" t="s">
        <v>59</v>
      </c>
      <c r="U260" s="11">
        <f>World_Cup_Matches[[#This Row],[Home Team Goals]]+World_Cup_Matches[[#This Row],[Away Team Goals]]</f>
        <v>4</v>
      </c>
      <c r="V260" s="11">
        <f>World_Cup_Matches[[#This Row],[Home Team Goals]]-World_Cup_Matches[[#This Row],[Away Team Goals]]</f>
        <v>4</v>
      </c>
      <c r="W260" s="4" t="str">
        <f>IF(World_Cup_Matches[[#This Row],[Home Team Goals]]&gt;World_Cup_Matches[[#This Row],[Away Team Goals]],World_Cup_Matches[[#This Row],[Home Team Name]],IF(World_Cup_Matches[[#This Row],[Away Team Goals]]&gt;World_Cup_Matches[[#This Row],[Home Team Goals]], World_Cup_Matches[[#This Row],[Away Team Name]],"Draw"))</f>
        <v>Netherlands</v>
      </c>
      <c r="X260" s="4" t="str">
        <f>IF(World_Cup_Matches[[#This Row],[Home Team Goals]]&gt;World_Cup_Matches[[#This Row],[Away Team Goals]],"Hime Win",IF(World_Cup_Matches[[#This Row],[Away Team Goals]]&gt;World_Cup_Matches[[#This Row],[Home Team Goals]],"Away win","Draw"))</f>
        <v>Hime Win</v>
      </c>
    </row>
    <row r="261" spans="1:24" x14ac:dyDescent="0.2">
      <c r="A261" s="19">
        <v>1974</v>
      </c>
      <c r="B261" s="15" t="s">
        <v>608</v>
      </c>
      <c r="C261" s="3" t="s">
        <v>607</v>
      </c>
      <c r="D261" s="3" t="s">
        <v>586</v>
      </c>
      <c r="E261" s="3" t="s">
        <v>587</v>
      </c>
      <c r="F261" s="3" t="s">
        <v>117</v>
      </c>
      <c r="G261" s="11">
        <v>0</v>
      </c>
      <c r="H261" s="11">
        <v>1</v>
      </c>
      <c r="I261" s="3" t="s">
        <v>190</v>
      </c>
      <c r="J261" s="3" t="s">
        <v>1842</v>
      </c>
      <c r="K261" s="3">
        <v>44955</v>
      </c>
      <c r="L261" s="11">
        <v>0</v>
      </c>
      <c r="M261" s="11">
        <v>1</v>
      </c>
      <c r="N261" s="3" t="s">
        <v>518</v>
      </c>
      <c r="O261" s="3" t="s">
        <v>578</v>
      </c>
      <c r="P261" s="3" t="s">
        <v>546</v>
      </c>
      <c r="Q261" s="11">
        <v>263</v>
      </c>
      <c r="R261" s="11">
        <v>2167</v>
      </c>
      <c r="S261" s="3" t="s">
        <v>121</v>
      </c>
      <c r="T261" s="4" t="s">
        <v>194</v>
      </c>
      <c r="U261" s="11">
        <f>World_Cup_Matches[[#This Row],[Home Team Goals]]+World_Cup_Matches[[#This Row],[Away Team Goals]]</f>
        <v>1</v>
      </c>
      <c r="V261" s="11">
        <f>World_Cup_Matches[[#This Row],[Home Team Goals]]-World_Cup_Matches[[#This Row],[Away Team Goals]]</f>
        <v>-1</v>
      </c>
      <c r="W261" s="4" t="str">
        <f>IF(World_Cup_Matches[[#This Row],[Home Team Goals]]&gt;World_Cup_Matches[[#This Row],[Away Team Goals]],World_Cup_Matches[[#This Row],[Home Team Name]],IF(World_Cup_Matches[[#This Row],[Away Team Goals]]&gt;World_Cup_Matches[[#This Row],[Home Team Goals]], World_Cup_Matches[[#This Row],[Away Team Name]],"Draw"))</f>
        <v>Poland</v>
      </c>
      <c r="X261" s="4" t="str">
        <f>IF(World_Cup_Matches[[#This Row],[Home Team Goals]]&gt;World_Cup_Matches[[#This Row],[Away Team Goals]],"Hime Win",IF(World_Cup_Matches[[#This Row],[Away Team Goals]]&gt;World_Cup_Matches[[#This Row],[Home Team Goals]],"Away win","Draw"))</f>
        <v>Away win</v>
      </c>
    </row>
    <row r="262" spans="1:24" x14ac:dyDescent="0.2">
      <c r="A262" s="19">
        <v>1974</v>
      </c>
      <c r="B262" s="15" t="s">
        <v>610</v>
      </c>
      <c r="C262" s="3" t="s">
        <v>609</v>
      </c>
      <c r="D262" s="3" t="s">
        <v>570</v>
      </c>
      <c r="E262" s="3" t="s">
        <v>571</v>
      </c>
      <c r="F262" s="3" t="s">
        <v>56</v>
      </c>
      <c r="G262" s="11">
        <v>1</v>
      </c>
      <c r="H262" s="11">
        <v>2</v>
      </c>
      <c r="I262" s="3" t="s">
        <v>42</v>
      </c>
      <c r="J262" s="3" t="s">
        <v>1842</v>
      </c>
      <c r="K262" s="3">
        <v>39400</v>
      </c>
      <c r="L262" s="11">
        <v>1</v>
      </c>
      <c r="M262" s="11">
        <v>1</v>
      </c>
      <c r="N262" s="3" t="s">
        <v>507</v>
      </c>
      <c r="O262" s="3" t="s">
        <v>605</v>
      </c>
      <c r="P262" s="3" t="s">
        <v>448</v>
      </c>
      <c r="Q262" s="11">
        <v>263</v>
      </c>
      <c r="R262" s="11">
        <v>1945</v>
      </c>
      <c r="S262" s="3" t="s">
        <v>59</v>
      </c>
      <c r="T262" s="4" t="s">
        <v>47</v>
      </c>
      <c r="U262" s="11">
        <f>World_Cup_Matches[[#This Row],[Home Team Goals]]+World_Cup_Matches[[#This Row],[Away Team Goals]]</f>
        <v>3</v>
      </c>
      <c r="V262" s="11">
        <f>World_Cup_Matches[[#This Row],[Home Team Goals]]-World_Cup_Matches[[#This Row],[Away Team Goals]]</f>
        <v>-1</v>
      </c>
      <c r="W262" s="4" t="str">
        <f>IF(World_Cup_Matches[[#This Row],[Home Team Goals]]&gt;World_Cup_Matches[[#This Row],[Away Team Goals]],World_Cup_Matches[[#This Row],[Home Team Name]],IF(World_Cup_Matches[[#This Row],[Away Team Goals]]&gt;World_Cup_Matches[[#This Row],[Home Team Goals]], World_Cup_Matches[[#This Row],[Away Team Name]],"Draw"))</f>
        <v>Brazil</v>
      </c>
      <c r="X262" s="4" t="str">
        <f>IF(World_Cup_Matches[[#This Row],[Home Team Goals]]&gt;World_Cup_Matches[[#This Row],[Away Team Goals]],"Hime Win",IF(World_Cup_Matches[[#This Row],[Away Team Goals]]&gt;World_Cup_Matches[[#This Row],[Home Team Goals]],"Away win","Draw"))</f>
        <v>Away win</v>
      </c>
    </row>
    <row r="263" spans="1:24" x14ac:dyDescent="0.2">
      <c r="A263" s="19">
        <v>1974</v>
      </c>
      <c r="B263" s="15" t="s">
        <v>610</v>
      </c>
      <c r="C263" s="3" t="s">
        <v>607</v>
      </c>
      <c r="D263" s="3" t="s">
        <v>544</v>
      </c>
      <c r="E263" s="3" t="s">
        <v>545</v>
      </c>
      <c r="F263" s="3" t="s">
        <v>190</v>
      </c>
      <c r="G263" s="11">
        <v>2</v>
      </c>
      <c r="H263" s="11">
        <v>1</v>
      </c>
      <c r="I263" s="3" t="s">
        <v>41</v>
      </c>
      <c r="J263" s="3" t="s">
        <v>1842</v>
      </c>
      <c r="K263" s="3">
        <v>58000</v>
      </c>
      <c r="L263" s="11">
        <v>1</v>
      </c>
      <c r="M263" s="11">
        <v>1</v>
      </c>
      <c r="N263" s="3" t="s">
        <v>522</v>
      </c>
      <c r="O263" s="3" t="s">
        <v>472</v>
      </c>
      <c r="P263" s="3" t="s">
        <v>551</v>
      </c>
      <c r="Q263" s="11">
        <v>263</v>
      </c>
      <c r="R263" s="11">
        <v>2170</v>
      </c>
      <c r="S263" s="3" t="s">
        <v>194</v>
      </c>
      <c r="T263" s="4" t="s">
        <v>46</v>
      </c>
      <c r="U263" s="11">
        <f>World_Cup_Matches[[#This Row],[Home Team Goals]]+World_Cup_Matches[[#This Row],[Away Team Goals]]</f>
        <v>3</v>
      </c>
      <c r="V263" s="11">
        <f>World_Cup_Matches[[#This Row],[Home Team Goals]]-World_Cup_Matches[[#This Row],[Away Team Goals]]</f>
        <v>1</v>
      </c>
      <c r="W263" s="4" t="str">
        <f>IF(World_Cup_Matches[[#This Row],[Home Team Goals]]&gt;World_Cup_Matches[[#This Row],[Away Team Goals]],World_Cup_Matches[[#This Row],[Home Team Name]],IF(World_Cup_Matches[[#This Row],[Away Team Goals]]&gt;World_Cup_Matches[[#This Row],[Home Team Goals]], World_Cup_Matches[[#This Row],[Away Team Name]],"Draw"))</f>
        <v>Poland</v>
      </c>
      <c r="X263" s="4" t="str">
        <f>IF(World_Cup_Matches[[#This Row],[Home Team Goals]]&gt;World_Cup_Matches[[#This Row],[Away Team Goals]],"Hime Win",IF(World_Cup_Matches[[#This Row],[Away Team Goals]]&gt;World_Cup_Matches[[#This Row],[Home Team Goals]],"Away win","Draw"))</f>
        <v>Hime Win</v>
      </c>
    </row>
    <row r="264" spans="1:24" x14ac:dyDescent="0.2">
      <c r="A264" s="19">
        <v>1974</v>
      </c>
      <c r="B264" s="15" t="s">
        <v>610</v>
      </c>
      <c r="C264" s="3" t="s">
        <v>609</v>
      </c>
      <c r="D264" s="3" t="s">
        <v>596</v>
      </c>
      <c r="E264" s="3" t="s">
        <v>597</v>
      </c>
      <c r="F264" s="3" t="s">
        <v>555</v>
      </c>
      <c r="G264" s="11">
        <v>0</v>
      </c>
      <c r="H264" s="11">
        <v>2</v>
      </c>
      <c r="I264" s="3" t="s">
        <v>109</v>
      </c>
      <c r="J264" s="3" t="s">
        <v>1842</v>
      </c>
      <c r="K264" s="3">
        <v>68348</v>
      </c>
      <c r="L264" s="11">
        <v>0</v>
      </c>
      <c r="M264" s="11">
        <v>1</v>
      </c>
      <c r="N264" s="3" t="s">
        <v>497</v>
      </c>
      <c r="O264" s="3" t="s">
        <v>594</v>
      </c>
      <c r="P264" s="3" t="s">
        <v>559</v>
      </c>
      <c r="Q264" s="11">
        <v>263</v>
      </c>
      <c r="R264" s="11">
        <v>2067</v>
      </c>
      <c r="S264" s="3" t="s">
        <v>560</v>
      </c>
      <c r="T264" s="4" t="s">
        <v>114</v>
      </c>
      <c r="U264" s="11">
        <f>World_Cup_Matches[[#This Row],[Home Team Goals]]+World_Cup_Matches[[#This Row],[Away Team Goals]]</f>
        <v>2</v>
      </c>
      <c r="V264" s="11">
        <f>World_Cup_Matches[[#This Row],[Home Team Goals]]-World_Cup_Matches[[#This Row],[Away Team Goals]]</f>
        <v>-2</v>
      </c>
      <c r="W264" s="4" t="str">
        <f>IF(World_Cup_Matches[[#This Row],[Home Team Goals]]&gt;World_Cup_Matches[[#This Row],[Away Team Goals]],World_Cup_Matches[[#This Row],[Home Team Name]],IF(World_Cup_Matches[[#This Row],[Away Team Goals]]&gt;World_Cup_Matches[[#This Row],[Home Team Goals]], World_Cup_Matches[[#This Row],[Away Team Name]],"Draw"))</f>
        <v>Netherlands</v>
      </c>
      <c r="X264" s="4" t="str">
        <f>IF(World_Cup_Matches[[#This Row],[Home Team Goals]]&gt;World_Cup_Matches[[#This Row],[Away Team Goals]],"Hime Win",IF(World_Cup_Matches[[#This Row],[Away Team Goals]]&gt;World_Cup_Matches[[#This Row],[Home Team Goals]],"Away win","Draw"))</f>
        <v>Away win</v>
      </c>
    </row>
    <row r="265" spans="1:24" x14ac:dyDescent="0.2">
      <c r="A265" s="19">
        <v>1974</v>
      </c>
      <c r="B265" s="15" t="s">
        <v>611</v>
      </c>
      <c r="C265" s="3" t="s">
        <v>607</v>
      </c>
      <c r="D265" s="3" t="s">
        <v>575</v>
      </c>
      <c r="E265" s="3" t="s">
        <v>576</v>
      </c>
      <c r="F265" s="3" t="s">
        <v>285</v>
      </c>
      <c r="G265" s="11">
        <v>4</v>
      </c>
      <c r="H265" s="11">
        <v>2</v>
      </c>
      <c r="I265" s="3" t="s">
        <v>117</v>
      </c>
      <c r="J265" s="3" t="s">
        <v>1842</v>
      </c>
      <c r="K265" s="3">
        <v>67800</v>
      </c>
      <c r="L265" s="11">
        <v>0</v>
      </c>
      <c r="M265" s="11">
        <v>1</v>
      </c>
      <c r="N265" s="3" t="s">
        <v>573</v>
      </c>
      <c r="O265" s="3" t="s">
        <v>574</v>
      </c>
      <c r="P265" s="3" t="s">
        <v>558</v>
      </c>
      <c r="Q265" s="11">
        <v>263</v>
      </c>
      <c r="R265" s="11">
        <v>2065</v>
      </c>
      <c r="S265" s="3" t="s">
        <v>289</v>
      </c>
      <c r="T265" s="4" t="s">
        <v>121</v>
      </c>
      <c r="U265" s="11">
        <f>World_Cup_Matches[[#This Row],[Home Team Goals]]+World_Cup_Matches[[#This Row],[Away Team Goals]]</f>
        <v>6</v>
      </c>
      <c r="V265" s="11">
        <f>World_Cup_Matches[[#This Row],[Home Team Goals]]-World_Cup_Matches[[#This Row],[Away Team Goals]]</f>
        <v>2</v>
      </c>
      <c r="W265" s="4" t="str">
        <f>IF(World_Cup_Matches[[#This Row],[Home Team Goals]]&gt;World_Cup_Matches[[#This Row],[Away Team Goals]],World_Cup_Matches[[#This Row],[Home Team Name]],IF(World_Cup_Matches[[#This Row],[Away Team Goals]]&gt;World_Cup_Matches[[#This Row],[Home Team Goals]], World_Cup_Matches[[#This Row],[Away Team Name]],"Draw"))</f>
        <v>Germany FR</v>
      </c>
      <c r="X265" s="4" t="str">
        <f>IF(World_Cup_Matches[[#This Row],[Home Team Goals]]&gt;World_Cup_Matches[[#This Row],[Away Team Goals]],"Hime Win",IF(World_Cup_Matches[[#This Row],[Away Team Goals]]&gt;World_Cup_Matches[[#This Row],[Home Team Goals]],"Away win","Draw"))</f>
        <v>Hime Win</v>
      </c>
    </row>
    <row r="266" spans="1:24" x14ac:dyDescent="0.2">
      <c r="A266" s="19">
        <v>1974</v>
      </c>
      <c r="B266" s="15" t="s">
        <v>612</v>
      </c>
      <c r="C266" s="3" t="s">
        <v>607</v>
      </c>
      <c r="D266" s="3" t="s">
        <v>544</v>
      </c>
      <c r="E266" s="3" t="s">
        <v>545</v>
      </c>
      <c r="F266" s="3" t="s">
        <v>190</v>
      </c>
      <c r="G266" s="11">
        <v>0</v>
      </c>
      <c r="H266" s="11">
        <v>1</v>
      </c>
      <c r="I266" s="3" t="s">
        <v>285</v>
      </c>
      <c r="J266" s="3" t="s">
        <v>1842</v>
      </c>
      <c r="K266" s="3">
        <v>62000</v>
      </c>
      <c r="L266" s="11">
        <v>0</v>
      </c>
      <c r="M266" s="11">
        <v>0</v>
      </c>
      <c r="N266" s="3" t="s">
        <v>594</v>
      </c>
      <c r="O266" s="3" t="s">
        <v>572</v>
      </c>
      <c r="P266" s="3" t="s">
        <v>497</v>
      </c>
      <c r="Q266" s="11">
        <v>263</v>
      </c>
      <c r="R266" s="11">
        <v>2064</v>
      </c>
      <c r="S266" s="3" t="s">
        <v>194</v>
      </c>
      <c r="T266" s="4" t="s">
        <v>289</v>
      </c>
      <c r="U266" s="11">
        <f>World_Cup_Matches[[#This Row],[Home Team Goals]]+World_Cup_Matches[[#This Row],[Away Team Goals]]</f>
        <v>1</v>
      </c>
      <c r="V266" s="11">
        <f>World_Cup_Matches[[#This Row],[Home Team Goals]]-World_Cup_Matches[[#This Row],[Away Team Goals]]</f>
        <v>-1</v>
      </c>
      <c r="W266" s="4" t="str">
        <f>IF(World_Cup_Matches[[#This Row],[Home Team Goals]]&gt;World_Cup_Matches[[#This Row],[Away Team Goals]],World_Cup_Matches[[#This Row],[Home Team Name]],IF(World_Cup_Matches[[#This Row],[Away Team Goals]]&gt;World_Cup_Matches[[#This Row],[Home Team Goals]], World_Cup_Matches[[#This Row],[Away Team Name]],"Draw"))</f>
        <v>Germany FR</v>
      </c>
      <c r="X266" s="4" t="str">
        <f>IF(World_Cup_Matches[[#This Row],[Home Team Goals]]&gt;World_Cup_Matches[[#This Row],[Away Team Goals]],"Hime Win",IF(World_Cup_Matches[[#This Row],[Away Team Goals]]&gt;World_Cup_Matches[[#This Row],[Home Team Goals]],"Away win","Draw"))</f>
        <v>Away win</v>
      </c>
    </row>
    <row r="267" spans="1:24" x14ac:dyDescent="0.2">
      <c r="A267" s="19">
        <v>1974</v>
      </c>
      <c r="B267" s="15" t="s">
        <v>613</v>
      </c>
      <c r="C267" s="3" t="s">
        <v>609</v>
      </c>
      <c r="D267" s="3" t="s">
        <v>562</v>
      </c>
      <c r="E267" s="3" t="s">
        <v>563</v>
      </c>
      <c r="F267" s="3" t="s">
        <v>109</v>
      </c>
      <c r="G267" s="11">
        <v>2</v>
      </c>
      <c r="H267" s="11">
        <v>0</v>
      </c>
      <c r="I267" s="3" t="s">
        <v>42</v>
      </c>
      <c r="J267" s="3" t="s">
        <v>1842</v>
      </c>
      <c r="K267" s="3">
        <v>53700</v>
      </c>
      <c r="L267" s="11">
        <v>0</v>
      </c>
      <c r="M267" s="11">
        <v>0</v>
      </c>
      <c r="N267" s="3" t="s">
        <v>446</v>
      </c>
      <c r="O267" s="3" t="s">
        <v>415</v>
      </c>
      <c r="P267" s="3" t="s">
        <v>579</v>
      </c>
      <c r="Q267" s="11">
        <v>263</v>
      </c>
      <c r="R267" s="11">
        <v>1983</v>
      </c>
      <c r="S267" s="3" t="s">
        <v>114</v>
      </c>
      <c r="T267" s="4" t="s">
        <v>47</v>
      </c>
      <c r="U267" s="11">
        <f>World_Cup_Matches[[#This Row],[Home Team Goals]]+World_Cup_Matches[[#This Row],[Away Team Goals]]</f>
        <v>2</v>
      </c>
      <c r="V267" s="11">
        <f>World_Cup_Matches[[#This Row],[Home Team Goals]]-World_Cup_Matches[[#This Row],[Away Team Goals]]</f>
        <v>2</v>
      </c>
      <c r="W267" s="4" t="str">
        <f>IF(World_Cup_Matches[[#This Row],[Home Team Goals]]&gt;World_Cup_Matches[[#This Row],[Away Team Goals]],World_Cup_Matches[[#This Row],[Home Team Name]],IF(World_Cup_Matches[[#This Row],[Away Team Goals]]&gt;World_Cup_Matches[[#This Row],[Home Team Goals]], World_Cup_Matches[[#This Row],[Away Team Name]],"Draw"))</f>
        <v>Netherlands</v>
      </c>
      <c r="X267" s="4" t="str">
        <f>IF(World_Cup_Matches[[#This Row],[Home Team Goals]]&gt;World_Cup_Matches[[#This Row],[Away Team Goals]],"Hime Win",IF(World_Cup_Matches[[#This Row],[Away Team Goals]]&gt;World_Cup_Matches[[#This Row],[Home Team Goals]],"Away win","Draw"))</f>
        <v>Hime Win</v>
      </c>
    </row>
    <row r="268" spans="1:24" x14ac:dyDescent="0.2">
      <c r="A268" s="19">
        <v>1974</v>
      </c>
      <c r="B268" s="15" t="s">
        <v>613</v>
      </c>
      <c r="C268" s="3" t="s">
        <v>609</v>
      </c>
      <c r="D268" s="3" t="s">
        <v>596</v>
      </c>
      <c r="E268" s="3" t="s">
        <v>597</v>
      </c>
      <c r="F268" s="3" t="s">
        <v>56</v>
      </c>
      <c r="G268" s="11">
        <v>1</v>
      </c>
      <c r="H268" s="11">
        <v>1</v>
      </c>
      <c r="I268" s="3" t="s">
        <v>555</v>
      </c>
      <c r="J268" s="3" t="s">
        <v>1842</v>
      </c>
      <c r="K268" s="3">
        <v>54254</v>
      </c>
      <c r="L268" s="11">
        <v>1</v>
      </c>
      <c r="M268" s="11">
        <v>1</v>
      </c>
      <c r="N268" s="3" t="s">
        <v>448</v>
      </c>
      <c r="O268" s="3" t="s">
        <v>591</v>
      </c>
      <c r="P268" s="3" t="s">
        <v>588</v>
      </c>
      <c r="Q268" s="11">
        <v>263</v>
      </c>
      <c r="R268" s="11">
        <v>1946</v>
      </c>
      <c r="S268" s="3" t="s">
        <v>59</v>
      </c>
      <c r="T268" s="4" t="s">
        <v>560</v>
      </c>
      <c r="U268" s="11">
        <f>World_Cup_Matches[[#This Row],[Home Team Goals]]+World_Cup_Matches[[#This Row],[Away Team Goals]]</f>
        <v>2</v>
      </c>
      <c r="V268" s="11">
        <f>World_Cup_Matches[[#This Row],[Home Team Goals]]-World_Cup_Matches[[#This Row],[Away Team Goals]]</f>
        <v>0</v>
      </c>
      <c r="W268" s="4" t="str">
        <f>IF(World_Cup_Matches[[#This Row],[Home Team Goals]]&gt;World_Cup_Matches[[#This Row],[Away Team Goals]],World_Cup_Matches[[#This Row],[Home Team Name]],IF(World_Cup_Matches[[#This Row],[Away Team Goals]]&gt;World_Cup_Matches[[#This Row],[Home Team Goals]], World_Cup_Matches[[#This Row],[Away Team Name]],"Draw"))</f>
        <v>Draw</v>
      </c>
      <c r="X268" s="4" t="str">
        <f>IF(World_Cup_Matches[[#This Row],[Home Team Goals]]&gt;World_Cup_Matches[[#This Row],[Away Team Goals]],"Hime Win",IF(World_Cup_Matches[[#This Row],[Away Team Goals]]&gt;World_Cup_Matches[[#This Row],[Home Team Goals]],"Away win","Draw"))</f>
        <v>Draw</v>
      </c>
    </row>
    <row r="269" spans="1:24" x14ac:dyDescent="0.2">
      <c r="A269" s="19">
        <v>1974</v>
      </c>
      <c r="B269" s="15" t="s">
        <v>613</v>
      </c>
      <c r="C269" s="3" t="s">
        <v>607</v>
      </c>
      <c r="D269" s="3" t="s">
        <v>575</v>
      </c>
      <c r="E269" s="3" t="s">
        <v>576</v>
      </c>
      <c r="F269" s="3" t="s">
        <v>117</v>
      </c>
      <c r="G269" s="11">
        <v>2</v>
      </c>
      <c r="H269" s="11">
        <v>1</v>
      </c>
      <c r="I269" s="3" t="s">
        <v>41</v>
      </c>
      <c r="J269" s="3" t="s">
        <v>1842</v>
      </c>
      <c r="K269" s="3">
        <v>41300</v>
      </c>
      <c r="L269" s="11">
        <v>1</v>
      </c>
      <c r="M269" s="11">
        <v>1</v>
      </c>
      <c r="N269" s="3" t="s">
        <v>546</v>
      </c>
      <c r="O269" s="3" t="s">
        <v>518</v>
      </c>
      <c r="P269" s="3" t="s">
        <v>583</v>
      </c>
      <c r="Q269" s="11">
        <v>263</v>
      </c>
      <c r="R269" s="11">
        <v>2182</v>
      </c>
      <c r="S269" s="3" t="s">
        <v>121</v>
      </c>
      <c r="T269" s="4" t="s">
        <v>46</v>
      </c>
      <c r="U269" s="11">
        <f>World_Cup_Matches[[#This Row],[Home Team Goals]]+World_Cup_Matches[[#This Row],[Away Team Goals]]</f>
        <v>3</v>
      </c>
      <c r="V269" s="11">
        <f>World_Cup_Matches[[#This Row],[Home Team Goals]]-World_Cup_Matches[[#This Row],[Away Team Goals]]</f>
        <v>1</v>
      </c>
      <c r="W269" s="4" t="str">
        <f>IF(World_Cup_Matches[[#This Row],[Home Team Goals]]&gt;World_Cup_Matches[[#This Row],[Away Team Goals]],World_Cup_Matches[[#This Row],[Home Team Name]],IF(World_Cup_Matches[[#This Row],[Away Team Goals]]&gt;World_Cup_Matches[[#This Row],[Home Team Goals]], World_Cup_Matches[[#This Row],[Away Team Name]],"Draw"))</f>
        <v>Sweden</v>
      </c>
      <c r="X269" s="4" t="str">
        <f>IF(World_Cup_Matches[[#This Row],[Home Team Goals]]&gt;World_Cup_Matches[[#This Row],[Away Team Goals]],"Hime Win",IF(World_Cup_Matches[[#This Row],[Away Team Goals]]&gt;World_Cup_Matches[[#This Row],[Home Team Goals]],"Away win","Draw"))</f>
        <v>Hime Win</v>
      </c>
    </row>
    <row r="270" spans="1:24" x14ac:dyDescent="0.2">
      <c r="A270" s="19">
        <v>1974</v>
      </c>
      <c r="B270" s="15" t="s">
        <v>614</v>
      </c>
      <c r="C270" s="3" t="s">
        <v>155</v>
      </c>
      <c r="D270" s="3" t="s">
        <v>548</v>
      </c>
      <c r="E270" s="3" t="s">
        <v>581</v>
      </c>
      <c r="F270" s="3" t="s">
        <v>42</v>
      </c>
      <c r="G270" s="11">
        <v>0</v>
      </c>
      <c r="H270" s="11">
        <v>1</v>
      </c>
      <c r="I270" s="3" t="s">
        <v>190</v>
      </c>
      <c r="J270" s="3" t="s">
        <v>1842</v>
      </c>
      <c r="K270" s="3">
        <v>77100</v>
      </c>
      <c r="L270" s="11">
        <v>0</v>
      </c>
      <c r="M270" s="11">
        <v>0</v>
      </c>
      <c r="N270" s="3" t="s">
        <v>595</v>
      </c>
      <c r="O270" s="3" t="s">
        <v>584</v>
      </c>
      <c r="P270" s="3" t="s">
        <v>605</v>
      </c>
      <c r="Q270" s="11">
        <v>264</v>
      </c>
      <c r="R270" s="11">
        <v>1984</v>
      </c>
      <c r="S270" s="3" t="s">
        <v>47</v>
      </c>
      <c r="T270" s="4" t="s">
        <v>194</v>
      </c>
      <c r="U270" s="11">
        <f>World_Cup_Matches[[#This Row],[Home Team Goals]]+World_Cup_Matches[[#This Row],[Away Team Goals]]</f>
        <v>1</v>
      </c>
      <c r="V270" s="11">
        <f>World_Cup_Matches[[#This Row],[Home Team Goals]]-World_Cup_Matches[[#This Row],[Away Team Goals]]</f>
        <v>-1</v>
      </c>
      <c r="W270" s="4" t="str">
        <f>IF(World_Cup_Matches[[#This Row],[Home Team Goals]]&gt;World_Cup_Matches[[#This Row],[Away Team Goals]],World_Cup_Matches[[#This Row],[Home Team Name]],IF(World_Cup_Matches[[#This Row],[Away Team Goals]]&gt;World_Cup_Matches[[#This Row],[Home Team Goals]], World_Cup_Matches[[#This Row],[Away Team Name]],"Draw"))</f>
        <v>Poland</v>
      </c>
      <c r="X270" s="4" t="str">
        <f>IF(World_Cup_Matches[[#This Row],[Home Team Goals]]&gt;World_Cup_Matches[[#This Row],[Away Team Goals]],"Hime Win",IF(World_Cup_Matches[[#This Row],[Away Team Goals]]&gt;World_Cup_Matches[[#This Row],[Home Team Goals]],"Away win","Draw"))</f>
        <v>Away win</v>
      </c>
    </row>
    <row r="271" spans="1:24" x14ac:dyDescent="0.2">
      <c r="A271" s="19">
        <v>1974</v>
      </c>
      <c r="B271" s="15" t="s">
        <v>615</v>
      </c>
      <c r="C271" s="3" t="s">
        <v>86</v>
      </c>
      <c r="D271" s="3" t="s">
        <v>548</v>
      </c>
      <c r="E271" s="3" t="s">
        <v>581</v>
      </c>
      <c r="F271" s="3" t="s">
        <v>109</v>
      </c>
      <c r="G271" s="11">
        <v>1</v>
      </c>
      <c r="H271" s="11">
        <v>2</v>
      </c>
      <c r="I271" s="3" t="s">
        <v>285</v>
      </c>
      <c r="J271" s="3" t="s">
        <v>1842</v>
      </c>
      <c r="K271" s="3">
        <v>78200</v>
      </c>
      <c r="L271" s="11">
        <v>1</v>
      </c>
      <c r="M271" s="11">
        <v>2</v>
      </c>
      <c r="N271" s="3" t="s">
        <v>448</v>
      </c>
      <c r="O271" s="3" t="s">
        <v>578</v>
      </c>
      <c r="P271" s="3" t="s">
        <v>518</v>
      </c>
      <c r="Q271" s="11">
        <v>605</v>
      </c>
      <c r="R271" s="11">
        <v>2063</v>
      </c>
      <c r="S271" s="3" t="s">
        <v>114</v>
      </c>
      <c r="T271" s="4" t="s">
        <v>289</v>
      </c>
      <c r="U271" s="11">
        <f>World_Cup_Matches[[#This Row],[Home Team Goals]]+World_Cup_Matches[[#This Row],[Away Team Goals]]</f>
        <v>3</v>
      </c>
      <c r="V271" s="11">
        <f>World_Cup_Matches[[#This Row],[Home Team Goals]]-World_Cup_Matches[[#This Row],[Away Team Goals]]</f>
        <v>-1</v>
      </c>
      <c r="W271" s="4" t="str">
        <f>IF(World_Cup_Matches[[#This Row],[Home Team Goals]]&gt;World_Cup_Matches[[#This Row],[Away Team Goals]],World_Cup_Matches[[#This Row],[Home Team Name]],IF(World_Cup_Matches[[#This Row],[Away Team Goals]]&gt;World_Cup_Matches[[#This Row],[Home Team Goals]], World_Cup_Matches[[#This Row],[Away Team Name]],"Draw"))</f>
        <v>Germany FR</v>
      </c>
      <c r="X271" s="4" t="str">
        <f>IF(World_Cup_Matches[[#This Row],[Home Team Goals]]&gt;World_Cup_Matches[[#This Row],[Away Team Goals]],"Hime Win",IF(World_Cup_Matches[[#This Row],[Away Team Goals]]&gt;World_Cup_Matches[[#This Row],[Home Team Goals]],"Away win","Draw"))</f>
        <v>Away win</v>
      </c>
    </row>
    <row r="272" spans="1:24" x14ac:dyDescent="0.2">
      <c r="A272" s="19">
        <v>1978</v>
      </c>
      <c r="B272" s="15" t="s">
        <v>616</v>
      </c>
      <c r="C272" s="3" t="s">
        <v>40</v>
      </c>
      <c r="D272" s="3" t="s">
        <v>617</v>
      </c>
      <c r="E272" s="3" t="s">
        <v>618</v>
      </c>
      <c r="F272" s="3" t="s">
        <v>285</v>
      </c>
      <c r="G272" s="11">
        <v>0</v>
      </c>
      <c r="H272" s="11">
        <v>0</v>
      </c>
      <c r="I272" s="3" t="s">
        <v>190</v>
      </c>
      <c r="J272" s="3" t="s">
        <v>1842</v>
      </c>
      <c r="K272" s="3">
        <v>67579</v>
      </c>
      <c r="L272" s="11">
        <v>0</v>
      </c>
      <c r="M272" s="11">
        <v>0</v>
      </c>
      <c r="N272" s="3" t="s">
        <v>533</v>
      </c>
      <c r="O272" s="3" t="s">
        <v>619</v>
      </c>
      <c r="P272" s="3" t="s">
        <v>620</v>
      </c>
      <c r="Q272" s="11">
        <v>278</v>
      </c>
      <c r="R272" s="11">
        <v>2351</v>
      </c>
      <c r="S272" s="3" t="s">
        <v>289</v>
      </c>
      <c r="T272" s="4" t="s">
        <v>194</v>
      </c>
      <c r="U272" s="11">
        <f>World_Cup_Matches[[#This Row],[Home Team Goals]]+World_Cup_Matches[[#This Row],[Away Team Goals]]</f>
        <v>0</v>
      </c>
      <c r="V272" s="11">
        <f>World_Cup_Matches[[#This Row],[Home Team Goals]]-World_Cup_Matches[[#This Row],[Away Team Goals]]</f>
        <v>0</v>
      </c>
      <c r="W272" s="4" t="str">
        <f>IF(World_Cup_Matches[[#This Row],[Home Team Goals]]&gt;World_Cup_Matches[[#This Row],[Away Team Goals]],World_Cup_Matches[[#This Row],[Home Team Name]],IF(World_Cup_Matches[[#This Row],[Away Team Goals]]&gt;World_Cup_Matches[[#This Row],[Home Team Goals]], World_Cup_Matches[[#This Row],[Away Team Name]],"Draw"))</f>
        <v>Draw</v>
      </c>
      <c r="X272" s="4" t="str">
        <f>IF(World_Cup_Matches[[#This Row],[Home Team Goals]]&gt;World_Cup_Matches[[#This Row],[Away Team Goals]],"Hime Win",IF(World_Cup_Matches[[#This Row],[Away Team Goals]]&gt;World_Cup_Matches[[#This Row],[Home Team Goals]],"Away win","Draw"))</f>
        <v>Draw</v>
      </c>
    </row>
    <row r="273" spans="1:24" x14ac:dyDescent="0.2">
      <c r="A273" s="19">
        <v>1978</v>
      </c>
      <c r="B273" s="15" t="s">
        <v>621</v>
      </c>
      <c r="C273" s="3" t="s">
        <v>21</v>
      </c>
      <c r="D273" s="3" t="s">
        <v>622</v>
      </c>
      <c r="E273" s="3" t="s">
        <v>623</v>
      </c>
      <c r="F273" s="3" t="s">
        <v>138</v>
      </c>
      <c r="G273" s="11">
        <v>2</v>
      </c>
      <c r="H273" s="11">
        <v>1</v>
      </c>
      <c r="I273" s="3" t="s">
        <v>24</v>
      </c>
      <c r="J273" s="3" t="s">
        <v>1842</v>
      </c>
      <c r="K273" s="3">
        <v>42373</v>
      </c>
      <c r="L273" s="11">
        <v>1</v>
      </c>
      <c r="M273" s="11">
        <v>1</v>
      </c>
      <c r="N273" s="3" t="s">
        <v>574</v>
      </c>
      <c r="O273" s="3" t="s">
        <v>594</v>
      </c>
      <c r="P273" s="3" t="s">
        <v>624</v>
      </c>
      <c r="Q273" s="11">
        <v>278</v>
      </c>
      <c r="R273" s="11">
        <v>2347</v>
      </c>
      <c r="S273" s="3" t="s">
        <v>142</v>
      </c>
      <c r="T273" s="4" t="s">
        <v>29</v>
      </c>
      <c r="U273" s="11">
        <f>World_Cup_Matches[[#This Row],[Home Team Goals]]+World_Cup_Matches[[#This Row],[Away Team Goals]]</f>
        <v>3</v>
      </c>
      <c r="V273" s="11">
        <f>World_Cup_Matches[[#This Row],[Home Team Goals]]-World_Cup_Matches[[#This Row],[Away Team Goals]]</f>
        <v>1</v>
      </c>
      <c r="W273" s="4" t="str">
        <f>IF(World_Cup_Matches[[#This Row],[Home Team Goals]]&gt;World_Cup_Matches[[#This Row],[Away Team Goals]],World_Cup_Matches[[#This Row],[Home Team Name]],IF(World_Cup_Matches[[#This Row],[Away Team Goals]]&gt;World_Cup_Matches[[#This Row],[Home Team Goals]], World_Cup_Matches[[#This Row],[Away Team Name]],"Draw"))</f>
        <v>Italy</v>
      </c>
      <c r="X273" s="4" t="str">
        <f>IF(World_Cup_Matches[[#This Row],[Home Team Goals]]&gt;World_Cup_Matches[[#This Row],[Away Team Goals]],"Hime Win",IF(World_Cup_Matches[[#This Row],[Away Team Goals]]&gt;World_Cup_Matches[[#This Row],[Home Team Goals]],"Away win","Draw"))</f>
        <v>Hime Win</v>
      </c>
    </row>
    <row r="274" spans="1:24" x14ac:dyDescent="0.2">
      <c r="A274" s="19">
        <v>1978</v>
      </c>
      <c r="B274" s="15" t="s">
        <v>625</v>
      </c>
      <c r="C274" s="3" t="s">
        <v>40</v>
      </c>
      <c r="D274" s="3" t="s">
        <v>626</v>
      </c>
      <c r="E274" s="3" t="s">
        <v>627</v>
      </c>
      <c r="F274" s="3" t="s">
        <v>628</v>
      </c>
      <c r="G274" s="11">
        <v>3</v>
      </c>
      <c r="H274" s="11">
        <v>1</v>
      </c>
      <c r="I274" s="3" t="s">
        <v>25</v>
      </c>
      <c r="J274" s="3" t="s">
        <v>1842</v>
      </c>
      <c r="K274" s="3">
        <v>17396</v>
      </c>
      <c r="L274" s="11">
        <v>0</v>
      </c>
      <c r="M274" s="11">
        <v>1</v>
      </c>
      <c r="N274" s="3" t="s">
        <v>629</v>
      </c>
      <c r="O274" s="3" t="s">
        <v>630</v>
      </c>
      <c r="P274" s="3" t="s">
        <v>631</v>
      </c>
      <c r="Q274" s="11">
        <v>278</v>
      </c>
      <c r="R274" s="11">
        <v>2433</v>
      </c>
      <c r="S274" s="3" t="s">
        <v>632</v>
      </c>
      <c r="T274" s="4" t="s">
        <v>30</v>
      </c>
      <c r="U274" s="11">
        <f>World_Cup_Matches[[#This Row],[Home Team Goals]]+World_Cup_Matches[[#This Row],[Away Team Goals]]</f>
        <v>4</v>
      </c>
      <c r="V274" s="11">
        <f>World_Cup_Matches[[#This Row],[Home Team Goals]]-World_Cup_Matches[[#This Row],[Away Team Goals]]</f>
        <v>2</v>
      </c>
      <c r="W274" s="4" t="str">
        <f>IF(World_Cup_Matches[[#This Row],[Home Team Goals]]&gt;World_Cup_Matches[[#This Row],[Away Team Goals]],World_Cup_Matches[[#This Row],[Home Team Name]],IF(World_Cup_Matches[[#This Row],[Away Team Goals]]&gt;World_Cup_Matches[[#This Row],[Home Team Goals]], World_Cup_Matches[[#This Row],[Away Team Name]],"Draw"))</f>
        <v>Tunisia</v>
      </c>
      <c r="X274" s="4" t="str">
        <f>IF(World_Cup_Matches[[#This Row],[Home Team Goals]]&gt;World_Cup_Matches[[#This Row],[Away Team Goals]],"Hime Win",IF(World_Cup_Matches[[#This Row],[Away Team Goals]]&gt;World_Cup_Matches[[#This Row],[Home Team Goals]],"Away win","Draw"))</f>
        <v>Hime Win</v>
      </c>
    </row>
    <row r="275" spans="1:24" x14ac:dyDescent="0.2">
      <c r="A275" s="19">
        <v>1978</v>
      </c>
      <c r="B275" s="15" t="s">
        <v>633</v>
      </c>
      <c r="C275" s="3" t="s">
        <v>21</v>
      </c>
      <c r="D275" s="3" t="s">
        <v>617</v>
      </c>
      <c r="E275" s="3" t="s">
        <v>618</v>
      </c>
      <c r="F275" s="3" t="s">
        <v>56</v>
      </c>
      <c r="G275" s="11">
        <v>2</v>
      </c>
      <c r="H275" s="11">
        <v>1</v>
      </c>
      <c r="I275" s="3" t="s">
        <v>99</v>
      </c>
      <c r="J275" s="3" t="s">
        <v>1842</v>
      </c>
      <c r="K275" s="3">
        <v>71615</v>
      </c>
      <c r="L275" s="11">
        <v>1</v>
      </c>
      <c r="M275" s="11">
        <v>1</v>
      </c>
      <c r="N275" s="3" t="s">
        <v>634</v>
      </c>
      <c r="O275" s="3" t="s">
        <v>557</v>
      </c>
      <c r="P275" s="3" t="s">
        <v>635</v>
      </c>
      <c r="Q275" s="11">
        <v>278</v>
      </c>
      <c r="R275" s="11">
        <v>2199</v>
      </c>
      <c r="S275" s="3" t="s">
        <v>59</v>
      </c>
      <c r="T275" s="4" t="s">
        <v>104</v>
      </c>
      <c r="U275" s="11">
        <f>World_Cup_Matches[[#This Row],[Home Team Goals]]+World_Cup_Matches[[#This Row],[Away Team Goals]]</f>
        <v>3</v>
      </c>
      <c r="V275" s="11">
        <f>World_Cup_Matches[[#This Row],[Home Team Goals]]-World_Cup_Matches[[#This Row],[Away Team Goals]]</f>
        <v>1</v>
      </c>
      <c r="W275" s="4" t="str">
        <f>IF(World_Cup_Matches[[#This Row],[Home Team Goals]]&gt;World_Cup_Matches[[#This Row],[Away Team Goals]],World_Cup_Matches[[#This Row],[Home Team Name]],IF(World_Cup_Matches[[#This Row],[Away Team Goals]]&gt;World_Cup_Matches[[#This Row],[Home Team Goals]], World_Cup_Matches[[#This Row],[Away Team Name]],"Draw"))</f>
        <v>Argentina</v>
      </c>
      <c r="X275" s="4" t="str">
        <f>IF(World_Cup_Matches[[#This Row],[Home Team Goals]]&gt;World_Cup_Matches[[#This Row],[Away Team Goals]],"Hime Win",IF(World_Cup_Matches[[#This Row],[Away Team Goals]]&gt;World_Cup_Matches[[#This Row],[Home Team Goals]],"Away win","Draw"))</f>
        <v>Hime Win</v>
      </c>
    </row>
    <row r="276" spans="1:24" x14ac:dyDescent="0.2">
      <c r="A276" s="19">
        <v>1978</v>
      </c>
      <c r="B276" s="15" t="s">
        <v>636</v>
      </c>
      <c r="C276" s="3" t="s">
        <v>49</v>
      </c>
      <c r="D276" s="3" t="s">
        <v>622</v>
      </c>
      <c r="E276" s="3" t="s">
        <v>623</v>
      </c>
      <c r="F276" s="3" t="s">
        <v>117</v>
      </c>
      <c r="G276" s="11">
        <v>1</v>
      </c>
      <c r="H276" s="11">
        <v>1</v>
      </c>
      <c r="I276" s="3" t="s">
        <v>42</v>
      </c>
      <c r="J276" s="3" t="s">
        <v>1842</v>
      </c>
      <c r="K276" s="3">
        <v>32569</v>
      </c>
      <c r="L276" s="11">
        <v>1</v>
      </c>
      <c r="M276" s="11">
        <v>1</v>
      </c>
      <c r="N276" s="3" t="s">
        <v>588</v>
      </c>
      <c r="O276" s="3" t="s">
        <v>637</v>
      </c>
      <c r="P276" s="3" t="s">
        <v>584</v>
      </c>
      <c r="Q276" s="11">
        <v>278</v>
      </c>
      <c r="R276" s="11">
        <v>2253</v>
      </c>
      <c r="S276" s="3" t="s">
        <v>121</v>
      </c>
      <c r="T276" s="4" t="s">
        <v>47</v>
      </c>
      <c r="U276" s="11">
        <f>World_Cup_Matches[[#This Row],[Home Team Goals]]+World_Cup_Matches[[#This Row],[Away Team Goals]]</f>
        <v>2</v>
      </c>
      <c r="V276" s="11">
        <f>World_Cup_Matches[[#This Row],[Home Team Goals]]-World_Cup_Matches[[#This Row],[Away Team Goals]]</f>
        <v>0</v>
      </c>
      <c r="W276" s="4" t="str">
        <f>IF(World_Cup_Matches[[#This Row],[Home Team Goals]]&gt;World_Cup_Matches[[#This Row],[Away Team Goals]],World_Cup_Matches[[#This Row],[Home Team Name]],IF(World_Cup_Matches[[#This Row],[Away Team Goals]]&gt;World_Cup_Matches[[#This Row],[Home Team Goals]], World_Cup_Matches[[#This Row],[Away Team Name]],"Draw"))</f>
        <v>Draw</v>
      </c>
      <c r="X276" s="4" t="str">
        <f>IF(World_Cup_Matches[[#This Row],[Home Team Goals]]&gt;World_Cup_Matches[[#This Row],[Away Team Goals]],"Hime Win",IF(World_Cup_Matches[[#This Row],[Away Team Goals]]&gt;World_Cup_Matches[[#This Row],[Home Team Goals]],"Away win","Draw"))</f>
        <v>Draw</v>
      </c>
    </row>
    <row r="277" spans="1:24" x14ac:dyDescent="0.2">
      <c r="A277" s="19">
        <v>1978</v>
      </c>
      <c r="B277" s="15" t="s">
        <v>636</v>
      </c>
      <c r="C277" s="3" t="s">
        <v>49</v>
      </c>
      <c r="D277" s="3" t="s">
        <v>638</v>
      </c>
      <c r="E277" s="3" t="s">
        <v>618</v>
      </c>
      <c r="F277" s="3" t="s">
        <v>91</v>
      </c>
      <c r="G277" s="11">
        <v>2</v>
      </c>
      <c r="H277" s="11">
        <v>1</v>
      </c>
      <c r="I277" s="3" t="s">
        <v>131</v>
      </c>
      <c r="J277" s="3" t="s">
        <v>1842</v>
      </c>
      <c r="K277" s="3">
        <v>40841</v>
      </c>
      <c r="L277" s="11">
        <v>1</v>
      </c>
      <c r="M277" s="11">
        <v>1</v>
      </c>
      <c r="N277" s="3" t="s">
        <v>572</v>
      </c>
      <c r="O277" s="3" t="s">
        <v>518</v>
      </c>
      <c r="P277" s="3" t="s">
        <v>639</v>
      </c>
      <c r="Q277" s="11">
        <v>278</v>
      </c>
      <c r="R277" s="11">
        <v>2216</v>
      </c>
      <c r="S277" s="3" t="s">
        <v>96</v>
      </c>
      <c r="T277" s="4" t="s">
        <v>135</v>
      </c>
      <c r="U277" s="11">
        <f>World_Cup_Matches[[#This Row],[Home Team Goals]]+World_Cup_Matches[[#This Row],[Away Team Goals]]</f>
        <v>3</v>
      </c>
      <c r="V277" s="11">
        <f>World_Cup_Matches[[#This Row],[Home Team Goals]]-World_Cup_Matches[[#This Row],[Away Team Goals]]</f>
        <v>1</v>
      </c>
      <c r="W277" s="4" t="str">
        <f>IF(World_Cup_Matches[[#This Row],[Home Team Goals]]&gt;World_Cup_Matches[[#This Row],[Away Team Goals]],World_Cup_Matches[[#This Row],[Home Team Name]],IF(World_Cup_Matches[[#This Row],[Away Team Goals]]&gt;World_Cup_Matches[[#This Row],[Home Team Goals]], World_Cup_Matches[[#This Row],[Away Team Name]],"Draw"))</f>
        <v>Austria</v>
      </c>
      <c r="X277" s="4" t="str">
        <f>IF(World_Cup_Matches[[#This Row],[Home Team Goals]]&gt;World_Cup_Matches[[#This Row],[Away Team Goals]],"Hime Win",IF(World_Cup_Matches[[#This Row],[Away Team Goals]]&gt;World_Cup_Matches[[#This Row],[Home Team Goals]],"Away win","Draw"))</f>
        <v>Hime Win</v>
      </c>
    </row>
    <row r="278" spans="1:24" x14ac:dyDescent="0.2">
      <c r="A278" s="19">
        <v>1978</v>
      </c>
      <c r="B278" s="15" t="s">
        <v>640</v>
      </c>
      <c r="C278" s="3" t="s">
        <v>31</v>
      </c>
      <c r="D278" s="3" t="s">
        <v>641</v>
      </c>
      <c r="E278" s="3" t="s">
        <v>642</v>
      </c>
      <c r="F278" s="3" t="s">
        <v>51</v>
      </c>
      <c r="G278" s="11">
        <v>3</v>
      </c>
      <c r="H278" s="11">
        <v>1</v>
      </c>
      <c r="I278" s="3" t="s">
        <v>272</v>
      </c>
      <c r="J278" s="3" t="s">
        <v>1842</v>
      </c>
      <c r="K278" s="3">
        <v>37927</v>
      </c>
      <c r="L278" s="11">
        <v>1</v>
      </c>
      <c r="M278" s="11">
        <v>1</v>
      </c>
      <c r="N278" s="3" t="s">
        <v>643</v>
      </c>
      <c r="O278" s="3" t="s">
        <v>644</v>
      </c>
      <c r="P278" s="3" t="s">
        <v>645</v>
      </c>
      <c r="Q278" s="11">
        <v>278</v>
      </c>
      <c r="R278" s="11">
        <v>2451</v>
      </c>
      <c r="S278" s="3" t="s">
        <v>54</v>
      </c>
      <c r="T278" s="4" t="s">
        <v>275</v>
      </c>
      <c r="U278" s="11">
        <f>World_Cup_Matches[[#This Row],[Home Team Goals]]+World_Cup_Matches[[#This Row],[Away Team Goals]]</f>
        <v>4</v>
      </c>
      <c r="V278" s="11">
        <f>World_Cup_Matches[[#This Row],[Home Team Goals]]-World_Cup_Matches[[#This Row],[Away Team Goals]]</f>
        <v>2</v>
      </c>
      <c r="W278" s="4" t="str">
        <f>IF(World_Cup_Matches[[#This Row],[Home Team Goals]]&gt;World_Cup_Matches[[#This Row],[Away Team Goals]],World_Cup_Matches[[#This Row],[Home Team Name]],IF(World_Cup_Matches[[#This Row],[Away Team Goals]]&gt;World_Cup_Matches[[#This Row],[Home Team Goals]], World_Cup_Matches[[#This Row],[Away Team Name]],"Draw"))</f>
        <v>Peru</v>
      </c>
      <c r="X278" s="4" t="str">
        <f>IF(World_Cup_Matches[[#This Row],[Home Team Goals]]&gt;World_Cup_Matches[[#This Row],[Away Team Goals]],"Hime Win",IF(World_Cup_Matches[[#This Row],[Away Team Goals]]&gt;World_Cup_Matches[[#This Row],[Home Team Goals]],"Away win","Draw"))</f>
        <v>Hime Win</v>
      </c>
    </row>
    <row r="279" spans="1:24" x14ac:dyDescent="0.2">
      <c r="A279" s="19">
        <v>1978</v>
      </c>
      <c r="B279" s="15" t="s">
        <v>640</v>
      </c>
      <c r="C279" s="3" t="s">
        <v>31</v>
      </c>
      <c r="D279" s="3" t="s">
        <v>646</v>
      </c>
      <c r="E279" s="3" t="s">
        <v>647</v>
      </c>
      <c r="F279" s="3" t="s">
        <v>109</v>
      </c>
      <c r="G279" s="11">
        <v>3</v>
      </c>
      <c r="H279" s="11">
        <v>0</v>
      </c>
      <c r="I279" s="3" t="s">
        <v>648</v>
      </c>
      <c r="J279" s="3" t="s">
        <v>1842</v>
      </c>
      <c r="K279" s="3">
        <v>33431</v>
      </c>
      <c r="L279" s="11">
        <v>1</v>
      </c>
      <c r="M279" s="11">
        <v>0</v>
      </c>
      <c r="N279" s="3" t="s">
        <v>578</v>
      </c>
      <c r="O279" s="3" t="s">
        <v>649</v>
      </c>
      <c r="P279" s="3" t="s">
        <v>620</v>
      </c>
      <c r="Q279" s="11">
        <v>278</v>
      </c>
      <c r="R279" s="11">
        <v>2388</v>
      </c>
      <c r="S279" s="3" t="s">
        <v>114</v>
      </c>
      <c r="T279" s="4" t="s">
        <v>650</v>
      </c>
      <c r="U279" s="11">
        <f>World_Cup_Matches[[#This Row],[Home Team Goals]]+World_Cup_Matches[[#This Row],[Away Team Goals]]</f>
        <v>3</v>
      </c>
      <c r="V279" s="11">
        <f>World_Cup_Matches[[#This Row],[Home Team Goals]]-World_Cup_Matches[[#This Row],[Away Team Goals]]</f>
        <v>3</v>
      </c>
      <c r="W279" s="4" t="str">
        <f>IF(World_Cup_Matches[[#This Row],[Home Team Goals]]&gt;World_Cup_Matches[[#This Row],[Away Team Goals]],World_Cup_Matches[[#This Row],[Home Team Name]],IF(World_Cup_Matches[[#This Row],[Away Team Goals]]&gt;World_Cup_Matches[[#This Row],[Home Team Goals]], World_Cup_Matches[[#This Row],[Away Team Name]],"Draw"))</f>
        <v>Netherlands</v>
      </c>
      <c r="X279" s="4" t="str">
        <f>IF(World_Cup_Matches[[#This Row],[Home Team Goals]]&gt;World_Cup_Matches[[#This Row],[Away Team Goals]],"Hime Win",IF(World_Cup_Matches[[#This Row],[Away Team Goals]]&gt;World_Cup_Matches[[#This Row],[Home Team Goals]],"Away win","Draw"))</f>
        <v>Hime Win</v>
      </c>
    </row>
    <row r="280" spans="1:24" x14ac:dyDescent="0.2">
      <c r="A280" s="19">
        <v>1978</v>
      </c>
      <c r="B280" s="15" t="s">
        <v>651</v>
      </c>
      <c r="C280" s="3" t="s">
        <v>21</v>
      </c>
      <c r="D280" s="3" t="s">
        <v>622</v>
      </c>
      <c r="E280" s="3" t="s">
        <v>623</v>
      </c>
      <c r="F280" s="3" t="s">
        <v>138</v>
      </c>
      <c r="G280" s="11">
        <v>3</v>
      </c>
      <c r="H280" s="11">
        <v>1</v>
      </c>
      <c r="I280" s="3" t="s">
        <v>99</v>
      </c>
      <c r="J280" s="3" t="s">
        <v>1842</v>
      </c>
      <c r="K280" s="3">
        <v>26533</v>
      </c>
      <c r="L280" s="11">
        <v>2</v>
      </c>
      <c r="M280" s="11">
        <v>0</v>
      </c>
      <c r="N280" s="3" t="s">
        <v>518</v>
      </c>
      <c r="O280" s="3" t="s">
        <v>600</v>
      </c>
      <c r="P280" s="3" t="s">
        <v>629</v>
      </c>
      <c r="Q280" s="11">
        <v>278</v>
      </c>
      <c r="R280" s="11">
        <v>2396</v>
      </c>
      <c r="S280" s="3" t="s">
        <v>142</v>
      </c>
      <c r="T280" s="4" t="s">
        <v>104</v>
      </c>
      <c r="U280" s="11">
        <f>World_Cup_Matches[[#This Row],[Home Team Goals]]+World_Cup_Matches[[#This Row],[Away Team Goals]]</f>
        <v>4</v>
      </c>
      <c r="V280" s="11">
        <f>World_Cup_Matches[[#This Row],[Home Team Goals]]-World_Cup_Matches[[#This Row],[Away Team Goals]]</f>
        <v>2</v>
      </c>
      <c r="W280" s="4" t="str">
        <f>IF(World_Cup_Matches[[#This Row],[Home Team Goals]]&gt;World_Cup_Matches[[#This Row],[Away Team Goals]],World_Cup_Matches[[#This Row],[Home Team Name]],IF(World_Cup_Matches[[#This Row],[Away Team Goals]]&gt;World_Cup_Matches[[#This Row],[Home Team Goals]], World_Cup_Matches[[#This Row],[Away Team Name]],"Draw"))</f>
        <v>Italy</v>
      </c>
      <c r="X280" s="4" t="str">
        <f>IF(World_Cup_Matches[[#This Row],[Home Team Goals]]&gt;World_Cup_Matches[[#This Row],[Away Team Goals]],"Hime Win",IF(World_Cup_Matches[[#This Row],[Away Team Goals]]&gt;World_Cup_Matches[[#This Row],[Home Team Goals]],"Away win","Draw"))</f>
        <v>Hime Win</v>
      </c>
    </row>
    <row r="281" spans="1:24" x14ac:dyDescent="0.2">
      <c r="A281" s="19">
        <v>1978</v>
      </c>
      <c r="B281" s="15" t="s">
        <v>652</v>
      </c>
      <c r="C281" s="3" t="s">
        <v>40</v>
      </c>
      <c r="D281" s="3" t="s">
        <v>626</v>
      </c>
      <c r="E281" s="3" t="s">
        <v>627</v>
      </c>
      <c r="F281" s="3" t="s">
        <v>190</v>
      </c>
      <c r="G281" s="11">
        <v>1</v>
      </c>
      <c r="H281" s="11">
        <v>0</v>
      </c>
      <c r="I281" s="3" t="s">
        <v>628</v>
      </c>
      <c r="J281" s="3" t="s">
        <v>1842</v>
      </c>
      <c r="K281" s="3">
        <v>9624</v>
      </c>
      <c r="L281" s="11">
        <v>1</v>
      </c>
      <c r="M281" s="11">
        <v>0</v>
      </c>
      <c r="N281" s="3" t="s">
        <v>645</v>
      </c>
      <c r="O281" s="3" t="s">
        <v>546</v>
      </c>
      <c r="P281" s="3" t="s">
        <v>588</v>
      </c>
      <c r="Q281" s="11">
        <v>278</v>
      </c>
      <c r="R281" s="11">
        <v>2454</v>
      </c>
      <c r="S281" s="3" t="s">
        <v>194</v>
      </c>
      <c r="T281" s="4" t="s">
        <v>632</v>
      </c>
      <c r="U281" s="11">
        <f>World_Cup_Matches[[#This Row],[Home Team Goals]]+World_Cup_Matches[[#This Row],[Away Team Goals]]</f>
        <v>1</v>
      </c>
      <c r="V281" s="11">
        <f>World_Cup_Matches[[#This Row],[Home Team Goals]]-World_Cup_Matches[[#This Row],[Away Team Goals]]</f>
        <v>1</v>
      </c>
      <c r="W281" s="4" t="str">
        <f>IF(World_Cup_Matches[[#This Row],[Home Team Goals]]&gt;World_Cup_Matches[[#This Row],[Away Team Goals]],World_Cup_Matches[[#This Row],[Home Team Name]],IF(World_Cup_Matches[[#This Row],[Away Team Goals]]&gt;World_Cup_Matches[[#This Row],[Home Team Goals]], World_Cup_Matches[[#This Row],[Away Team Name]],"Draw"))</f>
        <v>Poland</v>
      </c>
      <c r="X281" s="4" t="str">
        <f>IF(World_Cup_Matches[[#This Row],[Home Team Goals]]&gt;World_Cup_Matches[[#This Row],[Away Team Goals]],"Hime Win",IF(World_Cup_Matches[[#This Row],[Away Team Goals]]&gt;World_Cup_Matches[[#This Row],[Home Team Goals]],"Away win","Draw"))</f>
        <v>Hime Win</v>
      </c>
    </row>
    <row r="282" spans="1:24" x14ac:dyDescent="0.2">
      <c r="A282" s="19">
        <v>1978</v>
      </c>
      <c r="B282" s="15" t="s">
        <v>652</v>
      </c>
      <c r="C282" s="3" t="s">
        <v>40</v>
      </c>
      <c r="D282" s="3" t="s">
        <v>641</v>
      </c>
      <c r="E282" s="3" t="s">
        <v>642</v>
      </c>
      <c r="F282" s="3" t="s">
        <v>285</v>
      </c>
      <c r="G282" s="11">
        <v>6</v>
      </c>
      <c r="H282" s="11">
        <v>0</v>
      </c>
      <c r="I282" s="3" t="s">
        <v>25</v>
      </c>
      <c r="J282" s="3" t="s">
        <v>1842</v>
      </c>
      <c r="K282" s="3">
        <v>35258</v>
      </c>
      <c r="L282" s="11">
        <v>4</v>
      </c>
      <c r="M282" s="11">
        <v>0</v>
      </c>
      <c r="N282" s="3" t="s">
        <v>653</v>
      </c>
      <c r="O282" s="3" t="s">
        <v>634</v>
      </c>
      <c r="P282" s="3" t="s">
        <v>654</v>
      </c>
      <c r="Q282" s="11">
        <v>278</v>
      </c>
      <c r="R282" s="11">
        <v>2350</v>
      </c>
      <c r="S282" s="3" t="s">
        <v>289</v>
      </c>
      <c r="T282" s="4" t="s">
        <v>30</v>
      </c>
      <c r="U282" s="11">
        <f>World_Cup_Matches[[#This Row],[Home Team Goals]]+World_Cup_Matches[[#This Row],[Away Team Goals]]</f>
        <v>6</v>
      </c>
      <c r="V282" s="11">
        <f>World_Cup_Matches[[#This Row],[Home Team Goals]]-World_Cup_Matches[[#This Row],[Away Team Goals]]</f>
        <v>6</v>
      </c>
      <c r="W282" s="4" t="str">
        <f>IF(World_Cup_Matches[[#This Row],[Home Team Goals]]&gt;World_Cup_Matches[[#This Row],[Away Team Goals]],World_Cup_Matches[[#This Row],[Home Team Name]],IF(World_Cup_Matches[[#This Row],[Away Team Goals]]&gt;World_Cup_Matches[[#This Row],[Home Team Goals]], World_Cup_Matches[[#This Row],[Away Team Name]],"Draw"))</f>
        <v>Germany FR</v>
      </c>
      <c r="X282" s="4" t="str">
        <f>IF(World_Cup_Matches[[#This Row],[Home Team Goals]]&gt;World_Cup_Matches[[#This Row],[Away Team Goals]],"Hime Win",IF(World_Cup_Matches[[#This Row],[Away Team Goals]]&gt;World_Cup_Matches[[#This Row],[Home Team Goals]],"Away win","Draw"))</f>
        <v>Hime Win</v>
      </c>
    </row>
    <row r="283" spans="1:24" x14ac:dyDescent="0.2">
      <c r="A283" s="19">
        <v>1978</v>
      </c>
      <c r="B283" s="15" t="s">
        <v>655</v>
      </c>
      <c r="C283" s="3" t="s">
        <v>21</v>
      </c>
      <c r="D283" s="3" t="s">
        <v>617</v>
      </c>
      <c r="E283" s="3" t="s">
        <v>618</v>
      </c>
      <c r="F283" s="3" t="s">
        <v>56</v>
      </c>
      <c r="G283" s="11">
        <v>2</v>
      </c>
      <c r="H283" s="11">
        <v>1</v>
      </c>
      <c r="I283" s="3" t="s">
        <v>24</v>
      </c>
      <c r="J283" s="3" t="s">
        <v>1842</v>
      </c>
      <c r="K283" s="3">
        <v>71666</v>
      </c>
      <c r="L283" s="11">
        <v>1</v>
      </c>
      <c r="M283" s="11">
        <v>0</v>
      </c>
      <c r="N283" s="3" t="s">
        <v>630</v>
      </c>
      <c r="O283" s="3" t="s">
        <v>656</v>
      </c>
      <c r="P283" s="3" t="s">
        <v>551</v>
      </c>
      <c r="Q283" s="11">
        <v>278</v>
      </c>
      <c r="R283" s="11">
        <v>2197</v>
      </c>
      <c r="S283" s="3" t="s">
        <v>59</v>
      </c>
      <c r="T283" s="4" t="s">
        <v>29</v>
      </c>
      <c r="U283" s="11">
        <f>World_Cup_Matches[[#This Row],[Home Team Goals]]+World_Cup_Matches[[#This Row],[Away Team Goals]]</f>
        <v>3</v>
      </c>
      <c r="V283" s="11">
        <f>World_Cup_Matches[[#This Row],[Home Team Goals]]-World_Cup_Matches[[#This Row],[Away Team Goals]]</f>
        <v>1</v>
      </c>
      <c r="W283" s="4" t="str">
        <f>IF(World_Cup_Matches[[#This Row],[Home Team Goals]]&gt;World_Cup_Matches[[#This Row],[Away Team Goals]],World_Cup_Matches[[#This Row],[Home Team Name]],IF(World_Cup_Matches[[#This Row],[Away Team Goals]]&gt;World_Cup_Matches[[#This Row],[Home Team Goals]], World_Cup_Matches[[#This Row],[Away Team Name]],"Draw"))</f>
        <v>Argentina</v>
      </c>
      <c r="X283" s="4" t="str">
        <f>IF(World_Cup_Matches[[#This Row],[Home Team Goals]]&gt;World_Cup_Matches[[#This Row],[Away Team Goals]],"Hime Win",IF(World_Cup_Matches[[#This Row],[Away Team Goals]]&gt;World_Cup_Matches[[#This Row],[Home Team Goals]],"Away win","Draw"))</f>
        <v>Hime Win</v>
      </c>
    </row>
    <row r="284" spans="1:24" x14ac:dyDescent="0.2">
      <c r="A284" s="19">
        <v>1978</v>
      </c>
      <c r="B284" s="15" t="s">
        <v>657</v>
      </c>
      <c r="C284" s="3" t="s">
        <v>49</v>
      </c>
      <c r="D284" s="3" t="s">
        <v>622</v>
      </c>
      <c r="E284" s="3" t="s">
        <v>623</v>
      </c>
      <c r="F284" s="3" t="s">
        <v>42</v>
      </c>
      <c r="G284" s="11">
        <v>0</v>
      </c>
      <c r="H284" s="11">
        <v>0</v>
      </c>
      <c r="I284" s="3" t="s">
        <v>131</v>
      </c>
      <c r="J284" s="3" t="s">
        <v>1842</v>
      </c>
      <c r="K284" s="3">
        <v>34771</v>
      </c>
      <c r="L284" s="11">
        <v>0</v>
      </c>
      <c r="M284" s="11">
        <v>0</v>
      </c>
      <c r="N284" s="3" t="s">
        <v>631</v>
      </c>
      <c r="O284" s="3" t="s">
        <v>519</v>
      </c>
      <c r="P284" s="3" t="s">
        <v>619</v>
      </c>
      <c r="Q284" s="11">
        <v>278</v>
      </c>
      <c r="R284" s="11">
        <v>2246</v>
      </c>
      <c r="S284" s="3" t="s">
        <v>47</v>
      </c>
      <c r="T284" s="4" t="s">
        <v>135</v>
      </c>
      <c r="U284" s="11">
        <f>World_Cup_Matches[[#This Row],[Home Team Goals]]+World_Cup_Matches[[#This Row],[Away Team Goals]]</f>
        <v>0</v>
      </c>
      <c r="V284" s="11">
        <f>World_Cup_Matches[[#This Row],[Home Team Goals]]-World_Cup_Matches[[#This Row],[Away Team Goals]]</f>
        <v>0</v>
      </c>
      <c r="W284" s="4" t="str">
        <f>IF(World_Cup_Matches[[#This Row],[Home Team Goals]]&gt;World_Cup_Matches[[#This Row],[Away Team Goals]],World_Cup_Matches[[#This Row],[Home Team Name]],IF(World_Cup_Matches[[#This Row],[Away Team Goals]]&gt;World_Cup_Matches[[#This Row],[Home Team Goals]], World_Cup_Matches[[#This Row],[Away Team Name]],"Draw"))</f>
        <v>Draw</v>
      </c>
      <c r="X284" s="4" t="str">
        <f>IF(World_Cup_Matches[[#This Row],[Home Team Goals]]&gt;World_Cup_Matches[[#This Row],[Away Team Goals]],"Hime Win",IF(World_Cup_Matches[[#This Row],[Away Team Goals]]&gt;World_Cup_Matches[[#This Row],[Home Team Goals]],"Away win","Draw"))</f>
        <v>Draw</v>
      </c>
    </row>
    <row r="285" spans="1:24" x14ac:dyDescent="0.2">
      <c r="A285" s="19">
        <v>1978</v>
      </c>
      <c r="B285" s="15" t="s">
        <v>657</v>
      </c>
      <c r="C285" s="3" t="s">
        <v>49</v>
      </c>
      <c r="D285" s="3" t="s">
        <v>638</v>
      </c>
      <c r="E285" s="3" t="s">
        <v>618</v>
      </c>
      <c r="F285" s="3" t="s">
        <v>91</v>
      </c>
      <c r="G285" s="11">
        <v>1</v>
      </c>
      <c r="H285" s="11">
        <v>0</v>
      </c>
      <c r="I285" s="3" t="s">
        <v>117</v>
      </c>
      <c r="J285" s="3" t="s">
        <v>1842</v>
      </c>
      <c r="K285" s="3">
        <v>41424</v>
      </c>
      <c r="L285" s="11">
        <v>1</v>
      </c>
      <c r="M285" s="11">
        <v>0</v>
      </c>
      <c r="N285" s="3" t="s">
        <v>658</v>
      </c>
      <c r="O285" s="3" t="s">
        <v>659</v>
      </c>
      <c r="P285" s="3" t="s">
        <v>660</v>
      </c>
      <c r="Q285" s="11">
        <v>278</v>
      </c>
      <c r="R285" s="11">
        <v>2224</v>
      </c>
      <c r="S285" s="3" t="s">
        <v>96</v>
      </c>
      <c r="T285" s="4" t="s">
        <v>121</v>
      </c>
      <c r="U285" s="11">
        <f>World_Cup_Matches[[#This Row],[Home Team Goals]]+World_Cup_Matches[[#This Row],[Away Team Goals]]</f>
        <v>1</v>
      </c>
      <c r="V285" s="11">
        <f>World_Cup_Matches[[#This Row],[Home Team Goals]]-World_Cup_Matches[[#This Row],[Away Team Goals]]</f>
        <v>1</v>
      </c>
      <c r="W285" s="4" t="str">
        <f>IF(World_Cup_Matches[[#This Row],[Home Team Goals]]&gt;World_Cup_Matches[[#This Row],[Away Team Goals]],World_Cup_Matches[[#This Row],[Home Team Name]],IF(World_Cup_Matches[[#This Row],[Away Team Goals]]&gt;World_Cup_Matches[[#This Row],[Home Team Goals]], World_Cup_Matches[[#This Row],[Away Team Name]],"Draw"))</f>
        <v>Austria</v>
      </c>
      <c r="X285" s="4" t="str">
        <f>IF(World_Cup_Matches[[#This Row],[Home Team Goals]]&gt;World_Cup_Matches[[#This Row],[Away Team Goals]],"Hime Win",IF(World_Cup_Matches[[#This Row],[Away Team Goals]]&gt;World_Cup_Matches[[#This Row],[Home Team Goals]],"Away win","Draw"))</f>
        <v>Hime Win</v>
      </c>
    </row>
    <row r="286" spans="1:24" x14ac:dyDescent="0.2">
      <c r="A286" s="19">
        <v>1978</v>
      </c>
      <c r="B286" s="15" t="s">
        <v>661</v>
      </c>
      <c r="C286" s="3" t="s">
        <v>31</v>
      </c>
      <c r="D286" s="3" t="s">
        <v>641</v>
      </c>
      <c r="E286" s="3" t="s">
        <v>642</v>
      </c>
      <c r="F286" s="3" t="s">
        <v>272</v>
      </c>
      <c r="G286" s="11">
        <v>1</v>
      </c>
      <c r="H286" s="11">
        <v>1</v>
      </c>
      <c r="I286" s="3" t="s">
        <v>648</v>
      </c>
      <c r="J286" s="3" t="s">
        <v>1842</v>
      </c>
      <c r="K286" s="3">
        <v>7938</v>
      </c>
      <c r="L286" s="11">
        <v>1</v>
      </c>
      <c r="M286" s="11">
        <v>0</v>
      </c>
      <c r="N286" s="3" t="s">
        <v>557</v>
      </c>
      <c r="O286" s="3" t="s">
        <v>574</v>
      </c>
      <c r="P286" s="3" t="s">
        <v>662</v>
      </c>
      <c r="Q286" s="11">
        <v>278</v>
      </c>
      <c r="R286" s="11">
        <v>2408</v>
      </c>
      <c r="S286" s="3" t="s">
        <v>275</v>
      </c>
      <c r="T286" s="4" t="s">
        <v>650</v>
      </c>
      <c r="U286" s="11">
        <f>World_Cup_Matches[[#This Row],[Home Team Goals]]+World_Cup_Matches[[#This Row],[Away Team Goals]]</f>
        <v>2</v>
      </c>
      <c r="V286" s="11">
        <f>World_Cup_Matches[[#This Row],[Home Team Goals]]-World_Cup_Matches[[#This Row],[Away Team Goals]]</f>
        <v>0</v>
      </c>
      <c r="W286" s="4" t="str">
        <f>IF(World_Cup_Matches[[#This Row],[Home Team Goals]]&gt;World_Cup_Matches[[#This Row],[Away Team Goals]],World_Cup_Matches[[#This Row],[Home Team Name]],IF(World_Cup_Matches[[#This Row],[Away Team Goals]]&gt;World_Cup_Matches[[#This Row],[Home Team Goals]], World_Cup_Matches[[#This Row],[Away Team Name]],"Draw"))</f>
        <v>Draw</v>
      </c>
      <c r="X286" s="4" t="str">
        <f>IF(World_Cup_Matches[[#This Row],[Home Team Goals]]&gt;World_Cup_Matches[[#This Row],[Away Team Goals]],"Hime Win",IF(World_Cup_Matches[[#This Row],[Away Team Goals]]&gt;World_Cup_Matches[[#This Row],[Home Team Goals]],"Away win","Draw"))</f>
        <v>Draw</v>
      </c>
    </row>
    <row r="287" spans="1:24" x14ac:dyDescent="0.2">
      <c r="A287" s="19">
        <v>1978</v>
      </c>
      <c r="B287" s="15" t="s">
        <v>661</v>
      </c>
      <c r="C287" s="3" t="s">
        <v>31</v>
      </c>
      <c r="D287" s="3" t="s">
        <v>646</v>
      </c>
      <c r="E287" s="3" t="s">
        <v>647</v>
      </c>
      <c r="F287" s="3" t="s">
        <v>109</v>
      </c>
      <c r="G287" s="11">
        <v>0</v>
      </c>
      <c r="H287" s="11">
        <v>0</v>
      </c>
      <c r="I287" s="3" t="s">
        <v>51</v>
      </c>
      <c r="J287" s="3" t="s">
        <v>1842</v>
      </c>
      <c r="K287" s="3">
        <v>28125</v>
      </c>
      <c r="L287" s="11">
        <v>0</v>
      </c>
      <c r="M287" s="11">
        <v>0</v>
      </c>
      <c r="N287" s="3" t="s">
        <v>663</v>
      </c>
      <c r="O287" s="3" t="s">
        <v>533</v>
      </c>
      <c r="P287" s="3" t="s">
        <v>639</v>
      </c>
      <c r="Q287" s="11">
        <v>278</v>
      </c>
      <c r="R287" s="11">
        <v>2394</v>
      </c>
      <c r="S287" s="3" t="s">
        <v>114</v>
      </c>
      <c r="T287" s="4" t="s">
        <v>54</v>
      </c>
      <c r="U287" s="11">
        <f>World_Cup_Matches[[#This Row],[Home Team Goals]]+World_Cup_Matches[[#This Row],[Away Team Goals]]</f>
        <v>0</v>
      </c>
      <c r="V287" s="11">
        <f>World_Cup_Matches[[#This Row],[Home Team Goals]]-World_Cup_Matches[[#This Row],[Away Team Goals]]</f>
        <v>0</v>
      </c>
      <c r="W287" s="4" t="str">
        <f>IF(World_Cup_Matches[[#This Row],[Home Team Goals]]&gt;World_Cup_Matches[[#This Row],[Away Team Goals]],World_Cup_Matches[[#This Row],[Home Team Name]],IF(World_Cup_Matches[[#This Row],[Away Team Goals]]&gt;World_Cup_Matches[[#This Row],[Home Team Goals]], World_Cup_Matches[[#This Row],[Away Team Name]],"Draw"))</f>
        <v>Draw</v>
      </c>
      <c r="X287" s="4" t="str">
        <f>IF(World_Cup_Matches[[#This Row],[Home Team Goals]]&gt;World_Cup_Matches[[#This Row],[Away Team Goals]],"Hime Win",IF(World_Cup_Matches[[#This Row],[Away Team Goals]]&gt;World_Cup_Matches[[#This Row],[Home Team Goals]],"Away win","Draw"))</f>
        <v>Draw</v>
      </c>
    </row>
    <row r="288" spans="1:24" x14ac:dyDescent="0.2">
      <c r="A288" s="19">
        <v>1978</v>
      </c>
      <c r="B288" s="15" t="s">
        <v>664</v>
      </c>
      <c r="C288" s="3" t="s">
        <v>21</v>
      </c>
      <c r="D288" s="3" t="s">
        <v>622</v>
      </c>
      <c r="E288" s="3" t="s">
        <v>623</v>
      </c>
      <c r="F288" s="3" t="s">
        <v>24</v>
      </c>
      <c r="G288" s="11">
        <v>3</v>
      </c>
      <c r="H288" s="11">
        <v>1</v>
      </c>
      <c r="I288" s="3" t="s">
        <v>99</v>
      </c>
      <c r="J288" s="3" t="s">
        <v>1842</v>
      </c>
      <c r="K288" s="3">
        <v>23127</v>
      </c>
      <c r="L288" s="11">
        <v>3</v>
      </c>
      <c r="M288" s="11">
        <v>1</v>
      </c>
      <c r="N288" s="3" t="s">
        <v>662</v>
      </c>
      <c r="O288" s="3" t="s">
        <v>635</v>
      </c>
      <c r="P288" s="3" t="s">
        <v>624</v>
      </c>
      <c r="Q288" s="11">
        <v>278</v>
      </c>
      <c r="R288" s="11">
        <v>2344</v>
      </c>
      <c r="S288" s="3" t="s">
        <v>29</v>
      </c>
      <c r="T288" s="4" t="s">
        <v>104</v>
      </c>
      <c r="U288" s="11">
        <f>World_Cup_Matches[[#This Row],[Home Team Goals]]+World_Cup_Matches[[#This Row],[Away Team Goals]]</f>
        <v>4</v>
      </c>
      <c r="V288" s="11">
        <f>World_Cup_Matches[[#This Row],[Home Team Goals]]-World_Cup_Matches[[#This Row],[Away Team Goals]]</f>
        <v>2</v>
      </c>
      <c r="W288" s="4" t="str">
        <f>IF(World_Cup_Matches[[#This Row],[Home Team Goals]]&gt;World_Cup_Matches[[#This Row],[Away Team Goals]],World_Cup_Matches[[#This Row],[Home Team Name]],IF(World_Cup_Matches[[#This Row],[Away Team Goals]]&gt;World_Cup_Matches[[#This Row],[Home Team Goals]], World_Cup_Matches[[#This Row],[Away Team Name]],"Draw"))</f>
        <v>France</v>
      </c>
      <c r="X288" s="4" t="str">
        <f>IF(World_Cup_Matches[[#This Row],[Home Team Goals]]&gt;World_Cup_Matches[[#This Row],[Away Team Goals]],"Hime Win",IF(World_Cup_Matches[[#This Row],[Away Team Goals]]&gt;World_Cup_Matches[[#This Row],[Home Team Goals]],"Away win","Draw"))</f>
        <v>Hime Win</v>
      </c>
    </row>
    <row r="289" spans="1:24" x14ac:dyDescent="0.2">
      <c r="A289" s="19">
        <v>1978</v>
      </c>
      <c r="B289" s="15" t="s">
        <v>665</v>
      </c>
      <c r="C289" s="3" t="s">
        <v>40</v>
      </c>
      <c r="D289" s="3" t="s">
        <v>626</v>
      </c>
      <c r="E289" s="3" t="s">
        <v>627</v>
      </c>
      <c r="F289" s="3" t="s">
        <v>190</v>
      </c>
      <c r="G289" s="11">
        <v>3</v>
      </c>
      <c r="H289" s="11">
        <v>1</v>
      </c>
      <c r="I289" s="3" t="s">
        <v>25</v>
      </c>
      <c r="J289" s="3" t="s">
        <v>1842</v>
      </c>
      <c r="K289" s="3">
        <v>22651</v>
      </c>
      <c r="L289" s="11">
        <v>1</v>
      </c>
      <c r="M289" s="11">
        <v>0</v>
      </c>
      <c r="N289" s="3" t="s">
        <v>584</v>
      </c>
      <c r="O289" s="3" t="s">
        <v>643</v>
      </c>
      <c r="P289" s="3" t="s">
        <v>658</v>
      </c>
      <c r="Q289" s="11">
        <v>278</v>
      </c>
      <c r="R289" s="11">
        <v>2431</v>
      </c>
      <c r="S289" s="3" t="s">
        <v>194</v>
      </c>
      <c r="T289" s="4" t="s">
        <v>30</v>
      </c>
      <c r="U289" s="11">
        <f>World_Cup_Matches[[#This Row],[Home Team Goals]]+World_Cup_Matches[[#This Row],[Away Team Goals]]</f>
        <v>4</v>
      </c>
      <c r="V289" s="11">
        <f>World_Cup_Matches[[#This Row],[Home Team Goals]]-World_Cup_Matches[[#This Row],[Away Team Goals]]</f>
        <v>2</v>
      </c>
      <c r="W289" s="4" t="str">
        <f>IF(World_Cup_Matches[[#This Row],[Home Team Goals]]&gt;World_Cup_Matches[[#This Row],[Away Team Goals]],World_Cup_Matches[[#This Row],[Home Team Name]],IF(World_Cup_Matches[[#This Row],[Away Team Goals]]&gt;World_Cup_Matches[[#This Row],[Home Team Goals]], World_Cup_Matches[[#This Row],[Away Team Name]],"Draw"))</f>
        <v>Poland</v>
      </c>
      <c r="X289" s="4" t="str">
        <f>IF(World_Cup_Matches[[#This Row],[Home Team Goals]]&gt;World_Cup_Matches[[#This Row],[Away Team Goals]],"Hime Win",IF(World_Cup_Matches[[#This Row],[Away Team Goals]]&gt;World_Cup_Matches[[#This Row],[Home Team Goals]],"Away win","Draw"))</f>
        <v>Hime Win</v>
      </c>
    </row>
    <row r="290" spans="1:24" x14ac:dyDescent="0.2">
      <c r="A290" s="19">
        <v>1978</v>
      </c>
      <c r="B290" s="15" t="s">
        <v>665</v>
      </c>
      <c r="C290" s="3" t="s">
        <v>40</v>
      </c>
      <c r="D290" s="3" t="s">
        <v>641</v>
      </c>
      <c r="E290" s="3" t="s">
        <v>642</v>
      </c>
      <c r="F290" s="3" t="s">
        <v>285</v>
      </c>
      <c r="G290" s="11">
        <v>0</v>
      </c>
      <c r="H290" s="11">
        <v>0</v>
      </c>
      <c r="I290" s="3" t="s">
        <v>628</v>
      </c>
      <c r="J290" s="3" t="s">
        <v>1842</v>
      </c>
      <c r="K290" s="3">
        <v>30667</v>
      </c>
      <c r="L290" s="11">
        <v>0</v>
      </c>
      <c r="M290" s="11">
        <v>0</v>
      </c>
      <c r="N290" s="3" t="s">
        <v>656</v>
      </c>
      <c r="O290" s="3" t="s">
        <v>620</v>
      </c>
      <c r="P290" s="3" t="s">
        <v>546</v>
      </c>
      <c r="Q290" s="11">
        <v>278</v>
      </c>
      <c r="R290" s="11">
        <v>2352</v>
      </c>
      <c r="S290" s="3" t="s">
        <v>289</v>
      </c>
      <c r="T290" s="4" t="s">
        <v>632</v>
      </c>
      <c r="U290" s="11">
        <f>World_Cup_Matches[[#This Row],[Home Team Goals]]+World_Cup_Matches[[#This Row],[Away Team Goals]]</f>
        <v>0</v>
      </c>
      <c r="V290" s="11">
        <f>World_Cup_Matches[[#This Row],[Home Team Goals]]-World_Cup_Matches[[#This Row],[Away Team Goals]]</f>
        <v>0</v>
      </c>
      <c r="W290" s="4" t="str">
        <f>IF(World_Cup_Matches[[#This Row],[Home Team Goals]]&gt;World_Cup_Matches[[#This Row],[Away Team Goals]],World_Cup_Matches[[#This Row],[Home Team Name]],IF(World_Cup_Matches[[#This Row],[Away Team Goals]]&gt;World_Cup_Matches[[#This Row],[Home Team Goals]], World_Cup_Matches[[#This Row],[Away Team Name]],"Draw"))</f>
        <v>Draw</v>
      </c>
      <c r="X290" s="4" t="str">
        <f>IF(World_Cup_Matches[[#This Row],[Home Team Goals]]&gt;World_Cup_Matches[[#This Row],[Away Team Goals]],"Hime Win",IF(World_Cup_Matches[[#This Row],[Away Team Goals]]&gt;World_Cup_Matches[[#This Row],[Home Team Goals]],"Away win","Draw"))</f>
        <v>Draw</v>
      </c>
    </row>
    <row r="291" spans="1:24" x14ac:dyDescent="0.2">
      <c r="A291" s="19">
        <v>1978</v>
      </c>
      <c r="B291" s="15" t="s">
        <v>666</v>
      </c>
      <c r="C291" s="3" t="s">
        <v>21</v>
      </c>
      <c r="D291" s="3" t="s">
        <v>617</v>
      </c>
      <c r="E291" s="3" t="s">
        <v>618</v>
      </c>
      <c r="F291" s="3" t="s">
        <v>138</v>
      </c>
      <c r="G291" s="11">
        <v>1</v>
      </c>
      <c r="H291" s="11">
        <v>0</v>
      </c>
      <c r="I291" s="3" t="s">
        <v>56</v>
      </c>
      <c r="J291" s="3" t="s">
        <v>1842</v>
      </c>
      <c r="K291" s="3">
        <v>71712</v>
      </c>
      <c r="L291" s="11">
        <v>0</v>
      </c>
      <c r="M291" s="11">
        <v>0</v>
      </c>
      <c r="N291" s="3" t="s">
        <v>519</v>
      </c>
      <c r="O291" s="3" t="s">
        <v>578</v>
      </c>
      <c r="P291" s="3" t="s">
        <v>654</v>
      </c>
      <c r="Q291" s="11">
        <v>278</v>
      </c>
      <c r="R291" s="11">
        <v>2200</v>
      </c>
      <c r="S291" s="3" t="s">
        <v>142</v>
      </c>
      <c r="T291" s="4" t="s">
        <v>59</v>
      </c>
      <c r="U291" s="11">
        <f>World_Cup_Matches[[#This Row],[Home Team Goals]]+World_Cup_Matches[[#This Row],[Away Team Goals]]</f>
        <v>1</v>
      </c>
      <c r="V291" s="11">
        <f>World_Cup_Matches[[#This Row],[Home Team Goals]]-World_Cup_Matches[[#This Row],[Away Team Goals]]</f>
        <v>1</v>
      </c>
      <c r="W291" s="4" t="str">
        <f>IF(World_Cup_Matches[[#This Row],[Home Team Goals]]&gt;World_Cup_Matches[[#This Row],[Away Team Goals]],World_Cup_Matches[[#This Row],[Home Team Name]],IF(World_Cup_Matches[[#This Row],[Away Team Goals]]&gt;World_Cup_Matches[[#This Row],[Home Team Goals]], World_Cup_Matches[[#This Row],[Away Team Name]],"Draw"))</f>
        <v>Italy</v>
      </c>
      <c r="X291" s="4" t="str">
        <f>IF(World_Cup_Matches[[#This Row],[Home Team Goals]]&gt;World_Cup_Matches[[#This Row],[Away Team Goals]],"Hime Win",IF(World_Cup_Matches[[#This Row],[Away Team Goals]]&gt;World_Cup_Matches[[#This Row],[Home Team Goals]],"Away win","Draw"))</f>
        <v>Hime Win</v>
      </c>
    </row>
    <row r="292" spans="1:24" x14ac:dyDescent="0.2">
      <c r="A292" s="19">
        <v>1978</v>
      </c>
      <c r="B292" s="15" t="s">
        <v>667</v>
      </c>
      <c r="C292" s="3" t="s">
        <v>49</v>
      </c>
      <c r="D292" s="3" t="s">
        <v>622</v>
      </c>
      <c r="E292" s="3" t="s">
        <v>623</v>
      </c>
      <c r="F292" s="3" t="s">
        <v>42</v>
      </c>
      <c r="G292" s="11">
        <v>1</v>
      </c>
      <c r="H292" s="11">
        <v>0</v>
      </c>
      <c r="I292" s="3" t="s">
        <v>91</v>
      </c>
      <c r="J292" s="3" t="s">
        <v>1842</v>
      </c>
      <c r="K292" s="3">
        <v>35221</v>
      </c>
      <c r="L292" s="11">
        <v>1</v>
      </c>
      <c r="M292" s="11">
        <v>0</v>
      </c>
      <c r="N292" s="3" t="s">
        <v>649</v>
      </c>
      <c r="O292" s="3" t="s">
        <v>653</v>
      </c>
      <c r="P292" s="3" t="s">
        <v>644</v>
      </c>
      <c r="Q292" s="11">
        <v>278</v>
      </c>
      <c r="R292" s="11">
        <v>2215</v>
      </c>
      <c r="S292" s="3" t="s">
        <v>47</v>
      </c>
      <c r="T292" s="4" t="s">
        <v>96</v>
      </c>
      <c r="U292" s="11">
        <f>World_Cup_Matches[[#This Row],[Home Team Goals]]+World_Cup_Matches[[#This Row],[Away Team Goals]]</f>
        <v>1</v>
      </c>
      <c r="V292" s="11">
        <f>World_Cup_Matches[[#This Row],[Home Team Goals]]-World_Cup_Matches[[#This Row],[Away Team Goals]]</f>
        <v>1</v>
      </c>
      <c r="W292" s="4" t="str">
        <f>IF(World_Cup_Matches[[#This Row],[Home Team Goals]]&gt;World_Cup_Matches[[#This Row],[Away Team Goals]],World_Cup_Matches[[#This Row],[Home Team Name]],IF(World_Cup_Matches[[#This Row],[Away Team Goals]]&gt;World_Cup_Matches[[#This Row],[Home Team Goals]], World_Cup_Matches[[#This Row],[Away Team Name]],"Draw"))</f>
        <v>Brazil</v>
      </c>
      <c r="X292" s="4" t="str">
        <f>IF(World_Cup_Matches[[#This Row],[Home Team Goals]]&gt;World_Cup_Matches[[#This Row],[Away Team Goals]],"Hime Win",IF(World_Cup_Matches[[#This Row],[Away Team Goals]]&gt;World_Cup_Matches[[#This Row],[Home Team Goals]],"Away win","Draw"))</f>
        <v>Hime Win</v>
      </c>
    </row>
    <row r="293" spans="1:24" x14ac:dyDescent="0.2">
      <c r="A293" s="19">
        <v>1978</v>
      </c>
      <c r="B293" s="15" t="s">
        <v>667</v>
      </c>
      <c r="C293" s="3" t="s">
        <v>49</v>
      </c>
      <c r="D293" s="3" t="s">
        <v>638</v>
      </c>
      <c r="E293" s="3" t="s">
        <v>618</v>
      </c>
      <c r="F293" s="3" t="s">
        <v>131</v>
      </c>
      <c r="G293" s="11">
        <v>1</v>
      </c>
      <c r="H293" s="11">
        <v>0</v>
      </c>
      <c r="I293" s="3" t="s">
        <v>117</v>
      </c>
      <c r="J293" s="3" t="s">
        <v>1842</v>
      </c>
      <c r="K293" s="3">
        <v>42132</v>
      </c>
      <c r="L293" s="11">
        <v>0</v>
      </c>
      <c r="M293" s="11">
        <v>0</v>
      </c>
      <c r="N293" s="3" t="s">
        <v>600</v>
      </c>
      <c r="O293" s="3" t="s">
        <v>619</v>
      </c>
      <c r="P293" s="3" t="s">
        <v>663</v>
      </c>
      <c r="Q293" s="11">
        <v>278</v>
      </c>
      <c r="R293" s="11">
        <v>2337</v>
      </c>
      <c r="S293" s="3" t="s">
        <v>135</v>
      </c>
      <c r="T293" s="4" t="s">
        <v>121</v>
      </c>
      <c r="U293" s="11">
        <f>World_Cup_Matches[[#This Row],[Home Team Goals]]+World_Cup_Matches[[#This Row],[Away Team Goals]]</f>
        <v>1</v>
      </c>
      <c r="V293" s="11">
        <f>World_Cup_Matches[[#This Row],[Home Team Goals]]-World_Cup_Matches[[#This Row],[Away Team Goals]]</f>
        <v>1</v>
      </c>
      <c r="W293" s="4" t="str">
        <f>IF(World_Cup_Matches[[#This Row],[Home Team Goals]]&gt;World_Cup_Matches[[#This Row],[Away Team Goals]],World_Cup_Matches[[#This Row],[Home Team Name]],IF(World_Cup_Matches[[#This Row],[Away Team Goals]]&gt;World_Cup_Matches[[#This Row],[Home Team Goals]], World_Cup_Matches[[#This Row],[Away Team Name]],"Draw"))</f>
        <v>Spain</v>
      </c>
      <c r="X293" s="4" t="str">
        <f>IF(World_Cup_Matches[[#This Row],[Home Team Goals]]&gt;World_Cup_Matches[[#This Row],[Away Team Goals]],"Hime Win",IF(World_Cup_Matches[[#This Row],[Away Team Goals]]&gt;World_Cup_Matches[[#This Row],[Home Team Goals]],"Away win","Draw"))</f>
        <v>Hime Win</v>
      </c>
    </row>
    <row r="294" spans="1:24" x14ac:dyDescent="0.2">
      <c r="A294" s="19">
        <v>1978</v>
      </c>
      <c r="B294" s="15" t="s">
        <v>668</v>
      </c>
      <c r="C294" s="3" t="s">
        <v>31</v>
      </c>
      <c r="D294" s="3" t="s">
        <v>641</v>
      </c>
      <c r="E294" s="3" t="s">
        <v>642</v>
      </c>
      <c r="F294" s="3" t="s">
        <v>51</v>
      </c>
      <c r="G294" s="11">
        <v>4</v>
      </c>
      <c r="H294" s="11">
        <v>1</v>
      </c>
      <c r="I294" s="3" t="s">
        <v>669</v>
      </c>
      <c r="J294" s="3" t="s">
        <v>1842</v>
      </c>
      <c r="K294" s="3">
        <v>21262</v>
      </c>
      <c r="L294" s="11">
        <v>3</v>
      </c>
      <c r="M294" s="11">
        <v>1</v>
      </c>
      <c r="N294" s="3" t="s">
        <v>637</v>
      </c>
      <c r="O294" s="3" t="s">
        <v>659</v>
      </c>
      <c r="P294" s="3" t="s">
        <v>551</v>
      </c>
      <c r="Q294" s="11">
        <v>278</v>
      </c>
      <c r="R294" s="11">
        <v>2405</v>
      </c>
      <c r="S294" s="3" t="s">
        <v>54</v>
      </c>
      <c r="T294" s="4" t="s">
        <v>650</v>
      </c>
      <c r="U294" s="11">
        <f>World_Cup_Matches[[#This Row],[Home Team Goals]]+World_Cup_Matches[[#This Row],[Away Team Goals]]</f>
        <v>5</v>
      </c>
      <c r="V294" s="11">
        <f>World_Cup_Matches[[#This Row],[Home Team Goals]]-World_Cup_Matches[[#This Row],[Away Team Goals]]</f>
        <v>3</v>
      </c>
      <c r="W294" s="4" t="str">
        <f>IF(World_Cup_Matches[[#This Row],[Home Team Goals]]&gt;World_Cup_Matches[[#This Row],[Away Team Goals]],World_Cup_Matches[[#This Row],[Home Team Name]],IF(World_Cup_Matches[[#This Row],[Away Team Goals]]&gt;World_Cup_Matches[[#This Row],[Home Team Goals]], World_Cup_Matches[[#This Row],[Away Team Name]],"Draw"))</f>
        <v>Peru</v>
      </c>
      <c r="X294" s="4" t="str">
        <f>IF(World_Cup_Matches[[#This Row],[Home Team Goals]]&gt;World_Cup_Matches[[#This Row],[Away Team Goals]],"Hime Win",IF(World_Cup_Matches[[#This Row],[Away Team Goals]]&gt;World_Cup_Matches[[#This Row],[Home Team Goals]],"Away win","Draw"))</f>
        <v>Hime Win</v>
      </c>
    </row>
    <row r="295" spans="1:24" x14ac:dyDescent="0.2">
      <c r="A295" s="19">
        <v>1978</v>
      </c>
      <c r="B295" s="15" t="s">
        <v>668</v>
      </c>
      <c r="C295" s="3" t="s">
        <v>31</v>
      </c>
      <c r="D295" s="3" t="s">
        <v>646</v>
      </c>
      <c r="E295" s="3" t="s">
        <v>647</v>
      </c>
      <c r="F295" s="3" t="s">
        <v>272</v>
      </c>
      <c r="G295" s="11">
        <v>3</v>
      </c>
      <c r="H295" s="11">
        <v>2</v>
      </c>
      <c r="I295" s="3" t="s">
        <v>109</v>
      </c>
      <c r="J295" s="3" t="s">
        <v>1842</v>
      </c>
      <c r="K295" s="3">
        <v>35130</v>
      </c>
      <c r="L295" s="11">
        <v>1</v>
      </c>
      <c r="M295" s="11">
        <v>1</v>
      </c>
      <c r="N295" s="3" t="s">
        <v>594</v>
      </c>
      <c r="O295" s="3" t="s">
        <v>572</v>
      </c>
      <c r="P295" s="3" t="s">
        <v>660</v>
      </c>
      <c r="Q295" s="11">
        <v>278</v>
      </c>
      <c r="R295" s="11">
        <v>2395</v>
      </c>
      <c r="S295" s="3" t="s">
        <v>275</v>
      </c>
      <c r="T295" s="4" t="s">
        <v>114</v>
      </c>
      <c r="U295" s="11">
        <f>World_Cup_Matches[[#This Row],[Home Team Goals]]+World_Cup_Matches[[#This Row],[Away Team Goals]]</f>
        <v>5</v>
      </c>
      <c r="V295" s="11">
        <f>World_Cup_Matches[[#This Row],[Home Team Goals]]-World_Cup_Matches[[#This Row],[Away Team Goals]]</f>
        <v>1</v>
      </c>
      <c r="W295" s="4" t="str">
        <f>IF(World_Cup_Matches[[#This Row],[Home Team Goals]]&gt;World_Cup_Matches[[#This Row],[Away Team Goals]],World_Cup_Matches[[#This Row],[Home Team Name]],IF(World_Cup_Matches[[#This Row],[Away Team Goals]]&gt;World_Cup_Matches[[#This Row],[Home Team Goals]], World_Cup_Matches[[#This Row],[Away Team Name]],"Draw"))</f>
        <v>Scotland</v>
      </c>
      <c r="X295" s="4" t="str">
        <f>IF(World_Cup_Matches[[#This Row],[Home Team Goals]]&gt;World_Cup_Matches[[#This Row],[Away Team Goals]],"Hime Win",IF(World_Cup_Matches[[#This Row],[Away Team Goals]]&gt;World_Cup_Matches[[#This Row],[Home Team Goals]],"Away win","Draw"))</f>
        <v>Hime Win</v>
      </c>
    </row>
    <row r="296" spans="1:24" x14ac:dyDescent="0.2">
      <c r="A296" s="19">
        <v>1978</v>
      </c>
      <c r="B296" s="15" t="s">
        <v>670</v>
      </c>
      <c r="C296" s="3" t="s">
        <v>609</v>
      </c>
      <c r="D296" s="3" t="s">
        <v>617</v>
      </c>
      <c r="E296" s="3" t="s">
        <v>618</v>
      </c>
      <c r="F296" s="3" t="s">
        <v>285</v>
      </c>
      <c r="G296" s="11">
        <v>0</v>
      </c>
      <c r="H296" s="11">
        <v>0</v>
      </c>
      <c r="I296" s="3" t="s">
        <v>138</v>
      </c>
      <c r="J296" s="3" t="s">
        <v>1842</v>
      </c>
      <c r="K296" s="3">
        <v>67547</v>
      </c>
      <c r="L296" s="11">
        <v>0</v>
      </c>
      <c r="M296" s="11">
        <v>0</v>
      </c>
      <c r="N296" s="3" t="s">
        <v>659</v>
      </c>
      <c r="O296" s="3" t="s">
        <v>578</v>
      </c>
      <c r="P296" s="3" t="s">
        <v>620</v>
      </c>
      <c r="Q296" s="11">
        <v>279</v>
      </c>
      <c r="R296" s="11">
        <v>2349</v>
      </c>
      <c r="S296" s="3" t="s">
        <v>289</v>
      </c>
      <c r="T296" s="4" t="s">
        <v>142</v>
      </c>
      <c r="U296" s="11">
        <f>World_Cup_Matches[[#This Row],[Home Team Goals]]+World_Cup_Matches[[#This Row],[Away Team Goals]]</f>
        <v>0</v>
      </c>
      <c r="V296" s="11">
        <f>World_Cup_Matches[[#This Row],[Home Team Goals]]-World_Cup_Matches[[#This Row],[Away Team Goals]]</f>
        <v>0</v>
      </c>
      <c r="W296" s="4" t="str">
        <f>IF(World_Cup_Matches[[#This Row],[Home Team Goals]]&gt;World_Cup_Matches[[#This Row],[Away Team Goals]],World_Cup_Matches[[#This Row],[Home Team Name]],IF(World_Cup_Matches[[#This Row],[Away Team Goals]]&gt;World_Cup_Matches[[#This Row],[Home Team Goals]], World_Cup_Matches[[#This Row],[Away Team Name]],"Draw"))</f>
        <v>Draw</v>
      </c>
      <c r="X296" s="4" t="str">
        <f>IF(World_Cup_Matches[[#This Row],[Home Team Goals]]&gt;World_Cup_Matches[[#This Row],[Away Team Goals]],"Hime Win",IF(World_Cup_Matches[[#This Row],[Away Team Goals]]&gt;World_Cup_Matches[[#This Row],[Home Team Goals]],"Away win","Draw"))</f>
        <v>Draw</v>
      </c>
    </row>
    <row r="297" spans="1:24" x14ac:dyDescent="0.2">
      <c r="A297" s="19">
        <v>1978</v>
      </c>
      <c r="B297" s="15" t="s">
        <v>670</v>
      </c>
      <c r="C297" s="3" t="s">
        <v>609</v>
      </c>
      <c r="D297" s="3" t="s">
        <v>641</v>
      </c>
      <c r="E297" s="3" t="s">
        <v>642</v>
      </c>
      <c r="F297" s="3" t="s">
        <v>109</v>
      </c>
      <c r="G297" s="11">
        <v>5</v>
      </c>
      <c r="H297" s="11">
        <v>1</v>
      </c>
      <c r="I297" s="3" t="s">
        <v>91</v>
      </c>
      <c r="J297" s="3" t="s">
        <v>1842</v>
      </c>
      <c r="K297" s="3">
        <v>25050</v>
      </c>
      <c r="L297" s="11">
        <v>3</v>
      </c>
      <c r="M297" s="11">
        <v>0</v>
      </c>
      <c r="N297" s="3" t="s">
        <v>629</v>
      </c>
      <c r="O297" s="3" t="s">
        <v>619</v>
      </c>
      <c r="P297" s="3" t="s">
        <v>653</v>
      </c>
      <c r="Q297" s="11">
        <v>279</v>
      </c>
      <c r="R297" s="11">
        <v>2220</v>
      </c>
      <c r="S297" s="3" t="s">
        <v>114</v>
      </c>
      <c r="T297" s="4" t="s">
        <v>96</v>
      </c>
      <c r="U297" s="11">
        <f>World_Cup_Matches[[#This Row],[Home Team Goals]]+World_Cup_Matches[[#This Row],[Away Team Goals]]</f>
        <v>6</v>
      </c>
      <c r="V297" s="11">
        <f>World_Cup_Matches[[#This Row],[Home Team Goals]]-World_Cup_Matches[[#This Row],[Away Team Goals]]</f>
        <v>4</v>
      </c>
      <c r="W297" s="4" t="str">
        <f>IF(World_Cup_Matches[[#This Row],[Home Team Goals]]&gt;World_Cup_Matches[[#This Row],[Away Team Goals]],World_Cup_Matches[[#This Row],[Home Team Name]],IF(World_Cup_Matches[[#This Row],[Away Team Goals]]&gt;World_Cup_Matches[[#This Row],[Home Team Goals]], World_Cup_Matches[[#This Row],[Away Team Name]],"Draw"))</f>
        <v>Netherlands</v>
      </c>
      <c r="X297" s="4" t="str">
        <f>IF(World_Cup_Matches[[#This Row],[Home Team Goals]]&gt;World_Cup_Matches[[#This Row],[Away Team Goals]],"Hime Win",IF(World_Cup_Matches[[#This Row],[Away Team Goals]]&gt;World_Cup_Matches[[#This Row],[Home Team Goals]],"Away win","Draw"))</f>
        <v>Hime Win</v>
      </c>
    </row>
    <row r="298" spans="1:24" x14ac:dyDescent="0.2">
      <c r="A298" s="19">
        <v>1978</v>
      </c>
      <c r="B298" s="15" t="s">
        <v>671</v>
      </c>
      <c r="C298" s="3" t="s">
        <v>607</v>
      </c>
      <c r="D298" s="3" t="s">
        <v>646</v>
      </c>
      <c r="E298" s="3" t="s">
        <v>647</v>
      </c>
      <c r="F298" s="3" t="s">
        <v>42</v>
      </c>
      <c r="G298" s="11">
        <v>3</v>
      </c>
      <c r="H298" s="11">
        <v>0</v>
      </c>
      <c r="I298" s="3" t="s">
        <v>51</v>
      </c>
      <c r="J298" s="3" t="s">
        <v>1842</v>
      </c>
      <c r="K298" s="3">
        <v>31278</v>
      </c>
      <c r="L298" s="11">
        <v>2</v>
      </c>
      <c r="M298" s="11">
        <v>0</v>
      </c>
      <c r="N298" s="3" t="s">
        <v>574</v>
      </c>
      <c r="O298" s="3" t="s">
        <v>630</v>
      </c>
      <c r="P298" s="3" t="s">
        <v>551</v>
      </c>
      <c r="Q298" s="11">
        <v>279</v>
      </c>
      <c r="R298" s="11">
        <v>2251</v>
      </c>
      <c r="S298" s="3" t="s">
        <v>47</v>
      </c>
      <c r="T298" s="4" t="s">
        <v>54</v>
      </c>
      <c r="U298" s="11">
        <f>World_Cup_Matches[[#This Row],[Home Team Goals]]+World_Cup_Matches[[#This Row],[Away Team Goals]]</f>
        <v>3</v>
      </c>
      <c r="V298" s="11">
        <f>World_Cup_Matches[[#This Row],[Home Team Goals]]-World_Cup_Matches[[#This Row],[Away Team Goals]]</f>
        <v>3</v>
      </c>
      <c r="W298" s="4" t="str">
        <f>IF(World_Cup_Matches[[#This Row],[Home Team Goals]]&gt;World_Cup_Matches[[#This Row],[Away Team Goals]],World_Cup_Matches[[#This Row],[Home Team Name]],IF(World_Cup_Matches[[#This Row],[Away Team Goals]]&gt;World_Cup_Matches[[#This Row],[Home Team Goals]], World_Cup_Matches[[#This Row],[Away Team Name]],"Draw"))</f>
        <v>Brazil</v>
      </c>
      <c r="X298" s="4" t="str">
        <f>IF(World_Cup_Matches[[#This Row],[Home Team Goals]]&gt;World_Cup_Matches[[#This Row],[Away Team Goals]],"Hime Win",IF(World_Cup_Matches[[#This Row],[Away Team Goals]]&gt;World_Cup_Matches[[#This Row],[Home Team Goals]],"Away win","Draw"))</f>
        <v>Hime Win</v>
      </c>
    </row>
    <row r="299" spans="1:24" x14ac:dyDescent="0.2">
      <c r="A299" s="19">
        <v>1978</v>
      </c>
      <c r="B299" s="15" t="s">
        <v>672</v>
      </c>
      <c r="C299" s="3" t="s">
        <v>607</v>
      </c>
      <c r="D299" s="3" t="s">
        <v>626</v>
      </c>
      <c r="E299" s="3" t="s">
        <v>627</v>
      </c>
      <c r="F299" s="3" t="s">
        <v>56</v>
      </c>
      <c r="G299" s="11">
        <v>2</v>
      </c>
      <c r="H299" s="11">
        <v>0</v>
      </c>
      <c r="I299" s="3" t="s">
        <v>190</v>
      </c>
      <c r="J299" s="3" t="s">
        <v>1842</v>
      </c>
      <c r="K299" s="3">
        <v>37091</v>
      </c>
      <c r="L299" s="11">
        <v>1</v>
      </c>
      <c r="M299" s="11">
        <v>0</v>
      </c>
      <c r="N299" s="3" t="s">
        <v>643</v>
      </c>
      <c r="O299" s="3" t="s">
        <v>584</v>
      </c>
      <c r="P299" s="3" t="s">
        <v>644</v>
      </c>
      <c r="Q299" s="11">
        <v>279</v>
      </c>
      <c r="R299" s="11">
        <v>2202</v>
      </c>
      <c r="S299" s="3" t="s">
        <v>59</v>
      </c>
      <c r="T299" s="4" t="s">
        <v>194</v>
      </c>
      <c r="U299" s="11">
        <f>World_Cup_Matches[[#This Row],[Home Team Goals]]+World_Cup_Matches[[#This Row],[Away Team Goals]]</f>
        <v>2</v>
      </c>
      <c r="V299" s="11">
        <f>World_Cup_Matches[[#This Row],[Home Team Goals]]-World_Cup_Matches[[#This Row],[Away Team Goals]]</f>
        <v>2</v>
      </c>
      <c r="W299" s="4" t="str">
        <f>IF(World_Cup_Matches[[#This Row],[Home Team Goals]]&gt;World_Cup_Matches[[#This Row],[Away Team Goals]],World_Cup_Matches[[#This Row],[Home Team Name]],IF(World_Cup_Matches[[#This Row],[Away Team Goals]]&gt;World_Cup_Matches[[#This Row],[Home Team Goals]], World_Cup_Matches[[#This Row],[Away Team Name]],"Draw"))</f>
        <v>Argentina</v>
      </c>
      <c r="X299" s="4" t="str">
        <f>IF(World_Cup_Matches[[#This Row],[Home Team Goals]]&gt;World_Cup_Matches[[#This Row],[Away Team Goals]],"Hime Win",IF(World_Cup_Matches[[#This Row],[Away Team Goals]]&gt;World_Cup_Matches[[#This Row],[Home Team Goals]],"Away win","Draw"))</f>
        <v>Hime Win</v>
      </c>
    </row>
    <row r="300" spans="1:24" x14ac:dyDescent="0.2">
      <c r="A300" s="19">
        <v>1978</v>
      </c>
      <c r="B300" s="15" t="s">
        <v>673</v>
      </c>
      <c r="C300" s="3" t="s">
        <v>607</v>
      </c>
      <c r="D300" s="3" t="s">
        <v>646</v>
      </c>
      <c r="E300" s="3" t="s">
        <v>647</v>
      </c>
      <c r="F300" s="3" t="s">
        <v>190</v>
      </c>
      <c r="G300" s="11">
        <v>1</v>
      </c>
      <c r="H300" s="11">
        <v>0</v>
      </c>
      <c r="I300" s="3" t="s">
        <v>51</v>
      </c>
      <c r="J300" s="3" t="s">
        <v>1842</v>
      </c>
      <c r="K300" s="3">
        <v>35288</v>
      </c>
      <c r="L300" s="11">
        <v>0</v>
      </c>
      <c r="M300" s="11">
        <v>0</v>
      </c>
      <c r="N300" s="3" t="s">
        <v>635</v>
      </c>
      <c r="O300" s="3" t="s">
        <v>674</v>
      </c>
      <c r="P300" s="3" t="s">
        <v>658</v>
      </c>
      <c r="Q300" s="11">
        <v>279</v>
      </c>
      <c r="R300" s="11">
        <v>2450</v>
      </c>
      <c r="S300" s="3" t="s">
        <v>194</v>
      </c>
      <c r="T300" s="4" t="s">
        <v>54</v>
      </c>
      <c r="U300" s="11">
        <f>World_Cup_Matches[[#This Row],[Home Team Goals]]+World_Cup_Matches[[#This Row],[Away Team Goals]]</f>
        <v>1</v>
      </c>
      <c r="V300" s="11">
        <f>World_Cup_Matches[[#This Row],[Home Team Goals]]-World_Cup_Matches[[#This Row],[Away Team Goals]]</f>
        <v>1</v>
      </c>
      <c r="W300" s="4" t="str">
        <f>IF(World_Cup_Matches[[#This Row],[Home Team Goals]]&gt;World_Cup_Matches[[#This Row],[Away Team Goals]],World_Cup_Matches[[#This Row],[Home Team Name]],IF(World_Cup_Matches[[#This Row],[Away Team Goals]]&gt;World_Cup_Matches[[#This Row],[Home Team Goals]], World_Cup_Matches[[#This Row],[Away Team Name]],"Draw"))</f>
        <v>Poland</v>
      </c>
      <c r="X300" s="4" t="str">
        <f>IF(World_Cup_Matches[[#This Row],[Home Team Goals]]&gt;World_Cup_Matches[[#This Row],[Away Team Goals]],"Hime Win",IF(World_Cup_Matches[[#This Row],[Away Team Goals]]&gt;World_Cup_Matches[[#This Row],[Home Team Goals]],"Away win","Draw"))</f>
        <v>Hime Win</v>
      </c>
    </row>
    <row r="301" spans="1:24" x14ac:dyDescent="0.2">
      <c r="A301" s="19">
        <v>1978</v>
      </c>
      <c r="B301" s="15" t="s">
        <v>675</v>
      </c>
      <c r="C301" s="3" t="s">
        <v>609</v>
      </c>
      <c r="D301" s="3" t="s">
        <v>617</v>
      </c>
      <c r="E301" s="3" t="s">
        <v>618</v>
      </c>
      <c r="F301" s="3" t="s">
        <v>138</v>
      </c>
      <c r="G301" s="11">
        <v>1</v>
      </c>
      <c r="H301" s="11">
        <v>0</v>
      </c>
      <c r="I301" s="3" t="s">
        <v>91</v>
      </c>
      <c r="J301" s="3" t="s">
        <v>1842</v>
      </c>
      <c r="K301" s="3">
        <v>66695</v>
      </c>
      <c r="L301" s="11">
        <v>1</v>
      </c>
      <c r="M301" s="11">
        <v>0</v>
      </c>
      <c r="N301" s="3" t="s">
        <v>654</v>
      </c>
      <c r="O301" s="3" t="s">
        <v>533</v>
      </c>
      <c r="P301" s="3" t="s">
        <v>557</v>
      </c>
      <c r="Q301" s="11">
        <v>279</v>
      </c>
      <c r="R301" s="11">
        <v>2221</v>
      </c>
      <c r="S301" s="3" t="s">
        <v>142</v>
      </c>
      <c r="T301" s="4" t="s">
        <v>96</v>
      </c>
      <c r="U301" s="11">
        <f>World_Cup_Matches[[#This Row],[Home Team Goals]]+World_Cup_Matches[[#This Row],[Away Team Goals]]</f>
        <v>1</v>
      </c>
      <c r="V301" s="11">
        <f>World_Cup_Matches[[#This Row],[Home Team Goals]]-World_Cup_Matches[[#This Row],[Away Team Goals]]</f>
        <v>1</v>
      </c>
      <c r="W301" s="4" t="str">
        <f>IF(World_Cup_Matches[[#This Row],[Home Team Goals]]&gt;World_Cup_Matches[[#This Row],[Away Team Goals]],World_Cup_Matches[[#This Row],[Home Team Name]],IF(World_Cup_Matches[[#This Row],[Away Team Goals]]&gt;World_Cup_Matches[[#This Row],[Home Team Goals]], World_Cup_Matches[[#This Row],[Away Team Name]],"Draw"))</f>
        <v>Italy</v>
      </c>
      <c r="X301" s="4" t="str">
        <f>IF(World_Cup_Matches[[#This Row],[Home Team Goals]]&gt;World_Cup_Matches[[#This Row],[Away Team Goals]],"Hime Win",IF(World_Cup_Matches[[#This Row],[Away Team Goals]]&gt;World_Cup_Matches[[#This Row],[Home Team Goals]],"Away win","Draw"))</f>
        <v>Hime Win</v>
      </c>
    </row>
    <row r="302" spans="1:24" x14ac:dyDescent="0.2">
      <c r="A302" s="19">
        <v>1978</v>
      </c>
      <c r="B302" s="15" t="s">
        <v>675</v>
      </c>
      <c r="C302" s="3" t="s">
        <v>609</v>
      </c>
      <c r="D302" s="3" t="s">
        <v>641</v>
      </c>
      <c r="E302" s="3" t="s">
        <v>642</v>
      </c>
      <c r="F302" s="3" t="s">
        <v>285</v>
      </c>
      <c r="G302" s="11">
        <v>2</v>
      </c>
      <c r="H302" s="11">
        <v>2</v>
      </c>
      <c r="I302" s="3" t="s">
        <v>109</v>
      </c>
      <c r="J302" s="3" t="s">
        <v>1842</v>
      </c>
      <c r="K302" s="3">
        <v>40750</v>
      </c>
      <c r="L302" s="11">
        <v>1</v>
      </c>
      <c r="M302" s="11">
        <v>1</v>
      </c>
      <c r="N302" s="3" t="s">
        <v>518</v>
      </c>
      <c r="O302" s="3" t="s">
        <v>620</v>
      </c>
      <c r="P302" s="3" t="s">
        <v>662</v>
      </c>
      <c r="Q302" s="11">
        <v>279</v>
      </c>
      <c r="R302" s="11">
        <v>2348</v>
      </c>
      <c r="S302" s="3" t="s">
        <v>289</v>
      </c>
      <c r="T302" s="4" t="s">
        <v>114</v>
      </c>
      <c r="U302" s="11">
        <f>World_Cup_Matches[[#This Row],[Home Team Goals]]+World_Cup_Matches[[#This Row],[Away Team Goals]]</f>
        <v>4</v>
      </c>
      <c r="V302" s="11">
        <f>World_Cup_Matches[[#This Row],[Home Team Goals]]-World_Cup_Matches[[#This Row],[Away Team Goals]]</f>
        <v>0</v>
      </c>
      <c r="W302" s="4" t="str">
        <f>IF(World_Cup_Matches[[#This Row],[Home Team Goals]]&gt;World_Cup_Matches[[#This Row],[Away Team Goals]],World_Cup_Matches[[#This Row],[Home Team Name]],IF(World_Cup_Matches[[#This Row],[Away Team Goals]]&gt;World_Cup_Matches[[#This Row],[Home Team Goals]], World_Cup_Matches[[#This Row],[Away Team Name]],"Draw"))</f>
        <v>Draw</v>
      </c>
      <c r="X302" s="4" t="str">
        <f>IF(World_Cup_Matches[[#This Row],[Home Team Goals]]&gt;World_Cup_Matches[[#This Row],[Away Team Goals]],"Hime Win",IF(World_Cup_Matches[[#This Row],[Away Team Goals]]&gt;World_Cup_Matches[[#This Row],[Home Team Goals]],"Away win","Draw"))</f>
        <v>Draw</v>
      </c>
    </row>
    <row r="303" spans="1:24" x14ac:dyDescent="0.2">
      <c r="A303" s="19">
        <v>1978</v>
      </c>
      <c r="B303" s="15" t="s">
        <v>676</v>
      </c>
      <c r="C303" s="3" t="s">
        <v>607</v>
      </c>
      <c r="D303" s="3" t="s">
        <v>626</v>
      </c>
      <c r="E303" s="3" t="s">
        <v>627</v>
      </c>
      <c r="F303" s="3" t="s">
        <v>56</v>
      </c>
      <c r="G303" s="11">
        <v>0</v>
      </c>
      <c r="H303" s="11">
        <v>0</v>
      </c>
      <c r="I303" s="3" t="s">
        <v>42</v>
      </c>
      <c r="J303" s="3" t="s">
        <v>1842</v>
      </c>
      <c r="K303" s="3">
        <v>37326</v>
      </c>
      <c r="L303" s="11">
        <v>0</v>
      </c>
      <c r="M303" s="11">
        <v>0</v>
      </c>
      <c r="N303" s="3" t="s">
        <v>572</v>
      </c>
      <c r="O303" s="3" t="s">
        <v>594</v>
      </c>
      <c r="P303" s="3" t="s">
        <v>663</v>
      </c>
      <c r="Q303" s="11">
        <v>279</v>
      </c>
      <c r="R303" s="11">
        <v>2196</v>
      </c>
      <c r="S303" s="3" t="s">
        <v>59</v>
      </c>
      <c r="T303" s="4" t="s">
        <v>47</v>
      </c>
      <c r="U303" s="11">
        <f>World_Cup_Matches[[#This Row],[Home Team Goals]]+World_Cup_Matches[[#This Row],[Away Team Goals]]</f>
        <v>0</v>
      </c>
      <c r="V303" s="11">
        <f>World_Cup_Matches[[#This Row],[Home Team Goals]]-World_Cup_Matches[[#This Row],[Away Team Goals]]</f>
        <v>0</v>
      </c>
      <c r="W303" s="4" t="str">
        <f>IF(World_Cup_Matches[[#This Row],[Home Team Goals]]&gt;World_Cup_Matches[[#This Row],[Away Team Goals]],World_Cup_Matches[[#This Row],[Home Team Name]],IF(World_Cup_Matches[[#This Row],[Away Team Goals]]&gt;World_Cup_Matches[[#This Row],[Home Team Goals]], World_Cup_Matches[[#This Row],[Away Team Name]],"Draw"))</f>
        <v>Draw</v>
      </c>
      <c r="X303" s="4" t="str">
        <f>IF(World_Cup_Matches[[#This Row],[Home Team Goals]]&gt;World_Cup_Matches[[#This Row],[Away Team Goals]],"Hime Win",IF(World_Cup_Matches[[#This Row],[Away Team Goals]]&gt;World_Cup_Matches[[#This Row],[Home Team Goals]],"Away win","Draw"))</f>
        <v>Draw</v>
      </c>
    </row>
    <row r="304" spans="1:24" x14ac:dyDescent="0.2">
      <c r="A304" s="19">
        <v>1978</v>
      </c>
      <c r="B304" s="15" t="s">
        <v>677</v>
      </c>
      <c r="C304" s="3" t="s">
        <v>609</v>
      </c>
      <c r="D304" s="3" t="s">
        <v>617</v>
      </c>
      <c r="E304" s="3" t="s">
        <v>618</v>
      </c>
      <c r="F304" s="3" t="s">
        <v>109</v>
      </c>
      <c r="G304" s="11">
        <v>2</v>
      </c>
      <c r="H304" s="11">
        <v>1</v>
      </c>
      <c r="I304" s="3" t="s">
        <v>138</v>
      </c>
      <c r="J304" s="3" t="s">
        <v>1842</v>
      </c>
      <c r="K304" s="3">
        <v>67433</v>
      </c>
      <c r="L304" s="11">
        <v>0</v>
      </c>
      <c r="M304" s="11">
        <v>1</v>
      </c>
      <c r="N304" s="3" t="s">
        <v>645</v>
      </c>
      <c r="O304" s="3" t="s">
        <v>546</v>
      </c>
      <c r="P304" s="3" t="s">
        <v>656</v>
      </c>
      <c r="Q304" s="11">
        <v>279</v>
      </c>
      <c r="R304" s="11">
        <v>2391</v>
      </c>
      <c r="S304" s="3" t="s">
        <v>114</v>
      </c>
      <c r="T304" s="4" t="s">
        <v>142</v>
      </c>
      <c r="U304" s="11">
        <f>World_Cup_Matches[[#This Row],[Home Team Goals]]+World_Cup_Matches[[#This Row],[Away Team Goals]]</f>
        <v>3</v>
      </c>
      <c r="V304" s="11">
        <f>World_Cup_Matches[[#This Row],[Home Team Goals]]-World_Cup_Matches[[#This Row],[Away Team Goals]]</f>
        <v>1</v>
      </c>
      <c r="W304" s="4" t="str">
        <f>IF(World_Cup_Matches[[#This Row],[Home Team Goals]]&gt;World_Cup_Matches[[#This Row],[Away Team Goals]],World_Cup_Matches[[#This Row],[Home Team Name]],IF(World_Cup_Matches[[#This Row],[Away Team Goals]]&gt;World_Cup_Matches[[#This Row],[Home Team Goals]], World_Cup_Matches[[#This Row],[Away Team Name]],"Draw"))</f>
        <v>Netherlands</v>
      </c>
      <c r="X304" s="4" t="str">
        <f>IF(World_Cup_Matches[[#This Row],[Home Team Goals]]&gt;World_Cup_Matches[[#This Row],[Away Team Goals]],"Hime Win",IF(World_Cup_Matches[[#This Row],[Away Team Goals]]&gt;World_Cup_Matches[[#This Row],[Home Team Goals]],"Away win","Draw"))</f>
        <v>Hime Win</v>
      </c>
    </row>
    <row r="305" spans="1:24" x14ac:dyDescent="0.2">
      <c r="A305" s="19">
        <v>1978</v>
      </c>
      <c r="B305" s="15" t="s">
        <v>677</v>
      </c>
      <c r="C305" s="3" t="s">
        <v>609</v>
      </c>
      <c r="D305" s="3" t="s">
        <v>641</v>
      </c>
      <c r="E305" s="3" t="s">
        <v>642</v>
      </c>
      <c r="F305" s="3" t="s">
        <v>91</v>
      </c>
      <c r="G305" s="11">
        <v>3</v>
      </c>
      <c r="H305" s="11">
        <v>2</v>
      </c>
      <c r="I305" s="3" t="s">
        <v>285</v>
      </c>
      <c r="J305" s="3" t="s">
        <v>1842</v>
      </c>
      <c r="K305" s="3">
        <v>38318</v>
      </c>
      <c r="L305" s="11">
        <v>0</v>
      </c>
      <c r="M305" s="11">
        <v>1</v>
      </c>
      <c r="N305" s="3" t="s">
        <v>519</v>
      </c>
      <c r="O305" s="3" t="s">
        <v>637</v>
      </c>
      <c r="P305" s="3" t="s">
        <v>634</v>
      </c>
      <c r="Q305" s="11">
        <v>279</v>
      </c>
      <c r="R305" s="11">
        <v>2217</v>
      </c>
      <c r="S305" s="3" t="s">
        <v>96</v>
      </c>
      <c r="T305" s="4" t="s">
        <v>289</v>
      </c>
      <c r="U305" s="11">
        <f>World_Cup_Matches[[#This Row],[Home Team Goals]]+World_Cup_Matches[[#This Row],[Away Team Goals]]</f>
        <v>5</v>
      </c>
      <c r="V305" s="11">
        <f>World_Cup_Matches[[#This Row],[Home Team Goals]]-World_Cup_Matches[[#This Row],[Away Team Goals]]</f>
        <v>1</v>
      </c>
      <c r="W305" s="4" t="str">
        <f>IF(World_Cup_Matches[[#This Row],[Home Team Goals]]&gt;World_Cup_Matches[[#This Row],[Away Team Goals]],World_Cup_Matches[[#This Row],[Home Team Name]],IF(World_Cup_Matches[[#This Row],[Away Team Goals]]&gt;World_Cup_Matches[[#This Row],[Home Team Goals]], World_Cup_Matches[[#This Row],[Away Team Name]],"Draw"))</f>
        <v>Austria</v>
      </c>
      <c r="X305" s="4" t="str">
        <f>IF(World_Cup_Matches[[#This Row],[Home Team Goals]]&gt;World_Cup_Matches[[#This Row],[Away Team Goals]],"Hime Win",IF(World_Cup_Matches[[#This Row],[Away Team Goals]]&gt;World_Cup_Matches[[#This Row],[Home Team Goals]],"Away win","Draw"))</f>
        <v>Hime Win</v>
      </c>
    </row>
    <row r="306" spans="1:24" x14ac:dyDescent="0.2">
      <c r="A306" s="19">
        <v>1978</v>
      </c>
      <c r="B306" s="15" t="s">
        <v>678</v>
      </c>
      <c r="C306" s="3" t="s">
        <v>607</v>
      </c>
      <c r="D306" s="3" t="s">
        <v>646</v>
      </c>
      <c r="E306" s="3" t="s">
        <v>647</v>
      </c>
      <c r="F306" s="3" t="s">
        <v>42</v>
      </c>
      <c r="G306" s="11">
        <v>3</v>
      </c>
      <c r="H306" s="11">
        <v>1</v>
      </c>
      <c r="I306" s="3" t="s">
        <v>190</v>
      </c>
      <c r="J306" s="3" t="s">
        <v>1842</v>
      </c>
      <c r="K306" s="3">
        <v>39586</v>
      </c>
      <c r="L306" s="11">
        <v>1</v>
      </c>
      <c r="M306" s="11">
        <v>1</v>
      </c>
      <c r="N306" s="3" t="s">
        <v>624</v>
      </c>
      <c r="O306" s="3" t="s">
        <v>639</v>
      </c>
      <c r="P306" s="3" t="s">
        <v>578</v>
      </c>
      <c r="Q306" s="11">
        <v>279</v>
      </c>
      <c r="R306" s="11">
        <v>2252</v>
      </c>
      <c r="S306" s="3" t="s">
        <v>47</v>
      </c>
      <c r="T306" s="4" t="s">
        <v>194</v>
      </c>
      <c r="U306" s="11">
        <f>World_Cup_Matches[[#This Row],[Home Team Goals]]+World_Cup_Matches[[#This Row],[Away Team Goals]]</f>
        <v>4</v>
      </c>
      <c r="V306" s="11">
        <f>World_Cup_Matches[[#This Row],[Home Team Goals]]-World_Cup_Matches[[#This Row],[Away Team Goals]]</f>
        <v>2</v>
      </c>
      <c r="W306" s="4" t="str">
        <f>IF(World_Cup_Matches[[#This Row],[Home Team Goals]]&gt;World_Cup_Matches[[#This Row],[Away Team Goals]],World_Cup_Matches[[#This Row],[Home Team Name]],IF(World_Cup_Matches[[#This Row],[Away Team Goals]]&gt;World_Cup_Matches[[#This Row],[Home Team Goals]], World_Cup_Matches[[#This Row],[Away Team Name]],"Draw"))</f>
        <v>Brazil</v>
      </c>
      <c r="X306" s="4" t="str">
        <f>IF(World_Cup_Matches[[#This Row],[Home Team Goals]]&gt;World_Cup_Matches[[#This Row],[Away Team Goals]],"Hime Win",IF(World_Cup_Matches[[#This Row],[Away Team Goals]]&gt;World_Cup_Matches[[#This Row],[Home Team Goals]],"Away win","Draw"))</f>
        <v>Hime Win</v>
      </c>
    </row>
    <row r="307" spans="1:24" x14ac:dyDescent="0.2">
      <c r="A307" s="19">
        <v>1978</v>
      </c>
      <c r="B307" s="15" t="s">
        <v>679</v>
      </c>
      <c r="C307" s="3" t="s">
        <v>607</v>
      </c>
      <c r="D307" s="3" t="s">
        <v>626</v>
      </c>
      <c r="E307" s="3" t="s">
        <v>627</v>
      </c>
      <c r="F307" s="3" t="s">
        <v>56</v>
      </c>
      <c r="G307" s="11">
        <v>6</v>
      </c>
      <c r="H307" s="11">
        <v>0</v>
      </c>
      <c r="I307" s="3" t="s">
        <v>51</v>
      </c>
      <c r="J307" s="3" t="s">
        <v>1842</v>
      </c>
      <c r="K307" s="3">
        <v>37315</v>
      </c>
      <c r="L307" s="11">
        <v>2</v>
      </c>
      <c r="M307" s="11">
        <v>0</v>
      </c>
      <c r="N307" s="3" t="s">
        <v>649</v>
      </c>
      <c r="O307" s="3" t="s">
        <v>600</v>
      </c>
      <c r="P307" s="3" t="s">
        <v>631</v>
      </c>
      <c r="Q307" s="11">
        <v>279</v>
      </c>
      <c r="R307" s="11">
        <v>2201</v>
      </c>
      <c r="S307" s="3" t="s">
        <v>59</v>
      </c>
      <c r="T307" s="4" t="s">
        <v>54</v>
      </c>
      <c r="U307" s="11">
        <f>World_Cup_Matches[[#This Row],[Home Team Goals]]+World_Cup_Matches[[#This Row],[Away Team Goals]]</f>
        <v>6</v>
      </c>
      <c r="V307" s="11">
        <f>World_Cup_Matches[[#This Row],[Home Team Goals]]-World_Cup_Matches[[#This Row],[Away Team Goals]]</f>
        <v>6</v>
      </c>
      <c r="W307" s="4" t="str">
        <f>IF(World_Cup_Matches[[#This Row],[Home Team Goals]]&gt;World_Cup_Matches[[#This Row],[Away Team Goals]],World_Cup_Matches[[#This Row],[Home Team Name]],IF(World_Cup_Matches[[#This Row],[Away Team Goals]]&gt;World_Cup_Matches[[#This Row],[Home Team Goals]], World_Cup_Matches[[#This Row],[Away Team Name]],"Draw"))</f>
        <v>Argentina</v>
      </c>
      <c r="X307" s="4" t="str">
        <f>IF(World_Cup_Matches[[#This Row],[Home Team Goals]]&gt;World_Cup_Matches[[#This Row],[Away Team Goals]],"Hime Win",IF(World_Cup_Matches[[#This Row],[Away Team Goals]]&gt;World_Cup_Matches[[#This Row],[Home Team Goals]],"Away win","Draw"))</f>
        <v>Hime Win</v>
      </c>
    </row>
    <row r="308" spans="1:24" x14ac:dyDescent="0.2">
      <c r="A308" s="19">
        <v>1978</v>
      </c>
      <c r="B308" s="15" t="s">
        <v>680</v>
      </c>
      <c r="C308" s="3" t="s">
        <v>155</v>
      </c>
      <c r="D308" s="3" t="s">
        <v>617</v>
      </c>
      <c r="E308" s="3" t="s">
        <v>618</v>
      </c>
      <c r="F308" s="3" t="s">
        <v>42</v>
      </c>
      <c r="G308" s="11">
        <v>2</v>
      </c>
      <c r="H308" s="11">
        <v>1</v>
      </c>
      <c r="I308" s="3" t="s">
        <v>138</v>
      </c>
      <c r="J308" s="3" t="s">
        <v>1842</v>
      </c>
      <c r="K308" s="3">
        <v>69659</v>
      </c>
      <c r="L308" s="11">
        <v>0</v>
      </c>
      <c r="M308" s="11">
        <v>1</v>
      </c>
      <c r="N308" s="3" t="s">
        <v>519</v>
      </c>
      <c r="O308" s="3" t="s">
        <v>578</v>
      </c>
      <c r="P308" s="3" t="s">
        <v>572</v>
      </c>
      <c r="Q308" s="11">
        <v>280</v>
      </c>
      <c r="R308" s="11">
        <v>2247</v>
      </c>
      <c r="S308" s="3" t="s">
        <v>47</v>
      </c>
      <c r="T308" s="4" t="s">
        <v>142</v>
      </c>
      <c r="U308" s="11">
        <f>World_Cup_Matches[[#This Row],[Home Team Goals]]+World_Cup_Matches[[#This Row],[Away Team Goals]]</f>
        <v>3</v>
      </c>
      <c r="V308" s="11">
        <f>World_Cup_Matches[[#This Row],[Home Team Goals]]-World_Cup_Matches[[#This Row],[Away Team Goals]]</f>
        <v>1</v>
      </c>
      <c r="W308" s="4" t="str">
        <f>IF(World_Cup_Matches[[#This Row],[Home Team Goals]]&gt;World_Cup_Matches[[#This Row],[Away Team Goals]],World_Cup_Matches[[#This Row],[Home Team Name]],IF(World_Cup_Matches[[#This Row],[Away Team Goals]]&gt;World_Cup_Matches[[#This Row],[Home Team Goals]], World_Cup_Matches[[#This Row],[Away Team Name]],"Draw"))</f>
        <v>Brazil</v>
      </c>
      <c r="X308" s="4" t="str">
        <f>IF(World_Cup_Matches[[#This Row],[Home Team Goals]]&gt;World_Cup_Matches[[#This Row],[Away Team Goals]],"Hime Win",IF(World_Cup_Matches[[#This Row],[Away Team Goals]]&gt;World_Cup_Matches[[#This Row],[Home Team Goals]],"Away win","Draw"))</f>
        <v>Hime Win</v>
      </c>
    </row>
    <row r="309" spans="1:24" x14ac:dyDescent="0.2">
      <c r="A309" s="19">
        <v>1978</v>
      </c>
      <c r="B309" s="15" t="s">
        <v>681</v>
      </c>
      <c r="C309" s="3" t="s">
        <v>86</v>
      </c>
      <c r="D309" s="3" t="s">
        <v>617</v>
      </c>
      <c r="E309" s="3" t="s">
        <v>618</v>
      </c>
      <c r="F309" s="3" t="s">
        <v>56</v>
      </c>
      <c r="G309" s="11">
        <v>3</v>
      </c>
      <c r="H309" s="11">
        <v>1</v>
      </c>
      <c r="I309" s="3" t="s">
        <v>109</v>
      </c>
      <c r="J309" s="3" t="s">
        <v>682</v>
      </c>
      <c r="K309" s="3">
        <v>71483</v>
      </c>
      <c r="L309" s="11">
        <v>0</v>
      </c>
      <c r="M309" s="11">
        <v>0</v>
      </c>
      <c r="N309" s="3" t="s">
        <v>631</v>
      </c>
      <c r="O309" s="3" t="s">
        <v>518</v>
      </c>
      <c r="P309" s="3" t="s">
        <v>594</v>
      </c>
      <c r="Q309" s="11">
        <v>639</v>
      </c>
      <c r="R309" s="11">
        <v>2198</v>
      </c>
      <c r="S309" s="3" t="s">
        <v>59</v>
      </c>
      <c r="T309" s="4" t="s">
        <v>114</v>
      </c>
      <c r="U309" s="11">
        <f>World_Cup_Matches[[#This Row],[Home Team Goals]]+World_Cup_Matches[[#This Row],[Away Team Goals]]</f>
        <v>4</v>
      </c>
      <c r="V309" s="11">
        <f>World_Cup_Matches[[#This Row],[Home Team Goals]]-World_Cup_Matches[[#This Row],[Away Team Goals]]</f>
        <v>2</v>
      </c>
      <c r="W309" s="4" t="str">
        <f>IF(World_Cup_Matches[[#This Row],[Home Team Goals]]&gt;World_Cup_Matches[[#This Row],[Away Team Goals]],World_Cup_Matches[[#This Row],[Home Team Name]],IF(World_Cup_Matches[[#This Row],[Away Team Goals]]&gt;World_Cup_Matches[[#This Row],[Home Team Goals]], World_Cup_Matches[[#This Row],[Away Team Name]],"Draw"))</f>
        <v>Argentina</v>
      </c>
      <c r="X309" s="4" t="str">
        <f>IF(World_Cup_Matches[[#This Row],[Home Team Goals]]&gt;World_Cup_Matches[[#This Row],[Away Team Goals]],"Hime Win",IF(World_Cup_Matches[[#This Row],[Away Team Goals]]&gt;World_Cup_Matches[[#This Row],[Home Team Goals]],"Away win","Draw"))</f>
        <v>Hime Win</v>
      </c>
    </row>
    <row r="310" spans="1:24" x14ac:dyDescent="0.2">
      <c r="A310" s="19">
        <v>1982</v>
      </c>
      <c r="B310" s="15" t="s">
        <v>683</v>
      </c>
      <c r="C310" s="3" t="s">
        <v>49</v>
      </c>
      <c r="D310" s="3" t="s">
        <v>684</v>
      </c>
      <c r="E310" s="3" t="s">
        <v>685</v>
      </c>
      <c r="F310" s="3" t="s">
        <v>56</v>
      </c>
      <c r="G310" s="11">
        <v>0</v>
      </c>
      <c r="H310" s="11">
        <v>1</v>
      </c>
      <c r="I310" s="3" t="s">
        <v>34</v>
      </c>
      <c r="J310" s="3" t="s">
        <v>1842</v>
      </c>
      <c r="K310" s="3">
        <v>95000</v>
      </c>
      <c r="L310" s="11">
        <v>0</v>
      </c>
      <c r="M310" s="11">
        <v>0</v>
      </c>
      <c r="N310" s="3" t="s">
        <v>686</v>
      </c>
      <c r="O310" s="3" t="s">
        <v>572</v>
      </c>
      <c r="P310" s="3" t="s">
        <v>637</v>
      </c>
      <c r="Q310" s="11">
        <v>293</v>
      </c>
      <c r="R310" s="11">
        <v>749</v>
      </c>
      <c r="S310" s="3" t="s">
        <v>59</v>
      </c>
      <c r="T310" s="4" t="s">
        <v>38</v>
      </c>
      <c r="U310" s="11">
        <f>World_Cup_Matches[[#This Row],[Home Team Goals]]+World_Cup_Matches[[#This Row],[Away Team Goals]]</f>
        <v>1</v>
      </c>
      <c r="V310" s="11">
        <f>World_Cup_Matches[[#This Row],[Home Team Goals]]-World_Cup_Matches[[#This Row],[Away Team Goals]]</f>
        <v>-1</v>
      </c>
      <c r="W310" s="4" t="str">
        <f>IF(World_Cup_Matches[[#This Row],[Home Team Goals]]&gt;World_Cup_Matches[[#This Row],[Away Team Goals]],World_Cup_Matches[[#This Row],[Home Team Name]],IF(World_Cup_Matches[[#This Row],[Away Team Goals]]&gt;World_Cup_Matches[[#This Row],[Home Team Goals]], World_Cup_Matches[[#This Row],[Away Team Name]],"Draw"))</f>
        <v>Belgium</v>
      </c>
      <c r="X310" s="4" t="str">
        <f>IF(World_Cup_Matches[[#This Row],[Home Team Goals]]&gt;World_Cup_Matches[[#This Row],[Away Team Goals]],"Hime Win",IF(World_Cup_Matches[[#This Row],[Away Team Goals]]&gt;World_Cup_Matches[[#This Row],[Home Team Goals]],"Away win","Draw"))</f>
        <v>Away win</v>
      </c>
    </row>
    <row r="311" spans="1:24" x14ac:dyDescent="0.2">
      <c r="A311" s="19">
        <v>1982</v>
      </c>
      <c r="B311" s="15" t="s">
        <v>687</v>
      </c>
      <c r="C311" s="3" t="s">
        <v>21</v>
      </c>
      <c r="D311" s="3" t="s">
        <v>688</v>
      </c>
      <c r="E311" s="3" t="s">
        <v>689</v>
      </c>
      <c r="F311" s="3" t="s">
        <v>138</v>
      </c>
      <c r="G311" s="11">
        <v>0</v>
      </c>
      <c r="H311" s="11">
        <v>0</v>
      </c>
      <c r="I311" s="3" t="s">
        <v>190</v>
      </c>
      <c r="J311" s="3" t="s">
        <v>1842</v>
      </c>
      <c r="K311" s="3">
        <v>33000</v>
      </c>
      <c r="L311" s="11">
        <v>0</v>
      </c>
      <c r="M311" s="11">
        <v>0</v>
      </c>
      <c r="N311" s="3" t="s">
        <v>690</v>
      </c>
      <c r="O311" s="3" t="s">
        <v>663</v>
      </c>
      <c r="P311" s="3" t="s">
        <v>574</v>
      </c>
      <c r="Q311" s="11">
        <v>293</v>
      </c>
      <c r="R311" s="11">
        <v>995</v>
      </c>
      <c r="S311" s="3" t="s">
        <v>142</v>
      </c>
      <c r="T311" s="4" t="s">
        <v>194</v>
      </c>
      <c r="U311" s="11">
        <f>World_Cup_Matches[[#This Row],[Home Team Goals]]+World_Cup_Matches[[#This Row],[Away Team Goals]]</f>
        <v>0</v>
      </c>
      <c r="V311" s="11">
        <f>World_Cup_Matches[[#This Row],[Home Team Goals]]-World_Cup_Matches[[#This Row],[Away Team Goals]]</f>
        <v>0</v>
      </c>
      <c r="W311" s="4" t="str">
        <f>IF(World_Cup_Matches[[#This Row],[Home Team Goals]]&gt;World_Cup_Matches[[#This Row],[Away Team Goals]],World_Cup_Matches[[#This Row],[Home Team Name]],IF(World_Cup_Matches[[#This Row],[Away Team Goals]]&gt;World_Cup_Matches[[#This Row],[Home Team Goals]], World_Cup_Matches[[#This Row],[Away Team Name]],"Draw"))</f>
        <v>Draw</v>
      </c>
      <c r="X311" s="4" t="str">
        <f>IF(World_Cup_Matches[[#This Row],[Home Team Goals]]&gt;World_Cup_Matches[[#This Row],[Away Team Goals]],"Hime Win",IF(World_Cup_Matches[[#This Row],[Away Team Goals]]&gt;World_Cup_Matches[[#This Row],[Home Team Goals]],"Away win","Draw"))</f>
        <v>Draw</v>
      </c>
    </row>
    <row r="312" spans="1:24" x14ac:dyDescent="0.2">
      <c r="A312" s="19">
        <v>1982</v>
      </c>
      <c r="B312" s="15" t="s">
        <v>691</v>
      </c>
      <c r="C312" s="3" t="s">
        <v>262</v>
      </c>
      <c r="D312" s="3" t="s">
        <v>692</v>
      </c>
      <c r="E312" s="3" t="s">
        <v>693</v>
      </c>
      <c r="F312" s="3" t="s">
        <v>42</v>
      </c>
      <c r="G312" s="11">
        <v>2</v>
      </c>
      <c r="H312" s="11">
        <v>1</v>
      </c>
      <c r="I312" s="3" t="s">
        <v>332</v>
      </c>
      <c r="J312" s="3" t="s">
        <v>1842</v>
      </c>
      <c r="K312" s="3">
        <v>68000</v>
      </c>
      <c r="L312" s="11">
        <v>0</v>
      </c>
      <c r="M312" s="11">
        <v>1</v>
      </c>
      <c r="N312" s="3" t="s">
        <v>694</v>
      </c>
      <c r="O312" s="3" t="s">
        <v>695</v>
      </c>
      <c r="P312" s="3" t="s">
        <v>696</v>
      </c>
      <c r="Q312" s="11">
        <v>293</v>
      </c>
      <c r="R312" s="11">
        <v>791</v>
      </c>
      <c r="S312" s="3" t="s">
        <v>47</v>
      </c>
      <c r="T312" s="4" t="s">
        <v>335</v>
      </c>
      <c r="U312" s="11">
        <f>World_Cup_Matches[[#This Row],[Home Team Goals]]+World_Cup_Matches[[#This Row],[Away Team Goals]]</f>
        <v>3</v>
      </c>
      <c r="V312" s="11">
        <f>World_Cup_Matches[[#This Row],[Home Team Goals]]-World_Cup_Matches[[#This Row],[Away Team Goals]]</f>
        <v>1</v>
      </c>
      <c r="W312" s="4" t="str">
        <f>IF(World_Cup_Matches[[#This Row],[Home Team Goals]]&gt;World_Cup_Matches[[#This Row],[Away Team Goals]],World_Cup_Matches[[#This Row],[Home Team Name]],IF(World_Cup_Matches[[#This Row],[Away Team Goals]]&gt;World_Cup_Matches[[#This Row],[Home Team Goals]], World_Cup_Matches[[#This Row],[Away Team Name]],"Draw"))</f>
        <v>Brazil</v>
      </c>
      <c r="X312" s="4" t="str">
        <f>IF(World_Cup_Matches[[#This Row],[Home Team Goals]]&gt;World_Cup_Matches[[#This Row],[Away Team Goals]],"Hime Win",IF(World_Cup_Matches[[#This Row],[Away Team Goals]]&gt;World_Cup_Matches[[#This Row],[Home Team Goals]],"Away win","Draw"))</f>
        <v>Hime Win</v>
      </c>
    </row>
    <row r="313" spans="1:24" x14ac:dyDescent="0.2">
      <c r="A313" s="19">
        <v>1982</v>
      </c>
      <c r="B313" s="15" t="s">
        <v>697</v>
      </c>
      <c r="C313" s="3" t="s">
        <v>21</v>
      </c>
      <c r="D313" s="3" t="s">
        <v>698</v>
      </c>
      <c r="E313" s="3" t="s">
        <v>699</v>
      </c>
      <c r="F313" s="3" t="s">
        <v>51</v>
      </c>
      <c r="G313" s="11">
        <v>0</v>
      </c>
      <c r="H313" s="11">
        <v>0</v>
      </c>
      <c r="I313" s="3" t="s">
        <v>700</v>
      </c>
      <c r="J313" s="3" t="s">
        <v>1842</v>
      </c>
      <c r="K313" s="3">
        <v>11000</v>
      </c>
      <c r="L313" s="11">
        <v>0</v>
      </c>
      <c r="M313" s="11">
        <v>0</v>
      </c>
      <c r="N313" s="3" t="s">
        <v>701</v>
      </c>
      <c r="O313" s="3" t="s">
        <v>574</v>
      </c>
      <c r="P313" s="3" t="s">
        <v>663</v>
      </c>
      <c r="Q313" s="11">
        <v>293</v>
      </c>
      <c r="R313" s="11">
        <v>833</v>
      </c>
      <c r="S313" s="3" t="s">
        <v>54</v>
      </c>
      <c r="T313" s="4" t="s">
        <v>702</v>
      </c>
      <c r="U313" s="11">
        <f>World_Cup_Matches[[#This Row],[Home Team Goals]]+World_Cup_Matches[[#This Row],[Away Team Goals]]</f>
        <v>0</v>
      </c>
      <c r="V313" s="11">
        <f>World_Cup_Matches[[#This Row],[Home Team Goals]]-World_Cup_Matches[[#This Row],[Away Team Goals]]</f>
        <v>0</v>
      </c>
      <c r="W313" s="4" t="str">
        <f>IF(World_Cup_Matches[[#This Row],[Home Team Goals]]&gt;World_Cup_Matches[[#This Row],[Away Team Goals]],World_Cup_Matches[[#This Row],[Home Team Name]],IF(World_Cup_Matches[[#This Row],[Away Team Goals]]&gt;World_Cup_Matches[[#This Row],[Home Team Goals]], World_Cup_Matches[[#This Row],[Away Team Name]],"Draw"))</f>
        <v>Draw</v>
      </c>
      <c r="X313" s="4" t="str">
        <f>IF(World_Cup_Matches[[#This Row],[Home Team Goals]]&gt;World_Cup_Matches[[#This Row],[Away Team Goals]],"Hime Win",IF(World_Cup_Matches[[#This Row],[Away Team Goals]]&gt;World_Cup_Matches[[#This Row],[Home Team Goals]],"Away win","Draw"))</f>
        <v>Draw</v>
      </c>
    </row>
    <row r="314" spans="1:24" x14ac:dyDescent="0.2">
      <c r="A314" s="19">
        <v>1982</v>
      </c>
      <c r="B314" s="15" t="s">
        <v>703</v>
      </c>
      <c r="C314" s="3" t="s">
        <v>49</v>
      </c>
      <c r="D314" s="3" t="s">
        <v>704</v>
      </c>
      <c r="E314" s="3" t="s">
        <v>705</v>
      </c>
      <c r="F314" s="3" t="s">
        <v>99</v>
      </c>
      <c r="G314" s="11">
        <v>10</v>
      </c>
      <c r="H314" s="11">
        <v>1</v>
      </c>
      <c r="I314" s="3" t="s">
        <v>520</v>
      </c>
      <c r="J314" s="3" t="s">
        <v>1842</v>
      </c>
      <c r="K314" s="3">
        <v>23000</v>
      </c>
      <c r="L314" s="11">
        <v>3</v>
      </c>
      <c r="M314" s="11">
        <v>0</v>
      </c>
      <c r="N314" s="3" t="s">
        <v>706</v>
      </c>
      <c r="O314" s="3" t="s">
        <v>658</v>
      </c>
      <c r="P314" s="3" t="s">
        <v>707</v>
      </c>
      <c r="Q314" s="11">
        <v>293</v>
      </c>
      <c r="R314" s="11">
        <v>896</v>
      </c>
      <c r="S314" s="3" t="s">
        <v>104</v>
      </c>
      <c r="T314" s="4" t="s">
        <v>523</v>
      </c>
      <c r="U314" s="11">
        <f>World_Cup_Matches[[#This Row],[Home Team Goals]]+World_Cup_Matches[[#This Row],[Away Team Goals]]</f>
        <v>11</v>
      </c>
      <c r="V314" s="11">
        <f>World_Cup_Matches[[#This Row],[Home Team Goals]]-World_Cup_Matches[[#This Row],[Away Team Goals]]</f>
        <v>9</v>
      </c>
      <c r="W314" s="4" t="str">
        <f>IF(World_Cup_Matches[[#This Row],[Home Team Goals]]&gt;World_Cup_Matches[[#This Row],[Away Team Goals]],World_Cup_Matches[[#This Row],[Home Team Name]],IF(World_Cup_Matches[[#This Row],[Away Team Goals]]&gt;World_Cup_Matches[[#This Row],[Home Team Goals]], World_Cup_Matches[[#This Row],[Away Team Name]],"Draw"))</f>
        <v>Hungary</v>
      </c>
      <c r="X314" s="4" t="str">
        <f>IF(World_Cup_Matches[[#This Row],[Home Team Goals]]&gt;World_Cup_Matches[[#This Row],[Away Team Goals]],"Hime Win",IF(World_Cup_Matches[[#This Row],[Away Team Goals]]&gt;World_Cup_Matches[[#This Row],[Home Team Goals]],"Away win","Draw"))</f>
        <v>Hime Win</v>
      </c>
    </row>
    <row r="315" spans="1:24" x14ac:dyDescent="0.2">
      <c r="A315" s="19">
        <v>1982</v>
      </c>
      <c r="B315" s="15" t="s">
        <v>703</v>
      </c>
      <c r="C315" s="3" t="s">
        <v>262</v>
      </c>
      <c r="D315" s="3" t="s">
        <v>708</v>
      </c>
      <c r="E315" s="3" t="s">
        <v>709</v>
      </c>
      <c r="F315" s="3" t="s">
        <v>272</v>
      </c>
      <c r="G315" s="11">
        <v>5</v>
      </c>
      <c r="H315" s="11">
        <v>2</v>
      </c>
      <c r="I315" s="3" t="s">
        <v>710</v>
      </c>
      <c r="J315" s="3" t="s">
        <v>1842</v>
      </c>
      <c r="K315" s="3">
        <v>36000</v>
      </c>
      <c r="L315" s="11">
        <v>3</v>
      </c>
      <c r="M315" s="11">
        <v>0</v>
      </c>
      <c r="N315" s="3" t="s">
        <v>711</v>
      </c>
      <c r="O315" s="3" t="s">
        <v>712</v>
      </c>
      <c r="P315" s="3" t="s">
        <v>713</v>
      </c>
      <c r="Q315" s="11">
        <v>293</v>
      </c>
      <c r="R315" s="11">
        <v>1051</v>
      </c>
      <c r="S315" s="3" t="s">
        <v>275</v>
      </c>
      <c r="T315" s="4" t="s">
        <v>714</v>
      </c>
      <c r="U315" s="11">
        <f>World_Cup_Matches[[#This Row],[Home Team Goals]]+World_Cup_Matches[[#This Row],[Away Team Goals]]</f>
        <v>7</v>
      </c>
      <c r="V315" s="11">
        <f>World_Cup_Matches[[#This Row],[Home Team Goals]]-World_Cup_Matches[[#This Row],[Away Team Goals]]</f>
        <v>3</v>
      </c>
      <c r="W315" s="4" t="str">
        <f>IF(World_Cup_Matches[[#This Row],[Home Team Goals]]&gt;World_Cup_Matches[[#This Row],[Away Team Goals]],World_Cup_Matches[[#This Row],[Home Team Name]],IF(World_Cup_Matches[[#This Row],[Away Team Goals]]&gt;World_Cup_Matches[[#This Row],[Home Team Goals]], World_Cup_Matches[[#This Row],[Away Team Name]],"Draw"))</f>
        <v>Scotland</v>
      </c>
      <c r="X315" s="4" t="str">
        <f>IF(World_Cup_Matches[[#This Row],[Home Team Goals]]&gt;World_Cup_Matches[[#This Row],[Away Team Goals]],"Hime Win",IF(World_Cup_Matches[[#This Row],[Away Team Goals]]&gt;World_Cup_Matches[[#This Row],[Home Team Goals]],"Away win","Draw"))</f>
        <v>Hime Win</v>
      </c>
    </row>
    <row r="316" spans="1:24" x14ac:dyDescent="0.2">
      <c r="A316" s="19">
        <v>1982</v>
      </c>
      <c r="B316" s="15" t="s">
        <v>715</v>
      </c>
      <c r="C316" s="3" t="s">
        <v>40</v>
      </c>
      <c r="D316" s="3" t="s">
        <v>716</v>
      </c>
      <c r="E316" s="3" t="s">
        <v>717</v>
      </c>
      <c r="F316" s="3" t="s">
        <v>285</v>
      </c>
      <c r="G316" s="11">
        <v>1</v>
      </c>
      <c r="H316" s="11">
        <v>2</v>
      </c>
      <c r="I316" s="3" t="s">
        <v>718</v>
      </c>
      <c r="J316" s="3" t="s">
        <v>1842</v>
      </c>
      <c r="K316" s="3">
        <v>42000</v>
      </c>
      <c r="L316" s="11">
        <v>0</v>
      </c>
      <c r="M316" s="11">
        <v>0</v>
      </c>
      <c r="N316" s="3" t="s">
        <v>719</v>
      </c>
      <c r="O316" s="3" t="s">
        <v>720</v>
      </c>
      <c r="P316" s="3" t="s">
        <v>721</v>
      </c>
      <c r="Q316" s="11">
        <v>293</v>
      </c>
      <c r="R316" s="11">
        <v>741</v>
      </c>
      <c r="S316" s="3" t="s">
        <v>289</v>
      </c>
      <c r="T316" s="4" t="s">
        <v>722</v>
      </c>
      <c r="U316" s="11">
        <f>World_Cup_Matches[[#This Row],[Home Team Goals]]+World_Cup_Matches[[#This Row],[Away Team Goals]]</f>
        <v>3</v>
      </c>
      <c r="V316" s="11">
        <f>World_Cup_Matches[[#This Row],[Home Team Goals]]-World_Cup_Matches[[#This Row],[Away Team Goals]]</f>
        <v>-1</v>
      </c>
      <c r="W316" s="4" t="str">
        <f>IF(World_Cup_Matches[[#This Row],[Home Team Goals]]&gt;World_Cup_Matches[[#This Row],[Away Team Goals]],World_Cup_Matches[[#This Row],[Home Team Name]],IF(World_Cup_Matches[[#This Row],[Away Team Goals]]&gt;World_Cup_Matches[[#This Row],[Home Team Goals]], World_Cup_Matches[[#This Row],[Away Team Name]],"Draw"))</f>
        <v>Algeria</v>
      </c>
      <c r="X316" s="4" t="str">
        <f>IF(World_Cup_Matches[[#This Row],[Home Team Goals]]&gt;World_Cup_Matches[[#This Row],[Away Team Goals]],"Hime Win",IF(World_Cup_Matches[[#This Row],[Away Team Goals]]&gt;World_Cup_Matches[[#This Row],[Home Team Goals]],"Away win","Draw"))</f>
        <v>Away win</v>
      </c>
    </row>
    <row r="317" spans="1:24" x14ac:dyDescent="0.2">
      <c r="A317" s="19">
        <v>1982</v>
      </c>
      <c r="B317" s="15" t="s">
        <v>715</v>
      </c>
      <c r="C317" s="3" t="s">
        <v>31</v>
      </c>
      <c r="D317" s="3" t="s">
        <v>723</v>
      </c>
      <c r="E317" s="3" t="s">
        <v>724</v>
      </c>
      <c r="F317" s="3" t="s">
        <v>223</v>
      </c>
      <c r="G317" s="11">
        <v>3</v>
      </c>
      <c r="H317" s="11">
        <v>1</v>
      </c>
      <c r="I317" s="3" t="s">
        <v>24</v>
      </c>
      <c r="J317" s="3" t="s">
        <v>1842</v>
      </c>
      <c r="K317" s="3">
        <v>44172</v>
      </c>
      <c r="L317" s="11">
        <v>1</v>
      </c>
      <c r="M317" s="11">
        <v>1</v>
      </c>
      <c r="N317" s="3" t="s">
        <v>634</v>
      </c>
      <c r="O317" s="3" t="s">
        <v>725</v>
      </c>
      <c r="P317" s="3" t="s">
        <v>662</v>
      </c>
      <c r="Q317" s="11">
        <v>293</v>
      </c>
      <c r="R317" s="11">
        <v>878</v>
      </c>
      <c r="S317" s="3" t="s">
        <v>227</v>
      </c>
      <c r="T317" s="4" t="s">
        <v>29</v>
      </c>
      <c r="U317" s="11">
        <f>World_Cup_Matches[[#This Row],[Home Team Goals]]+World_Cup_Matches[[#This Row],[Away Team Goals]]</f>
        <v>4</v>
      </c>
      <c r="V317" s="11">
        <f>World_Cup_Matches[[#This Row],[Home Team Goals]]-World_Cup_Matches[[#This Row],[Away Team Goals]]</f>
        <v>2</v>
      </c>
      <c r="W317" s="4" t="str">
        <f>IF(World_Cup_Matches[[#This Row],[Home Team Goals]]&gt;World_Cup_Matches[[#This Row],[Away Team Goals]],World_Cup_Matches[[#This Row],[Home Team Name]],IF(World_Cup_Matches[[#This Row],[Away Team Goals]]&gt;World_Cup_Matches[[#This Row],[Home Team Goals]], World_Cup_Matches[[#This Row],[Away Team Name]],"Draw"))</f>
        <v>England</v>
      </c>
      <c r="X317" s="4" t="str">
        <f>IF(World_Cup_Matches[[#This Row],[Home Team Goals]]&gt;World_Cup_Matches[[#This Row],[Away Team Goals]],"Hime Win",IF(World_Cup_Matches[[#This Row],[Away Team Goals]]&gt;World_Cup_Matches[[#This Row],[Home Team Goals]],"Away win","Draw"))</f>
        <v>Hime Win</v>
      </c>
    </row>
    <row r="318" spans="1:24" x14ac:dyDescent="0.2">
      <c r="A318" s="19">
        <v>1982</v>
      </c>
      <c r="B318" s="15" t="s">
        <v>726</v>
      </c>
      <c r="C318" s="3" t="s">
        <v>727</v>
      </c>
      <c r="D318" s="3" t="s">
        <v>728</v>
      </c>
      <c r="E318" s="3" t="s">
        <v>729</v>
      </c>
      <c r="F318" s="3" t="s">
        <v>131</v>
      </c>
      <c r="G318" s="11">
        <v>1</v>
      </c>
      <c r="H318" s="11">
        <v>1</v>
      </c>
      <c r="I318" s="3" t="s">
        <v>730</v>
      </c>
      <c r="J318" s="3" t="s">
        <v>1842</v>
      </c>
      <c r="K318" s="3">
        <v>49562</v>
      </c>
      <c r="L318" s="11">
        <v>0</v>
      </c>
      <c r="M318" s="11">
        <v>1</v>
      </c>
      <c r="N318" s="3" t="s">
        <v>619</v>
      </c>
      <c r="O318" s="3" t="s">
        <v>731</v>
      </c>
      <c r="P318" s="3" t="s">
        <v>732</v>
      </c>
      <c r="Q318" s="11">
        <v>293</v>
      </c>
      <c r="R318" s="11">
        <v>901</v>
      </c>
      <c r="S318" s="3" t="s">
        <v>135</v>
      </c>
      <c r="T318" s="4" t="s">
        <v>733</v>
      </c>
      <c r="U318" s="11">
        <f>World_Cup_Matches[[#This Row],[Home Team Goals]]+World_Cup_Matches[[#This Row],[Away Team Goals]]</f>
        <v>2</v>
      </c>
      <c r="V318" s="11">
        <f>World_Cup_Matches[[#This Row],[Home Team Goals]]-World_Cup_Matches[[#This Row],[Away Team Goals]]</f>
        <v>0</v>
      </c>
      <c r="W318" s="4" t="str">
        <f>IF(World_Cup_Matches[[#This Row],[Home Team Goals]]&gt;World_Cup_Matches[[#This Row],[Away Team Goals]],World_Cup_Matches[[#This Row],[Home Team Name]],IF(World_Cup_Matches[[#This Row],[Away Team Goals]]&gt;World_Cup_Matches[[#This Row],[Home Team Goals]], World_Cup_Matches[[#This Row],[Away Team Name]],"Draw"))</f>
        <v>Draw</v>
      </c>
      <c r="X318" s="4" t="str">
        <f>IF(World_Cup_Matches[[#This Row],[Home Team Goals]]&gt;World_Cup_Matches[[#This Row],[Away Team Goals]],"Hime Win",IF(World_Cup_Matches[[#This Row],[Away Team Goals]]&gt;World_Cup_Matches[[#This Row],[Home Team Goals]],"Away win","Draw"))</f>
        <v>Draw</v>
      </c>
    </row>
    <row r="319" spans="1:24" x14ac:dyDescent="0.2">
      <c r="A319" s="19">
        <v>1982</v>
      </c>
      <c r="B319" s="15" t="s">
        <v>734</v>
      </c>
      <c r="C319" s="3" t="s">
        <v>40</v>
      </c>
      <c r="D319" s="3" t="s">
        <v>735</v>
      </c>
      <c r="E319" s="3" t="s">
        <v>736</v>
      </c>
      <c r="F319" s="3" t="s">
        <v>61</v>
      </c>
      <c r="G319" s="11">
        <v>0</v>
      </c>
      <c r="H319" s="11">
        <v>1</v>
      </c>
      <c r="I319" s="3" t="s">
        <v>91</v>
      </c>
      <c r="J319" s="3" t="s">
        <v>1842</v>
      </c>
      <c r="K319" s="3">
        <v>22500</v>
      </c>
      <c r="L319" s="11">
        <v>0</v>
      </c>
      <c r="M319" s="11">
        <v>1</v>
      </c>
      <c r="N319" s="3" t="s">
        <v>737</v>
      </c>
      <c r="O319" s="3" t="s">
        <v>721</v>
      </c>
      <c r="P319" s="3" t="s">
        <v>720</v>
      </c>
      <c r="Q319" s="11">
        <v>293</v>
      </c>
      <c r="R319" s="11">
        <v>764</v>
      </c>
      <c r="S319" s="3" t="s">
        <v>63</v>
      </c>
      <c r="T319" s="4" t="s">
        <v>96</v>
      </c>
      <c r="U319" s="11">
        <f>World_Cup_Matches[[#This Row],[Home Team Goals]]+World_Cup_Matches[[#This Row],[Away Team Goals]]</f>
        <v>1</v>
      </c>
      <c r="V319" s="11">
        <f>World_Cup_Matches[[#This Row],[Home Team Goals]]-World_Cup_Matches[[#This Row],[Away Team Goals]]</f>
        <v>-1</v>
      </c>
      <c r="W319" s="4" t="str">
        <f>IF(World_Cup_Matches[[#This Row],[Home Team Goals]]&gt;World_Cup_Matches[[#This Row],[Away Team Goals]],World_Cup_Matches[[#This Row],[Home Team Name]],IF(World_Cup_Matches[[#This Row],[Away Team Goals]]&gt;World_Cup_Matches[[#This Row],[Home Team Goals]], World_Cup_Matches[[#This Row],[Away Team Name]],"Draw"))</f>
        <v>Austria</v>
      </c>
      <c r="X319" s="4" t="str">
        <f>IF(World_Cup_Matches[[#This Row],[Home Team Goals]]&gt;World_Cup_Matches[[#This Row],[Away Team Goals]],"Hime Win",IF(World_Cup_Matches[[#This Row],[Away Team Goals]]&gt;World_Cup_Matches[[#This Row],[Home Team Goals]],"Away win","Draw"))</f>
        <v>Away win</v>
      </c>
    </row>
    <row r="320" spans="1:24" x14ac:dyDescent="0.2">
      <c r="A320" s="19">
        <v>1982</v>
      </c>
      <c r="B320" s="15" t="s">
        <v>738</v>
      </c>
      <c r="C320" s="3" t="s">
        <v>31</v>
      </c>
      <c r="D320" s="3" t="s">
        <v>739</v>
      </c>
      <c r="E320" s="3" t="s">
        <v>740</v>
      </c>
      <c r="F320" s="3" t="s">
        <v>145</v>
      </c>
      <c r="G320" s="11">
        <v>1</v>
      </c>
      <c r="H320" s="11">
        <v>1</v>
      </c>
      <c r="I320" s="3" t="s">
        <v>741</v>
      </c>
      <c r="J320" s="3" t="s">
        <v>1842</v>
      </c>
      <c r="K320" s="3">
        <v>25000</v>
      </c>
      <c r="L320" s="11">
        <v>1</v>
      </c>
      <c r="M320" s="11">
        <v>0</v>
      </c>
      <c r="N320" s="3" t="s">
        <v>742</v>
      </c>
      <c r="O320" s="3" t="s">
        <v>743</v>
      </c>
      <c r="P320" s="3" t="s">
        <v>744</v>
      </c>
      <c r="Q320" s="11">
        <v>293</v>
      </c>
      <c r="R320" s="11">
        <v>1012</v>
      </c>
      <c r="S320" s="3" t="s">
        <v>148</v>
      </c>
      <c r="T320" s="4" t="s">
        <v>745</v>
      </c>
      <c r="U320" s="11">
        <f>World_Cup_Matches[[#This Row],[Home Team Goals]]+World_Cup_Matches[[#This Row],[Away Team Goals]]</f>
        <v>2</v>
      </c>
      <c r="V320" s="11">
        <f>World_Cup_Matches[[#This Row],[Home Team Goals]]-World_Cup_Matches[[#This Row],[Away Team Goals]]</f>
        <v>0</v>
      </c>
      <c r="W320" s="4" t="str">
        <f>IF(World_Cup_Matches[[#This Row],[Home Team Goals]]&gt;World_Cup_Matches[[#This Row],[Away Team Goals]],World_Cup_Matches[[#This Row],[Home Team Name]],IF(World_Cup_Matches[[#This Row],[Away Team Goals]]&gt;World_Cup_Matches[[#This Row],[Home Team Goals]], World_Cup_Matches[[#This Row],[Away Team Name]],"Draw"))</f>
        <v>Draw</v>
      </c>
      <c r="X320" s="4" t="str">
        <f>IF(World_Cup_Matches[[#This Row],[Home Team Goals]]&gt;World_Cup_Matches[[#This Row],[Away Team Goals]],"Hime Win",IF(World_Cup_Matches[[#This Row],[Away Team Goals]]&gt;World_Cup_Matches[[#This Row],[Home Team Goals]],"Away win","Draw"))</f>
        <v>Draw</v>
      </c>
    </row>
    <row r="321" spans="1:24" x14ac:dyDescent="0.2">
      <c r="A321" s="19">
        <v>1982</v>
      </c>
      <c r="B321" s="15" t="s">
        <v>746</v>
      </c>
      <c r="C321" s="3" t="s">
        <v>727</v>
      </c>
      <c r="D321" s="3" t="s">
        <v>747</v>
      </c>
      <c r="E321" s="3" t="s">
        <v>748</v>
      </c>
      <c r="F321" s="3" t="s">
        <v>41</v>
      </c>
      <c r="G321" s="11">
        <v>0</v>
      </c>
      <c r="H321" s="11">
        <v>0</v>
      </c>
      <c r="I321" s="3" t="s">
        <v>360</v>
      </c>
      <c r="J321" s="3" t="s">
        <v>1842</v>
      </c>
      <c r="K321" s="3">
        <v>25000</v>
      </c>
      <c r="L321" s="11">
        <v>0</v>
      </c>
      <c r="M321" s="11">
        <v>0</v>
      </c>
      <c r="N321" s="3" t="s">
        <v>749</v>
      </c>
      <c r="O321" s="3" t="s">
        <v>750</v>
      </c>
      <c r="P321" s="3" t="s">
        <v>572</v>
      </c>
      <c r="Q321" s="11">
        <v>293</v>
      </c>
      <c r="R321" s="11">
        <v>1044</v>
      </c>
      <c r="S321" s="3" t="s">
        <v>46</v>
      </c>
      <c r="T321" s="4" t="s">
        <v>363</v>
      </c>
      <c r="U321" s="11">
        <f>World_Cup_Matches[[#This Row],[Home Team Goals]]+World_Cup_Matches[[#This Row],[Away Team Goals]]</f>
        <v>0</v>
      </c>
      <c r="V321" s="11">
        <f>World_Cup_Matches[[#This Row],[Home Team Goals]]-World_Cup_Matches[[#This Row],[Away Team Goals]]</f>
        <v>0</v>
      </c>
      <c r="W321" s="4" t="str">
        <f>IF(World_Cup_Matches[[#This Row],[Home Team Goals]]&gt;World_Cup_Matches[[#This Row],[Away Team Goals]],World_Cup_Matches[[#This Row],[Home Team Name]],IF(World_Cup_Matches[[#This Row],[Away Team Goals]]&gt;World_Cup_Matches[[#This Row],[Home Team Goals]], World_Cup_Matches[[#This Row],[Away Team Name]],"Draw"))</f>
        <v>Draw</v>
      </c>
      <c r="X321" s="4" t="str">
        <f>IF(World_Cup_Matches[[#This Row],[Home Team Goals]]&gt;World_Cup_Matches[[#This Row],[Away Team Goals]],"Hime Win",IF(World_Cup_Matches[[#This Row],[Away Team Goals]]&gt;World_Cup_Matches[[#This Row],[Home Team Goals]],"Away win","Draw"))</f>
        <v>Draw</v>
      </c>
    </row>
    <row r="322" spans="1:24" x14ac:dyDescent="0.2">
      <c r="A322" s="19">
        <v>1982</v>
      </c>
      <c r="B322" s="15" t="s">
        <v>751</v>
      </c>
      <c r="C322" s="3" t="s">
        <v>21</v>
      </c>
      <c r="D322" s="3" t="s">
        <v>688</v>
      </c>
      <c r="E322" s="3" t="s">
        <v>689</v>
      </c>
      <c r="F322" s="3" t="s">
        <v>138</v>
      </c>
      <c r="G322" s="11">
        <v>1</v>
      </c>
      <c r="H322" s="11">
        <v>1</v>
      </c>
      <c r="I322" s="3" t="s">
        <v>51</v>
      </c>
      <c r="J322" s="3" t="s">
        <v>1842</v>
      </c>
      <c r="K322" s="3">
        <v>25000</v>
      </c>
      <c r="L322" s="11">
        <v>1</v>
      </c>
      <c r="M322" s="11">
        <v>0</v>
      </c>
      <c r="N322" s="3" t="s">
        <v>601</v>
      </c>
      <c r="O322" s="3" t="s">
        <v>752</v>
      </c>
      <c r="P322" s="3" t="s">
        <v>519</v>
      </c>
      <c r="Q322" s="11">
        <v>293</v>
      </c>
      <c r="R322" s="11">
        <v>994</v>
      </c>
      <c r="S322" s="3" t="s">
        <v>142</v>
      </c>
      <c r="T322" s="4" t="s">
        <v>54</v>
      </c>
      <c r="U322" s="11">
        <f>World_Cup_Matches[[#This Row],[Home Team Goals]]+World_Cup_Matches[[#This Row],[Away Team Goals]]</f>
        <v>2</v>
      </c>
      <c r="V322" s="11">
        <f>World_Cup_Matches[[#This Row],[Home Team Goals]]-World_Cup_Matches[[#This Row],[Away Team Goals]]</f>
        <v>0</v>
      </c>
      <c r="W322" s="4" t="str">
        <f>IF(World_Cup_Matches[[#This Row],[Home Team Goals]]&gt;World_Cup_Matches[[#This Row],[Away Team Goals]],World_Cup_Matches[[#This Row],[Home Team Name]],IF(World_Cup_Matches[[#This Row],[Away Team Goals]]&gt;World_Cup_Matches[[#This Row],[Home Team Goals]], World_Cup_Matches[[#This Row],[Away Team Name]],"Draw"))</f>
        <v>Draw</v>
      </c>
      <c r="X322" s="4" t="str">
        <f>IF(World_Cup_Matches[[#This Row],[Home Team Goals]]&gt;World_Cup_Matches[[#This Row],[Away Team Goals]],"Hime Win",IF(World_Cup_Matches[[#This Row],[Away Team Goals]]&gt;World_Cup_Matches[[#This Row],[Home Team Goals]],"Away win","Draw"))</f>
        <v>Draw</v>
      </c>
    </row>
    <row r="323" spans="1:24" x14ac:dyDescent="0.2">
      <c r="A323" s="19">
        <v>1982</v>
      </c>
      <c r="B323" s="15" t="s">
        <v>753</v>
      </c>
      <c r="C323" s="3" t="s">
        <v>49</v>
      </c>
      <c r="D323" s="3" t="s">
        <v>754</v>
      </c>
      <c r="E323" s="3" t="s">
        <v>755</v>
      </c>
      <c r="F323" s="3" t="s">
        <v>56</v>
      </c>
      <c r="G323" s="11">
        <v>4</v>
      </c>
      <c r="H323" s="11">
        <v>1</v>
      </c>
      <c r="I323" s="3" t="s">
        <v>99</v>
      </c>
      <c r="J323" s="3" t="s">
        <v>1842</v>
      </c>
      <c r="K323" s="3">
        <v>32093</v>
      </c>
      <c r="L323" s="11">
        <v>2</v>
      </c>
      <c r="M323" s="11">
        <v>0</v>
      </c>
      <c r="N323" s="3" t="s">
        <v>756</v>
      </c>
      <c r="O323" s="3" t="s">
        <v>690</v>
      </c>
      <c r="P323" s="3" t="s">
        <v>574</v>
      </c>
      <c r="Q323" s="11">
        <v>293</v>
      </c>
      <c r="R323" s="11">
        <v>752</v>
      </c>
      <c r="S323" s="3" t="s">
        <v>59</v>
      </c>
      <c r="T323" s="4" t="s">
        <v>104</v>
      </c>
      <c r="U323" s="11">
        <f>World_Cup_Matches[[#This Row],[Home Team Goals]]+World_Cup_Matches[[#This Row],[Away Team Goals]]</f>
        <v>5</v>
      </c>
      <c r="V323" s="11">
        <f>World_Cup_Matches[[#This Row],[Home Team Goals]]-World_Cup_Matches[[#This Row],[Away Team Goals]]</f>
        <v>3</v>
      </c>
      <c r="W323" s="4" t="str">
        <f>IF(World_Cup_Matches[[#This Row],[Home Team Goals]]&gt;World_Cup_Matches[[#This Row],[Away Team Goals]],World_Cup_Matches[[#This Row],[Home Team Name]],IF(World_Cup_Matches[[#This Row],[Away Team Goals]]&gt;World_Cup_Matches[[#This Row],[Home Team Goals]], World_Cup_Matches[[#This Row],[Away Team Name]],"Draw"))</f>
        <v>Argentina</v>
      </c>
      <c r="X323" s="4" t="str">
        <f>IF(World_Cup_Matches[[#This Row],[Home Team Goals]]&gt;World_Cup_Matches[[#This Row],[Away Team Goals]],"Hime Win",IF(World_Cup_Matches[[#This Row],[Away Team Goals]]&gt;World_Cup_Matches[[#This Row],[Home Team Goals]],"Away win","Draw"))</f>
        <v>Hime Win</v>
      </c>
    </row>
    <row r="324" spans="1:24" x14ac:dyDescent="0.2">
      <c r="A324" s="19">
        <v>1982</v>
      </c>
      <c r="B324" s="15" t="s">
        <v>753</v>
      </c>
      <c r="C324" s="3" t="s">
        <v>262</v>
      </c>
      <c r="D324" s="3" t="s">
        <v>757</v>
      </c>
      <c r="E324" s="3" t="s">
        <v>693</v>
      </c>
      <c r="F324" s="3" t="s">
        <v>42</v>
      </c>
      <c r="G324" s="11">
        <v>4</v>
      </c>
      <c r="H324" s="11">
        <v>1</v>
      </c>
      <c r="I324" s="3" t="s">
        <v>272</v>
      </c>
      <c r="J324" s="3" t="s">
        <v>1842</v>
      </c>
      <c r="K324" s="3">
        <v>47379</v>
      </c>
      <c r="L324" s="11">
        <v>1</v>
      </c>
      <c r="M324" s="11">
        <v>1</v>
      </c>
      <c r="N324" s="3" t="s">
        <v>758</v>
      </c>
      <c r="O324" s="3" t="s">
        <v>712</v>
      </c>
      <c r="P324" s="3" t="s">
        <v>663</v>
      </c>
      <c r="Q324" s="11">
        <v>293</v>
      </c>
      <c r="R324" s="11">
        <v>790</v>
      </c>
      <c r="S324" s="3" t="s">
        <v>47</v>
      </c>
      <c r="T324" s="4" t="s">
        <v>275</v>
      </c>
      <c r="U324" s="11">
        <f>World_Cup_Matches[[#This Row],[Home Team Goals]]+World_Cup_Matches[[#This Row],[Away Team Goals]]</f>
        <v>5</v>
      </c>
      <c r="V324" s="11">
        <f>World_Cup_Matches[[#This Row],[Home Team Goals]]-World_Cup_Matches[[#This Row],[Away Team Goals]]</f>
        <v>3</v>
      </c>
      <c r="W324" s="4" t="str">
        <f>IF(World_Cup_Matches[[#This Row],[Home Team Goals]]&gt;World_Cup_Matches[[#This Row],[Away Team Goals]],World_Cup_Matches[[#This Row],[Home Team Name]],IF(World_Cup_Matches[[#This Row],[Away Team Goals]]&gt;World_Cup_Matches[[#This Row],[Home Team Goals]], World_Cup_Matches[[#This Row],[Away Team Name]],"Draw"))</f>
        <v>Brazil</v>
      </c>
      <c r="X324" s="4" t="str">
        <f>IF(World_Cup_Matches[[#This Row],[Home Team Goals]]&gt;World_Cup_Matches[[#This Row],[Away Team Goals]],"Hime Win",IF(World_Cup_Matches[[#This Row],[Away Team Goals]]&gt;World_Cup_Matches[[#This Row],[Home Team Goals]],"Away win","Draw"))</f>
        <v>Hime Win</v>
      </c>
    </row>
    <row r="325" spans="1:24" x14ac:dyDescent="0.2">
      <c r="A325" s="19">
        <v>1982</v>
      </c>
      <c r="B325" s="15" t="s">
        <v>759</v>
      </c>
      <c r="C325" s="3" t="s">
        <v>21</v>
      </c>
      <c r="D325" s="3" t="s">
        <v>698</v>
      </c>
      <c r="E325" s="3" t="s">
        <v>699</v>
      </c>
      <c r="F325" s="3" t="s">
        <v>190</v>
      </c>
      <c r="G325" s="11">
        <v>0</v>
      </c>
      <c r="H325" s="11">
        <v>0</v>
      </c>
      <c r="I325" s="3" t="s">
        <v>700</v>
      </c>
      <c r="J325" s="3" t="s">
        <v>1842</v>
      </c>
      <c r="K325" s="3">
        <v>19000</v>
      </c>
      <c r="L325" s="11">
        <v>0</v>
      </c>
      <c r="M325" s="11">
        <v>0</v>
      </c>
      <c r="N325" s="3" t="s">
        <v>760</v>
      </c>
      <c r="O325" s="3" t="s">
        <v>601</v>
      </c>
      <c r="P325" s="3" t="s">
        <v>752</v>
      </c>
      <c r="Q325" s="11">
        <v>293</v>
      </c>
      <c r="R325" s="11">
        <v>834</v>
      </c>
      <c r="S325" s="3" t="s">
        <v>194</v>
      </c>
      <c r="T325" s="4" t="s">
        <v>702</v>
      </c>
      <c r="U325" s="11">
        <f>World_Cup_Matches[[#This Row],[Home Team Goals]]+World_Cup_Matches[[#This Row],[Away Team Goals]]</f>
        <v>0</v>
      </c>
      <c r="V325" s="11">
        <f>World_Cup_Matches[[#This Row],[Home Team Goals]]-World_Cup_Matches[[#This Row],[Away Team Goals]]</f>
        <v>0</v>
      </c>
      <c r="W325" s="4" t="str">
        <f>IF(World_Cup_Matches[[#This Row],[Home Team Goals]]&gt;World_Cup_Matches[[#This Row],[Away Team Goals]],World_Cup_Matches[[#This Row],[Home Team Name]],IF(World_Cup_Matches[[#This Row],[Away Team Goals]]&gt;World_Cup_Matches[[#This Row],[Home Team Goals]], World_Cup_Matches[[#This Row],[Away Team Name]],"Draw"))</f>
        <v>Draw</v>
      </c>
      <c r="X325" s="4" t="str">
        <f>IF(World_Cup_Matches[[#This Row],[Home Team Goals]]&gt;World_Cup_Matches[[#This Row],[Away Team Goals]],"Hime Win",IF(World_Cup_Matches[[#This Row],[Away Team Goals]]&gt;World_Cup_Matches[[#This Row],[Home Team Goals]],"Away win","Draw"))</f>
        <v>Draw</v>
      </c>
    </row>
    <row r="326" spans="1:24" x14ac:dyDescent="0.2">
      <c r="A326" s="19">
        <v>1982</v>
      </c>
      <c r="B326" s="15" t="s">
        <v>761</v>
      </c>
      <c r="C326" s="3" t="s">
        <v>49</v>
      </c>
      <c r="D326" s="3" t="s">
        <v>704</v>
      </c>
      <c r="E326" s="3" t="s">
        <v>705</v>
      </c>
      <c r="F326" s="3" t="s">
        <v>34</v>
      </c>
      <c r="G326" s="11">
        <v>1</v>
      </c>
      <c r="H326" s="11">
        <v>0</v>
      </c>
      <c r="I326" s="3" t="s">
        <v>520</v>
      </c>
      <c r="J326" s="3" t="s">
        <v>1842</v>
      </c>
      <c r="K326" s="3">
        <v>15000</v>
      </c>
      <c r="L326" s="11">
        <v>1</v>
      </c>
      <c r="M326" s="11">
        <v>0</v>
      </c>
      <c r="N326" s="3" t="s">
        <v>762</v>
      </c>
      <c r="O326" s="3" t="s">
        <v>725</v>
      </c>
      <c r="P326" s="3" t="s">
        <v>637</v>
      </c>
      <c r="Q326" s="11">
        <v>293</v>
      </c>
      <c r="R326" s="11">
        <v>774</v>
      </c>
      <c r="S326" s="3" t="s">
        <v>38</v>
      </c>
      <c r="T326" s="4" t="s">
        <v>523</v>
      </c>
      <c r="U326" s="11">
        <f>World_Cup_Matches[[#This Row],[Home Team Goals]]+World_Cup_Matches[[#This Row],[Away Team Goals]]</f>
        <v>1</v>
      </c>
      <c r="V326" s="11">
        <f>World_Cup_Matches[[#This Row],[Home Team Goals]]-World_Cup_Matches[[#This Row],[Away Team Goals]]</f>
        <v>1</v>
      </c>
      <c r="W326" s="4" t="str">
        <f>IF(World_Cup_Matches[[#This Row],[Home Team Goals]]&gt;World_Cup_Matches[[#This Row],[Away Team Goals]],World_Cup_Matches[[#This Row],[Home Team Name]],IF(World_Cup_Matches[[#This Row],[Away Team Goals]]&gt;World_Cup_Matches[[#This Row],[Home Team Goals]], World_Cup_Matches[[#This Row],[Away Team Name]],"Draw"))</f>
        <v>Belgium</v>
      </c>
      <c r="X326" s="4" t="str">
        <f>IF(World_Cup_Matches[[#This Row],[Home Team Goals]]&gt;World_Cup_Matches[[#This Row],[Away Team Goals]],"Hime Win",IF(World_Cup_Matches[[#This Row],[Away Team Goals]]&gt;World_Cup_Matches[[#This Row],[Home Team Goals]],"Away win","Draw"))</f>
        <v>Hime Win</v>
      </c>
    </row>
    <row r="327" spans="1:24" x14ac:dyDescent="0.2">
      <c r="A327" s="19">
        <v>1982</v>
      </c>
      <c r="B327" s="15" t="s">
        <v>761</v>
      </c>
      <c r="C327" s="3" t="s">
        <v>262</v>
      </c>
      <c r="D327" s="3" t="s">
        <v>708</v>
      </c>
      <c r="E327" s="3" t="s">
        <v>709</v>
      </c>
      <c r="F327" s="3" t="s">
        <v>332</v>
      </c>
      <c r="G327" s="11">
        <v>3</v>
      </c>
      <c r="H327" s="11">
        <v>0</v>
      </c>
      <c r="I327" s="3" t="s">
        <v>710</v>
      </c>
      <c r="J327" s="3" t="s">
        <v>1842</v>
      </c>
      <c r="K327" s="3">
        <v>19000</v>
      </c>
      <c r="L327" s="11">
        <v>1</v>
      </c>
      <c r="M327" s="11">
        <v>0</v>
      </c>
      <c r="N327" s="3" t="s">
        <v>713</v>
      </c>
      <c r="O327" s="3" t="s">
        <v>763</v>
      </c>
      <c r="P327" s="3" t="s">
        <v>764</v>
      </c>
      <c r="Q327" s="11">
        <v>293</v>
      </c>
      <c r="R327" s="11">
        <v>1054</v>
      </c>
      <c r="S327" s="3" t="s">
        <v>335</v>
      </c>
      <c r="T327" s="4" t="s">
        <v>714</v>
      </c>
      <c r="U327" s="11">
        <f>World_Cup_Matches[[#This Row],[Home Team Goals]]+World_Cup_Matches[[#This Row],[Away Team Goals]]</f>
        <v>3</v>
      </c>
      <c r="V327" s="11">
        <f>World_Cup_Matches[[#This Row],[Home Team Goals]]-World_Cup_Matches[[#This Row],[Away Team Goals]]</f>
        <v>3</v>
      </c>
      <c r="W327" s="4" t="str">
        <f>IF(World_Cup_Matches[[#This Row],[Home Team Goals]]&gt;World_Cup_Matches[[#This Row],[Away Team Goals]],World_Cup_Matches[[#This Row],[Home Team Name]],IF(World_Cup_Matches[[#This Row],[Away Team Goals]]&gt;World_Cup_Matches[[#This Row],[Home Team Goals]], World_Cup_Matches[[#This Row],[Away Team Name]],"Draw"))</f>
        <v>Soviet Union</v>
      </c>
      <c r="X327" s="4" t="str">
        <f>IF(World_Cup_Matches[[#This Row],[Home Team Goals]]&gt;World_Cup_Matches[[#This Row],[Away Team Goals]],"Hime Win",IF(World_Cup_Matches[[#This Row],[Away Team Goals]]&gt;World_Cup_Matches[[#This Row],[Home Team Goals]],"Away win","Draw"))</f>
        <v>Hime Win</v>
      </c>
    </row>
    <row r="328" spans="1:24" x14ac:dyDescent="0.2">
      <c r="A328" s="19">
        <v>1982</v>
      </c>
      <c r="B328" s="15" t="s">
        <v>765</v>
      </c>
      <c r="C328" s="3" t="s">
        <v>40</v>
      </c>
      <c r="D328" s="3" t="s">
        <v>716</v>
      </c>
      <c r="E328" s="3" t="s">
        <v>717</v>
      </c>
      <c r="F328" s="3" t="s">
        <v>285</v>
      </c>
      <c r="G328" s="11">
        <v>4</v>
      </c>
      <c r="H328" s="11">
        <v>1</v>
      </c>
      <c r="I328" s="3" t="s">
        <v>61</v>
      </c>
      <c r="J328" s="3" t="s">
        <v>1842</v>
      </c>
      <c r="K328" s="3">
        <v>42000</v>
      </c>
      <c r="L328" s="11">
        <v>1</v>
      </c>
      <c r="M328" s="11">
        <v>0</v>
      </c>
      <c r="N328" s="3" t="s">
        <v>750</v>
      </c>
      <c r="O328" s="3" t="s">
        <v>686</v>
      </c>
      <c r="P328" s="3" t="s">
        <v>566</v>
      </c>
      <c r="Q328" s="11">
        <v>293</v>
      </c>
      <c r="R328" s="11">
        <v>813</v>
      </c>
      <c r="S328" s="3" t="s">
        <v>289</v>
      </c>
      <c r="T328" s="4" t="s">
        <v>63</v>
      </c>
      <c r="U328" s="11">
        <f>World_Cup_Matches[[#This Row],[Home Team Goals]]+World_Cup_Matches[[#This Row],[Away Team Goals]]</f>
        <v>5</v>
      </c>
      <c r="V328" s="11">
        <f>World_Cup_Matches[[#This Row],[Home Team Goals]]-World_Cup_Matches[[#This Row],[Away Team Goals]]</f>
        <v>3</v>
      </c>
      <c r="W328" s="4" t="str">
        <f>IF(World_Cup_Matches[[#This Row],[Home Team Goals]]&gt;World_Cup_Matches[[#This Row],[Away Team Goals]],World_Cup_Matches[[#This Row],[Home Team Name]],IF(World_Cup_Matches[[#This Row],[Away Team Goals]]&gt;World_Cup_Matches[[#This Row],[Home Team Goals]], World_Cup_Matches[[#This Row],[Away Team Name]],"Draw"))</f>
        <v>Germany FR</v>
      </c>
      <c r="X328" s="4" t="str">
        <f>IF(World_Cup_Matches[[#This Row],[Home Team Goals]]&gt;World_Cup_Matches[[#This Row],[Away Team Goals]],"Hime Win",IF(World_Cup_Matches[[#This Row],[Away Team Goals]]&gt;World_Cup_Matches[[#This Row],[Home Team Goals]],"Away win","Draw"))</f>
        <v>Hime Win</v>
      </c>
    </row>
    <row r="329" spans="1:24" x14ac:dyDescent="0.2">
      <c r="A329" s="19">
        <v>1982</v>
      </c>
      <c r="B329" s="15" t="s">
        <v>765</v>
      </c>
      <c r="C329" s="3" t="s">
        <v>31</v>
      </c>
      <c r="D329" s="3" t="s">
        <v>723</v>
      </c>
      <c r="E329" s="3" t="s">
        <v>724</v>
      </c>
      <c r="F329" s="3" t="s">
        <v>223</v>
      </c>
      <c r="G329" s="11">
        <v>2</v>
      </c>
      <c r="H329" s="11">
        <v>0</v>
      </c>
      <c r="I329" s="3" t="s">
        <v>145</v>
      </c>
      <c r="J329" s="3" t="s">
        <v>1842</v>
      </c>
      <c r="K329" s="3">
        <v>41123</v>
      </c>
      <c r="L329" s="11">
        <v>0</v>
      </c>
      <c r="M329" s="11">
        <v>0</v>
      </c>
      <c r="N329" s="3" t="s">
        <v>658</v>
      </c>
      <c r="O329" s="3" t="s">
        <v>731</v>
      </c>
      <c r="P329" s="3" t="s">
        <v>720</v>
      </c>
      <c r="Q329" s="11">
        <v>293</v>
      </c>
      <c r="R329" s="11">
        <v>889</v>
      </c>
      <c r="S329" s="3" t="s">
        <v>227</v>
      </c>
      <c r="T329" s="4" t="s">
        <v>148</v>
      </c>
      <c r="U329" s="11">
        <f>World_Cup_Matches[[#This Row],[Home Team Goals]]+World_Cup_Matches[[#This Row],[Away Team Goals]]</f>
        <v>2</v>
      </c>
      <c r="V329" s="11">
        <f>World_Cup_Matches[[#This Row],[Home Team Goals]]-World_Cup_Matches[[#This Row],[Away Team Goals]]</f>
        <v>2</v>
      </c>
      <c r="W329" s="4" t="str">
        <f>IF(World_Cup_Matches[[#This Row],[Home Team Goals]]&gt;World_Cup_Matches[[#This Row],[Away Team Goals]],World_Cup_Matches[[#This Row],[Home Team Name]],IF(World_Cup_Matches[[#This Row],[Away Team Goals]]&gt;World_Cup_Matches[[#This Row],[Home Team Goals]], World_Cup_Matches[[#This Row],[Away Team Name]],"Draw"))</f>
        <v>England</v>
      </c>
      <c r="X329" s="4" t="str">
        <f>IF(World_Cup_Matches[[#This Row],[Home Team Goals]]&gt;World_Cup_Matches[[#This Row],[Away Team Goals]],"Hime Win",IF(World_Cup_Matches[[#This Row],[Away Team Goals]]&gt;World_Cup_Matches[[#This Row],[Home Team Goals]],"Away win","Draw"))</f>
        <v>Hime Win</v>
      </c>
    </row>
    <row r="330" spans="1:24" x14ac:dyDescent="0.2">
      <c r="A330" s="19">
        <v>1982</v>
      </c>
      <c r="B330" s="15" t="s">
        <v>766</v>
      </c>
      <c r="C330" s="3" t="s">
        <v>727</v>
      </c>
      <c r="D330" s="3" t="s">
        <v>728</v>
      </c>
      <c r="E330" s="3" t="s">
        <v>729</v>
      </c>
      <c r="F330" s="3" t="s">
        <v>131</v>
      </c>
      <c r="G330" s="11">
        <v>2</v>
      </c>
      <c r="H330" s="11">
        <v>1</v>
      </c>
      <c r="I330" s="3" t="s">
        <v>41</v>
      </c>
      <c r="J330" s="3" t="s">
        <v>1842</v>
      </c>
      <c r="K330" s="3">
        <v>48000</v>
      </c>
      <c r="L330" s="11">
        <v>1</v>
      </c>
      <c r="M330" s="11">
        <v>1</v>
      </c>
      <c r="N330" s="3" t="s">
        <v>707</v>
      </c>
      <c r="O330" s="3" t="s">
        <v>634</v>
      </c>
      <c r="P330" s="3" t="s">
        <v>619</v>
      </c>
      <c r="Q330" s="11">
        <v>293</v>
      </c>
      <c r="R330" s="11">
        <v>903</v>
      </c>
      <c r="S330" s="3" t="s">
        <v>135</v>
      </c>
      <c r="T330" s="4" t="s">
        <v>46</v>
      </c>
      <c r="U330" s="11">
        <f>World_Cup_Matches[[#This Row],[Home Team Goals]]+World_Cup_Matches[[#This Row],[Away Team Goals]]</f>
        <v>3</v>
      </c>
      <c r="V330" s="11">
        <f>World_Cup_Matches[[#This Row],[Home Team Goals]]-World_Cup_Matches[[#This Row],[Away Team Goals]]</f>
        <v>1</v>
      </c>
      <c r="W330" s="4" t="str">
        <f>IF(World_Cup_Matches[[#This Row],[Home Team Goals]]&gt;World_Cup_Matches[[#This Row],[Away Team Goals]],World_Cup_Matches[[#This Row],[Home Team Name]],IF(World_Cup_Matches[[#This Row],[Away Team Goals]]&gt;World_Cup_Matches[[#This Row],[Home Team Goals]], World_Cup_Matches[[#This Row],[Away Team Name]],"Draw"))</f>
        <v>Spain</v>
      </c>
      <c r="X330" s="4" t="str">
        <f>IF(World_Cup_Matches[[#This Row],[Home Team Goals]]&gt;World_Cup_Matches[[#This Row],[Away Team Goals]],"Hime Win",IF(World_Cup_Matches[[#This Row],[Away Team Goals]]&gt;World_Cup_Matches[[#This Row],[Home Team Goals]],"Away win","Draw"))</f>
        <v>Hime Win</v>
      </c>
    </row>
    <row r="331" spans="1:24" x14ac:dyDescent="0.2">
      <c r="A331" s="19">
        <v>1982</v>
      </c>
      <c r="B331" s="15" t="s">
        <v>767</v>
      </c>
      <c r="C331" s="3" t="s">
        <v>40</v>
      </c>
      <c r="D331" s="3" t="s">
        <v>735</v>
      </c>
      <c r="E331" s="3" t="s">
        <v>736</v>
      </c>
      <c r="F331" s="3" t="s">
        <v>718</v>
      </c>
      <c r="G331" s="11">
        <v>0</v>
      </c>
      <c r="H331" s="11">
        <v>2</v>
      </c>
      <c r="I331" s="3" t="s">
        <v>91</v>
      </c>
      <c r="J331" s="3" t="s">
        <v>1842</v>
      </c>
      <c r="K331" s="3">
        <v>22000</v>
      </c>
      <c r="L331" s="11">
        <v>0</v>
      </c>
      <c r="M331" s="11">
        <v>0</v>
      </c>
      <c r="N331" s="3" t="s">
        <v>566</v>
      </c>
      <c r="O331" s="3" t="s">
        <v>686</v>
      </c>
      <c r="P331" s="3" t="s">
        <v>706</v>
      </c>
      <c r="Q331" s="11">
        <v>293</v>
      </c>
      <c r="R331" s="11">
        <v>739</v>
      </c>
      <c r="S331" s="3" t="s">
        <v>722</v>
      </c>
      <c r="T331" s="4" t="s">
        <v>96</v>
      </c>
      <c r="U331" s="11">
        <f>World_Cup_Matches[[#This Row],[Home Team Goals]]+World_Cup_Matches[[#This Row],[Away Team Goals]]</f>
        <v>2</v>
      </c>
      <c r="V331" s="11">
        <f>World_Cup_Matches[[#This Row],[Home Team Goals]]-World_Cup_Matches[[#This Row],[Away Team Goals]]</f>
        <v>-2</v>
      </c>
      <c r="W331" s="4" t="str">
        <f>IF(World_Cup_Matches[[#This Row],[Home Team Goals]]&gt;World_Cup_Matches[[#This Row],[Away Team Goals]],World_Cup_Matches[[#This Row],[Home Team Name]],IF(World_Cup_Matches[[#This Row],[Away Team Goals]]&gt;World_Cup_Matches[[#This Row],[Home Team Goals]], World_Cup_Matches[[#This Row],[Away Team Name]],"Draw"))</f>
        <v>Austria</v>
      </c>
      <c r="X331" s="4" t="str">
        <f>IF(World_Cup_Matches[[#This Row],[Home Team Goals]]&gt;World_Cup_Matches[[#This Row],[Away Team Goals]],"Hime Win",IF(World_Cup_Matches[[#This Row],[Away Team Goals]]&gt;World_Cup_Matches[[#This Row],[Home Team Goals]],"Away win","Draw"))</f>
        <v>Away win</v>
      </c>
    </row>
    <row r="332" spans="1:24" x14ac:dyDescent="0.2">
      <c r="A332" s="19">
        <v>1982</v>
      </c>
      <c r="B332" s="15" t="s">
        <v>767</v>
      </c>
      <c r="C332" s="3" t="s">
        <v>31</v>
      </c>
      <c r="D332" s="3" t="s">
        <v>739</v>
      </c>
      <c r="E332" s="3" t="s">
        <v>740</v>
      </c>
      <c r="F332" s="3" t="s">
        <v>24</v>
      </c>
      <c r="G332" s="11">
        <v>4</v>
      </c>
      <c r="H332" s="11">
        <v>1</v>
      </c>
      <c r="I332" s="3" t="s">
        <v>741</v>
      </c>
      <c r="J332" s="3" t="s">
        <v>1842</v>
      </c>
      <c r="K332" s="3">
        <v>30043</v>
      </c>
      <c r="L332" s="11">
        <v>2</v>
      </c>
      <c r="M332" s="11">
        <v>0</v>
      </c>
      <c r="N332" s="3" t="s">
        <v>768</v>
      </c>
      <c r="O332" s="3" t="s">
        <v>749</v>
      </c>
      <c r="P332" s="3" t="s">
        <v>769</v>
      </c>
      <c r="Q332" s="11">
        <v>293</v>
      </c>
      <c r="R332" s="11">
        <v>919</v>
      </c>
      <c r="S332" s="3" t="s">
        <v>29</v>
      </c>
      <c r="T332" s="4" t="s">
        <v>745</v>
      </c>
      <c r="U332" s="11">
        <f>World_Cup_Matches[[#This Row],[Home Team Goals]]+World_Cup_Matches[[#This Row],[Away Team Goals]]</f>
        <v>5</v>
      </c>
      <c r="V332" s="11">
        <f>World_Cup_Matches[[#This Row],[Home Team Goals]]-World_Cup_Matches[[#This Row],[Away Team Goals]]</f>
        <v>3</v>
      </c>
      <c r="W332" s="4" t="str">
        <f>IF(World_Cup_Matches[[#This Row],[Home Team Goals]]&gt;World_Cup_Matches[[#This Row],[Away Team Goals]],World_Cup_Matches[[#This Row],[Home Team Name]],IF(World_Cup_Matches[[#This Row],[Away Team Goals]]&gt;World_Cup_Matches[[#This Row],[Home Team Goals]], World_Cup_Matches[[#This Row],[Away Team Name]],"Draw"))</f>
        <v>France</v>
      </c>
      <c r="X332" s="4" t="str">
        <f>IF(World_Cup_Matches[[#This Row],[Home Team Goals]]&gt;World_Cup_Matches[[#This Row],[Away Team Goals]],"Hime Win",IF(World_Cup_Matches[[#This Row],[Away Team Goals]]&gt;World_Cup_Matches[[#This Row],[Home Team Goals]],"Away win","Draw"))</f>
        <v>Hime Win</v>
      </c>
    </row>
    <row r="333" spans="1:24" x14ac:dyDescent="0.2">
      <c r="A333" s="19">
        <v>1982</v>
      </c>
      <c r="B333" s="15" t="s">
        <v>770</v>
      </c>
      <c r="C333" s="3" t="s">
        <v>727</v>
      </c>
      <c r="D333" s="3" t="s">
        <v>747</v>
      </c>
      <c r="E333" s="3" t="s">
        <v>748</v>
      </c>
      <c r="F333" s="3" t="s">
        <v>730</v>
      </c>
      <c r="G333" s="11">
        <v>1</v>
      </c>
      <c r="H333" s="11">
        <v>1</v>
      </c>
      <c r="I333" s="3" t="s">
        <v>360</v>
      </c>
      <c r="J333" s="3" t="s">
        <v>1842</v>
      </c>
      <c r="K333" s="3">
        <v>15000</v>
      </c>
      <c r="L333" s="11">
        <v>0</v>
      </c>
      <c r="M333" s="11">
        <v>1</v>
      </c>
      <c r="N333" s="3" t="s">
        <v>712</v>
      </c>
      <c r="O333" s="3" t="s">
        <v>719</v>
      </c>
      <c r="P333" s="3" t="s">
        <v>721</v>
      </c>
      <c r="Q333" s="11">
        <v>293</v>
      </c>
      <c r="R333" s="11">
        <v>959</v>
      </c>
      <c r="S333" s="3" t="s">
        <v>733</v>
      </c>
      <c r="T333" s="4" t="s">
        <v>363</v>
      </c>
      <c r="U333" s="11">
        <f>World_Cup_Matches[[#This Row],[Home Team Goals]]+World_Cup_Matches[[#This Row],[Away Team Goals]]</f>
        <v>2</v>
      </c>
      <c r="V333" s="11">
        <f>World_Cup_Matches[[#This Row],[Home Team Goals]]-World_Cup_Matches[[#This Row],[Away Team Goals]]</f>
        <v>0</v>
      </c>
      <c r="W333" s="4" t="str">
        <f>IF(World_Cup_Matches[[#This Row],[Home Team Goals]]&gt;World_Cup_Matches[[#This Row],[Away Team Goals]],World_Cup_Matches[[#This Row],[Home Team Name]],IF(World_Cup_Matches[[#This Row],[Away Team Goals]]&gt;World_Cup_Matches[[#This Row],[Home Team Goals]], World_Cup_Matches[[#This Row],[Away Team Name]],"Draw"))</f>
        <v>Draw</v>
      </c>
      <c r="X333" s="4" t="str">
        <f>IF(World_Cup_Matches[[#This Row],[Home Team Goals]]&gt;World_Cup_Matches[[#This Row],[Away Team Goals]],"Hime Win",IF(World_Cup_Matches[[#This Row],[Away Team Goals]]&gt;World_Cup_Matches[[#This Row],[Home Team Goals]],"Away win","Draw"))</f>
        <v>Draw</v>
      </c>
    </row>
    <row r="334" spans="1:24" x14ac:dyDescent="0.2">
      <c r="A334" s="19">
        <v>1982</v>
      </c>
      <c r="B334" s="15" t="s">
        <v>771</v>
      </c>
      <c r="C334" s="3" t="s">
        <v>21</v>
      </c>
      <c r="D334" s="3" t="s">
        <v>698</v>
      </c>
      <c r="E334" s="3" t="s">
        <v>699</v>
      </c>
      <c r="F334" s="3" t="s">
        <v>190</v>
      </c>
      <c r="G334" s="11">
        <v>5</v>
      </c>
      <c r="H334" s="11">
        <v>1</v>
      </c>
      <c r="I334" s="3" t="s">
        <v>51</v>
      </c>
      <c r="J334" s="3" t="s">
        <v>1842</v>
      </c>
      <c r="K334" s="3">
        <v>25000</v>
      </c>
      <c r="L334" s="11">
        <v>0</v>
      </c>
      <c r="M334" s="11">
        <v>0</v>
      </c>
      <c r="N334" s="3" t="s">
        <v>752</v>
      </c>
      <c r="O334" s="3" t="s">
        <v>763</v>
      </c>
      <c r="P334" s="3" t="s">
        <v>695</v>
      </c>
      <c r="Q334" s="11">
        <v>293</v>
      </c>
      <c r="R334" s="11">
        <v>1055</v>
      </c>
      <c r="S334" s="3" t="s">
        <v>194</v>
      </c>
      <c r="T334" s="4" t="s">
        <v>54</v>
      </c>
      <c r="U334" s="11">
        <f>World_Cup_Matches[[#This Row],[Home Team Goals]]+World_Cup_Matches[[#This Row],[Away Team Goals]]</f>
        <v>6</v>
      </c>
      <c r="V334" s="11">
        <f>World_Cup_Matches[[#This Row],[Home Team Goals]]-World_Cup_Matches[[#This Row],[Away Team Goals]]</f>
        <v>4</v>
      </c>
      <c r="W334" s="4" t="str">
        <f>IF(World_Cup_Matches[[#This Row],[Home Team Goals]]&gt;World_Cup_Matches[[#This Row],[Away Team Goals]],World_Cup_Matches[[#This Row],[Home Team Name]],IF(World_Cup_Matches[[#This Row],[Away Team Goals]]&gt;World_Cup_Matches[[#This Row],[Home Team Goals]], World_Cup_Matches[[#This Row],[Away Team Name]],"Draw"))</f>
        <v>Poland</v>
      </c>
      <c r="X334" s="4" t="str">
        <f>IF(World_Cup_Matches[[#This Row],[Home Team Goals]]&gt;World_Cup_Matches[[#This Row],[Away Team Goals]],"Hime Win",IF(World_Cup_Matches[[#This Row],[Away Team Goals]]&gt;World_Cup_Matches[[#This Row],[Home Team Goals]],"Away win","Draw"))</f>
        <v>Hime Win</v>
      </c>
    </row>
    <row r="335" spans="1:24" x14ac:dyDescent="0.2">
      <c r="A335" s="19">
        <v>1982</v>
      </c>
      <c r="B335" s="15" t="s">
        <v>772</v>
      </c>
      <c r="C335" s="3" t="s">
        <v>49</v>
      </c>
      <c r="D335" s="3" t="s">
        <v>704</v>
      </c>
      <c r="E335" s="3" t="s">
        <v>705</v>
      </c>
      <c r="F335" s="3" t="s">
        <v>34</v>
      </c>
      <c r="G335" s="11">
        <v>1</v>
      </c>
      <c r="H335" s="11">
        <v>1</v>
      </c>
      <c r="I335" s="3" t="s">
        <v>99</v>
      </c>
      <c r="J335" s="3" t="s">
        <v>1842</v>
      </c>
      <c r="K335" s="3">
        <v>37000</v>
      </c>
      <c r="L335" s="11">
        <v>0</v>
      </c>
      <c r="M335" s="11">
        <v>1</v>
      </c>
      <c r="N335" s="3" t="s">
        <v>764</v>
      </c>
      <c r="O335" s="3" t="s">
        <v>601</v>
      </c>
      <c r="P335" s="3" t="s">
        <v>756</v>
      </c>
      <c r="Q335" s="11">
        <v>293</v>
      </c>
      <c r="R335" s="11">
        <v>779</v>
      </c>
      <c r="S335" s="3" t="s">
        <v>38</v>
      </c>
      <c r="T335" s="4" t="s">
        <v>104</v>
      </c>
      <c r="U335" s="11">
        <f>World_Cup_Matches[[#This Row],[Home Team Goals]]+World_Cup_Matches[[#This Row],[Away Team Goals]]</f>
        <v>2</v>
      </c>
      <c r="V335" s="11">
        <f>World_Cup_Matches[[#This Row],[Home Team Goals]]-World_Cup_Matches[[#This Row],[Away Team Goals]]</f>
        <v>0</v>
      </c>
      <c r="W335" s="4" t="str">
        <f>IF(World_Cup_Matches[[#This Row],[Home Team Goals]]&gt;World_Cup_Matches[[#This Row],[Away Team Goals]],World_Cup_Matches[[#This Row],[Home Team Name]],IF(World_Cup_Matches[[#This Row],[Away Team Goals]]&gt;World_Cup_Matches[[#This Row],[Home Team Goals]], World_Cup_Matches[[#This Row],[Away Team Name]],"Draw"))</f>
        <v>Draw</v>
      </c>
      <c r="X335" s="4" t="str">
        <f>IF(World_Cup_Matches[[#This Row],[Home Team Goals]]&gt;World_Cup_Matches[[#This Row],[Away Team Goals]],"Hime Win",IF(World_Cup_Matches[[#This Row],[Away Team Goals]]&gt;World_Cup_Matches[[#This Row],[Home Team Goals]],"Away win","Draw"))</f>
        <v>Draw</v>
      </c>
    </row>
    <row r="336" spans="1:24" x14ac:dyDescent="0.2">
      <c r="A336" s="19">
        <v>1982</v>
      </c>
      <c r="B336" s="15" t="s">
        <v>772</v>
      </c>
      <c r="C336" s="3" t="s">
        <v>262</v>
      </c>
      <c r="D336" s="3" t="s">
        <v>708</v>
      </c>
      <c r="E336" s="3" t="s">
        <v>709</v>
      </c>
      <c r="F336" s="3" t="s">
        <v>332</v>
      </c>
      <c r="G336" s="11">
        <v>2</v>
      </c>
      <c r="H336" s="11">
        <v>2</v>
      </c>
      <c r="I336" s="3" t="s">
        <v>272</v>
      </c>
      <c r="J336" s="3" t="s">
        <v>1842</v>
      </c>
      <c r="K336" s="3">
        <v>45000</v>
      </c>
      <c r="L336" s="11">
        <v>0</v>
      </c>
      <c r="M336" s="11">
        <v>1</v>
      </c>
      <c r="N336" s="3" t="s">
        <v>574</v>
      </c>
      <c r="O336" s="3" t="s">
        <v>637</v>
      </c>
      <c r="P336" s="3" t="s">
        <v>760</v>
      </c>
      <c r="Q336" s="11">
        <v>293</v>
      </c>
      <c r="R336" s="11">
        <v>1071</v>
      </c>
      <c r="S336" s="3" t="s">
        <v>335</v>
      </c>
      <c r="T336" s="4" t="s">
        <v>275</v>
      </c>
      <c r="U336" s="11">
        <f>World_Cup_Matches[[#This Row],[Home Team Goals]]+World_Cup_Matches[[#This Row],[Away Team Goals]]</f>
        <v>4</v>
      </c>
      <c r="V336" s="11">
        <f>World_Cup_Matches[[#This Row],[Home Team Goals]]-World_Cup_Matches[[#This Row],[Away Team Goals]]</f>
        <v>0</v>
      </c>
      <c r="W336" s="4" t="str">
        <f>IF(World_Cup_Matches[[#This Row],[Home Team Goals]]&gt;World_Cup_Matches[[#This Row],[Away Team Goals]],World_Cup_Matches[[#This Row],[Home Team Name]],IF(World_Cup_Matches[[#This Row],[Away Team Goals]]&gt;World_Cup_Matches[[#This Row],[Home Team Goals]], World_Cup_Matches[[#This Row],[Away Team Name]],"Draw"))</f>
        <v>Draw</v>
      </c>
      <c r="X336" s="4" t="str">
        <f>IF(World_Cup_Matches[[#This Row],[Home Team Goals]]&gt;World_Cup_Matches[[#This Row],[Away Team Goals]],"Hime Win",IF(World_Cup_Matches[[#This Row],[Away Team Goals]]&gt;World_Cup_Matches[[#This Row],[Home Team Goals]],"Away win","Draw"))</f>
        <v>Draw</v>
      </c>
    </row>
    <row r="337" spans="1:24" x14ac:dyDescent="0.2">
      <c r="A337" s="19">
        <v>1982</v>
      </c>
      <c r="B337" s="15" t="s">
        <v>773</v>
      </c>
      <c r="C337" s="3" t="s">
        <v>21</v>
      </c>
      <c r="D337" s="3" t="s">
        <v>688</v>
      </c>
      <c r="E337" s="3" t="s">
        <v>689</v>
      </c>
      <c r="F337" s="3" t="s">
        <v>138</v>
      </c>
      <c r="G337" s="11">
        <v>1</v>
      </c>
      <c r="H337" s="11">
        <v>1</v>
      </c>
      <c r="I337" s="3" t="s">
        <v>700</v>
      </c>
      <c r="J337" s="3" t="s">
        <v>1842</v>
      </c>
      <c r="K337" s="3">
        <v>20000</v>
      </c>
      <c r="L337" s="11">
        <v>0</v>
      </c>
      <c r="M337" s="11">
        <v>0</v>
      </c>
      <c r="N337" s="3" t="s">
        <v>731</v>
      </c>
      <c r="O337" s="3" t="s">
        <v>763</v>
      </c>
      <c r="P337" s="3" t="s">
        <v>695</v>
      </c>
      <c r="Q337" s="11">
        <v>293</v>
      </c>
      <c r="R337" s="11">
        <v>828</v>
      </c>
      <c r="S337" s="3" t="s">
        <v>142</v>
      </c>
      <c r="T337" s="4" t="s">
        <v>702</v>
      </c>
      <c r="U337" s="11">
        <f>World_Cup_Matches[[#This Row],[Home Team Goals]]+World_Cup_Matches[[#This Row],[Away Team Goals]]</f>
        <v>2</v>
      </c>
      <c r="V337" s="11">
        <f>World_Cup_Matches[[#This Row],[Home Team Goals]]-World_Cup_Matches[[#This Row],[Away Team Goals]]</f>
        <v>0</v>
      </c>
      <c r="W337" s="4" t="str">
        <f>IF(World_Cup_Matches[[#This Row],[Home Team Goals]]&gt;World_Cup_Matches[[#This Row],[Away Team Goals]],World_Cup_Matches[[#This Row],[Home Team Name]],IF(World_Cup_Matches[[#This Row],[Away Team Goals]]&gt;World_Cup_Matches[[#This Row],[Home Team Goals]], World_Cup_Matches[[#This Row],[Away Team Name]],"Draw"))</f>
        <v>Draw</v>
      </c>
      <c r="X337" s="4" t="str">
        <f>IF(World_Cup_Matches[[#This Row],[Home Team Goals]]&gt;World_Cup_Matches[[#This Row],[Away Team Goals]],"Hime Win",IF(World_Cup_Matches[[#This Row],[Away Team Goals]]&gt;World_Cup_Matches[[#This Row],[Home Team Goals]],"Away win","Draw"))</f>
        <v>Draw</v>
      </c>
    </row>
    <row r="338" spans="1:24" x14ac:dyDescent="0.2">
      <c r="A338" s="19">
        <v>1982</v>
      </c>
      <c r="B338" s="15" t="s">
        <v>774</v>
      </c>
      <c r="C338" s="3" t="s">
        <v>49</v>
      </c>
      <c r="D338" s="3" t="s">
        <v>754</v>
      </c>
      <c r="E338" s="3" t="s">
        <v>755</v>
      </c>
      <c r="F338" s="3" t="s">
        <v>56</v>
      </c>
      <c r="G338" s="11">
        <v>2</v>
      </c>
      <c r="H338" s="11">
        <v>0</v>
      </c>
      <c r="I338" s="3" t="s">
        <v>520</v>
      </c>
      <c r="J338" s="3" t="s">
        <v>1842</v>
      </c>
      <c r="K338" s="3">
        <v>32500</v>
      </c>
      <c r="L338" s="11">
        <v>1</v>
      </c>
      <c r="M338" s="11">
        <v>0</v>
      </c>
      <c r="N338" s="3" t="s">
        <v>732</v>
      </c>
      <c r="O338" s="3" t="s">
        <v>694</v>
      </c>
      <c r="P338" s="3" t="s">
        <v>756</v>
      </c>
      <c r="Q338" s="11">
        <v>293</v>
      </c>
      <c r="R338" s="11">
        <v>751</v>
      </c>
      <c r="S338" s="3" t="s">
        <v>59</v>
      </c>
      <c r="T338" s="4" t="s">
        <v>523</v>
      </c>
      <c r="U338" s="11">
        <f>World_Cup_Matches[[#This Row],[Home Team Goals]]+World_Cup_Matches[[#This Row],[Away Team Goals]]</f>
        <v>2</v>
      </c>
      <c r="V338" s="11">
        <f>World_Cup_Matches[[#This Row],[Home Team Goals]]-World_Cup_Matches[[#This Row],[Away Team Goals]]</f>
        <v>2</v>
      </c>
      <c r="W338" s="4" t="str">
        <f>IF(World_Cup_Matches[[#This Row],[Home Team Goals]]&gt;World_Cup_Matches[[#This Row],[Away Team Goals]],World_Cup_Matches[[#This Row],[Home Team Name]],IF(World_Cup_Matches[[#This Row],[Away Team Goals]]&gt;World_Cup_Matches[[#This Row],[Home Team Goals]], World_Cup_Matches[[#This Row],[Away Team Name]],"Draw"))</f>
        <v>Argentina</v>
      </c>
      <c r="X338" s="4" t="str">
        <f>IF(World_Cup_Matches[[#This Row],[Home Team Goals]]&gt;World_Cup_Matches[[#This Row],[Away Team Goals]],"Hime Win",IF(World_Cup_Matches[[#This Row],[Away Team Goals]]&gt;World_Cup_Matches[[#This Row],[Home Team Goals]],"Away win","Draw"))</f>
        <v>Hime Win</v>
      </c>
    </row>
    <row r="339" spans="1:24" x14ac:dyDescent="0.2">
      <c r="A339" s="19">
        <v>1982</v>
      </c>
      <c r="B339" s="15" t="s">
        <v>774</v>
      </c>
      <c r="C339" s="3" t="s">
        <v>262</v>
      </c>
      <c r="D339" s="3" t="s">
        <v>757</v>
      </c>
      <c r="E339" s="3" t="s">
        <v>693</v>
      </c>
      <c r="F339" s="3" t="s">
        <v>42</v>
      </c>
      <c r="G339" s="11">
        <v>4</v>
      </c>
      <c r="H339" s="11">
        <v>0</v>
      </c>
      <c r="I339" s="3" t="s">
        <v>710</v>
      </c>
      <c r="J339" s="3" t="s">
        <v>1842</v>
      </c>
      <c r="K339" s="3">
        <v>43000</v>
      </c>
      <c r="L339" s="11">
        <v>2</v>
      </c>
      <c r="M339" s="11">
        <v>0</v>
      </c>
      <c r="N339" s="3" t="s">
        <v>769</v>
      </c>
      <c r="O339" s="3" t="s">
        <v>519</v>
      </c>
      <c r="P339" s="3" t="s">
        <v>658</v>
      </c>
      <c r="Q339" s="11">
        <v>293</v>
      </c>
      <c r="R339" s="11">
        <v>789</v>
      </c>
      <c r="S339" s="3" t="s">
        <v>47</v>
      </c>
      <c r="T339" s="4" t="s">
        <v>714</v>
      </c>
      <c r="U339" s="11">
        <f>World_Cup_Matches[[#This Row],[Home Team Goals]]+World_Cup_Matches[[#This Row],[Away Team Goals]]</f>
        <v>4</v>
      </c>
      <c r="V339" s="11">
        <f>World_Cup_Matches[[#This Row],[Home Team Goals]]-World_Cup_Matches[[#This Row],[Away Team Goals]]</f>
        <v>4</v>
      </c>
      <c r="W339" s="4" t="str">
        <f>IF(World_Cup_Matches[[#This Row],[Home Team Goals]]&gt;World_Cup_Matches[[#This Row],[Away Team Goals]],World_Cup_Matches[[#This Row],[Home Team Name]],IF(World_Cup_Matches[[#This Row],[Away Team Goals]]&gt;World_Cup_Matches[[#This Row],[Home Team Goals]], World_Cup_Matches[[#This Row],[Away Team Name]],"Draw"))</f>
        <v>Brazil</v>
      </c>
      <c r="X339" s="4" t="str">
        <f>IF(World_Cup_Matches[[#This Row],[Home Team Goals]]&gt;World_Cup_Matches[[#This Row],[Away Team Goals]],"Hime Win",IF(World_Cup_Matches[[#This Row],[Away Team Goals]]&gt;World_Cup_Matches[[#This Row],[Home Team Goals]],"Away win","Draw"))</f>
        <v>Hime Win</v>
      </c>
    </row>
    <row r="340" spans="1:24" x14ac:dyDescent="0.2">
      <c r="A340" s="19">
        <v>1982</v>
      </c>
      <c r="B340" s="15" t="s">
        <v>775</v>
      </c>
      <c r="C340" s="3" t="s">
        <v>40</v>
      </c>
      <c r="D340" s="3" t="s">
        <v>735</v>
      </c>
      <c r="E340" s="3" t="s">
        <v>736</v>
      </c>
      <c r="F340" s="3" t="s">
        <v>718</v>
      </c>
      <c r="G340" s="11">
        <v>3</v>
      </c>
      <c r="H340" s="11">
        <v>2</v>
      </c>
      <c r="I340" s="3" t="s">
        <v>61</v>
      </c>
      <c r="J340" s="3" t="s">
        <v>1842</v>
      </c>
      <c r="K340" s="3">
        <v>16000</v>
      </c>
      <c r="L340" s="11">
        <v>3</v>
      </c>
      <c r="M340" s="11">
        <v>0</v>
      </c>
      <c r="N340" s="3" t="s">
        <v>743</v>
      </c>
      <c r="O340" s="3" t="s">
        <v>749</v>
      </c>
      <c r="P340" s="3" t="s">
        <v>662</v>
      </c>
      <c r="Q340" s="11">
        <v>293</v>
      </c>
      <c r="R340" s="11">
        <v>740</v>
      </c>
      <c r="S340" s="3" t="s">
        <v>722</v>
      </c>
      <c r="T340" s="4" t="s">
        <v>63</v>
      </c>
      <c r="U340" s="11">
        <f>World_Cup_Matches[[#This Row],[Home Team Goals]]+World_Cup_Matches[[#This Row],[Away Team Goals]]</f>
        <v>5</v>
      </c>
      <c r="V340" s="11">
        <f>World_Cup_Matches[[#This Row],[Home Team Goals]]-World_Cup_Matches[[#This Row],[Away Team Goals]]</f>
        <v>1</v>
      </c>
      <c r="W340" s="4" t="str">
        <f>IF(World_Cup_Matches[[#This Row],[Home Team Goals]]&gt;World_Cup_Matches[[#This Row],[Away Team Goals]],World_Cup_Matches[[#This Row],[Home Team Name]],IF(World_Cup_Matches[[#This Row],[Away Team Goals]]&gt;World_Cup_Matches[[#This Row],[Home Team Goals]], World_Cup_Matches[[#This Row],[Away Team Name]],"Draw"))</f>
        <v>Algeria</v>
      </c>
      <c r="X340" s="4" t="str">
        <f>IF(World_Cup_Matches[[#This Row],[Home Team Goals]]&gt;World_Cup_Matches[[#This Row],[Away Team Goals]],"Hime Win",IF(World_Cup_Matches[[#This Row],[Away Team Goals]]&gt;World_Cup_Matches[[#This Row],[Home Team Goals]],"Away win","Draw"))</f>
        <v>Hime Win</v>
      </c>
    </row>
    <row r="341" spans="1:24" x14ac:dyDescent="0.2">
      <c r="A341" s="19">
        <v>1982</v>
      </c>
      <c r="B341" s="15" t="s">
        <v>775</v>
      </c>
      <c r="C341" s="3" t="s">
        <v>31</v>
      </c>
      <c r="D341" s="3" t="s">
        <v>739</v>
      </c>
      <c r="E341" s="3" t="s">
        <v>740</v>
      </c>
      <c r="F341" s="3" t="s">
        <v>24</v>
      </c>
      <c r="G341" s="11">
        <v>1</v>
      </c>
      <c r="H341" s="11">
        <v>1</v>
      </c>
      <c r="I341" s="3" t="s">
        <v>145</v>
      </c>
      <c r="J341" s="3" t="s">
        <v>1842</v>
      </c>
      <c r="K341" s="3">
        <v>28000</v>
      </c>
      <c r="L341" s="11">
        <v>0</v>
      </c>
      <c r="M341" s="11">
        <v>0</v>
      </c>
      <c r="N341" s="3" t="s">
        <v>721</v>
      </c>
      <c r="O341" s="3" t="s">
        <v>742</v>
      </c>
      <c r="P341" s="3" t="s">
        <v>572</v>
      </c>
      <c r="Q341" s="11">
        <v>293</v>
      </c>
      <c r="R341" s="11">
        <v>922</v>
      </c>
      <c r="S341" s="3" t="s">
        <v>29</v>
      </c>
      <c r="T341" s="4" t="s">
        <v>148</v>
      </c>
      <c r="U341" s="11">
        <f>World_Cup_Matches[[#This Row],[Home Team Goals]]+World_Cup_Matches[[#This Row],[Away Team Goals]]</f>
        <v>2</v>
      </c>
      <c r="V341" s="11">
        <f>World_Cup_Matches[[#This Row],[Home Team Goals]]-World_Cup_Matches[[#This Row],[Away Team Goals]]</f>
        <v>0</v>
      </c>
      <c r="W341" s="4" t="str">
        <f>IF(World_Cup_Matches[[#This Row],[Home Team Goals]]&gt;World_Cup_Matches[[#This Row],[Away Team Goals]],World_Cup_Matches[[#This Row],[Home Team Name]],IF(World_Cup_Matches[[#This Row],[Away Team Goals]]&gt;World_Cup_Matches[[#This Row],[Home Team Goals]], World_Cup_Matches[[#This Row],[Away Team Name]],"Draw"))</f>
        <v>Draw</v>
      </c>
      <c r="X341" s="4" t="str">
        <f>IF(World_Cup_Matches[[#This Row],[Home Team Goals]]&gt;World_Cup_Matches[[#This Row],[Away Team Goals]],"Hime Win",IF(World_Cup_Matches[[#This Row],[Away Team Goals]]&gt;World_Cup_Matches[[#This Row],[Home Team Goals]],"Away win","Draw"))</f>
        <v>Draw</v>
      </c>
    </row>
    <row r="342" spans="1:24" x14ac:dyDescent="0.2">
      <c r="A342" s="19">
        <v>1982</v>
      </c>
      <c r="B342" s="15" t="s">
        <v>776</v>
      </c>
      <c r="C342" s="3" t="s">
        <v>727</v>
      </c>
      <c r="D342" s="3" t="s">
        <v>747</v>
      </c>
      <c r="E342" s="3" t="s">
        <v>748</v>
      </c>
      <c r="F342" s="3" t="s">
        <v>730</v>
      </c>
      <c r="G342" s="11">
        <v>0</v>
      </c>
      <c r="H342" s="11">
        <v>1</v>
      </c>
      <c r="I342" s="3" t="s">
        <v>41</v>
      </c>
      <c r="J342" s="3" t="s">
        <v>1842</v>
      </c>
      <c r="K342" s="3">
        <v>25000</v>
      </c>
      <c r="L342" s="11">
        <v>0</v>
      </c>
      <c r="M342" s="11">
        <v>0</v>
      </c>
      <c r="N342" s="3" t="s">
        <v>725</v>
      </c>
      <c r="O342" s="3" t="s">
        <v>758</v>
      </c>
      <c r="P342" s="3" t="s">
        <v>619</v>
      </c>
      <c r="Q342" s="11">
        <v>293</v>
      </c>
      <c r="R342" s="11">
        <v>962</v>
      </c>
      <c r="S342" s="3" t="s">
        <v>733</v>
      </c>
      <c r="T342" s="4" t="s">
        <v>46</v>
      </c>
      <c r="U342" s="11">
        <f>World_Cup_Matches[[#This Row],[Home Team Goals]]+World_Cup_Matches[[#This Row],[Away Team Goals]]</f>
        <v>1</v>
      </c>
      <c r="V342" s="11">
        <f>World_Cup_Matches[[#This Row],[Home Team Goals]]-World_Cup_Matches[[#This Row],[Away Team Goals]]</f>
        <v>-1</v>
      </c>
      <c r="W342" s="4" t="str">
        <f>IF(World_Cup_Matches[[#This Row],[Home Team Goals]]&gt;World_Cup_Matches[[#This Row],[Away Team Goals]],World_Cup_Matches[[#This Row],[Home Team Name]],IF(World_Cup_Matches[[#This Row],[Away Team Goals]]&gt;World_Cup_Matches[[#This Row],[Home Team Goals]], World_Cup_Matches[[#This Row],[Away Team Name]],"Draw"))</f>
        <v>Yugoslavia</v>
      </c>
      <c r="X342" s="4" t="str">
        <f>IF(World_Cup_Matches[[#This Row],[Home Team Goals]]&gt;World_Cup_Matches[[#This Row],[Away Team Goals]],"Hime Win",IF(World_Cup_Matches[[#This Row],[Away Team Goals]]&gt;World_Cup_Matches[[#This Row],[Home Team Goals]],"Away win","Draw"))</f>
        <v>Away win</v>
      </c>
    </row>
    <row r="343" spans="1:24" x14ac:dyDescent="0.2">
      <c r="A343" s="19">
        <v>1982</v>
      </c>
      <c r="B343" s="15" t="s">
        <v>777</v>
      </c>
      <c r="C343" s="3" t="s">
        <v>40</v>
      </c>
      <c r="D343" s="3" t="s">
        <v>716</v>
      </c>
      <c r="E343" s="3" t="s">
        <v>717</v>
      </c>
      <c r="F343" s="3" t="s">
        <v>285</v>
      </c>
      <c r="G343" s="11">
        <v>1</v>
      </c>
      <c r="H343" s="11">
        <v>0</v>
      </c>
      <c r="I343" s="3" t="s">
        <v>91</v>
      </c>
      <c r="J343" s="3" t="s">
        <v>1842</v>
      </c>
      <c r="K343" s="3">
        <v>41000</v>
      </c>
      <c r="L343" s="11">
        <v>1</v>
      </c>
      <c r="M343" s="11">
        <v>0</v>
      </c>
      <c r="N343" s="3" t="s">
        <v>744</v>
      </c>
      <c r="O343" s="3" t="s">
        <v>706</v>
      </c>
      <c r="P343" s="3" t="s">
        <v>662</v>
      </c>
      <c r="Q343" s="11">
        <v>293</v>
      </c>
      <c r="R343" s="11">
        <v>770</v>
      </c>
      <c r="S343" s="3" t="s">
        <v>289</v>
      </c>
      <c r="T343" s="4" t="s">
        <v>96</v>
      </c>
      <c r="U343" s="11">
        <f>World_Cup_Matches[[#This Row],[Home Team Goals]]+World_Cup_Matches[[#This Row],[Away Team Goals]]</f>
        <v>1</v>
      </c>
      <c r="V343" s="11">
        <f>World_Cup_Matches[[#This Row],[Home Team Goals]]-World_Cup_Matches[[#This Row],[Away Team Goals]]</f>
        <v>1</v>
      </c>
      <c r="W343" s="4" t="str">
        <f>IF(World_Cup_Matches[[#This Row],[Home Team Goals]]&gt;World_Cup_Matches[[#This Row],[Away Team Goals]],World_Cup_Matches[[#This Row],[Home Team Name]],IF(World_Cup_Matches[[#This Row],[Away Team Goals]]&gt;World_Cup_Matches[[#This Row],[Home Team Goals]], World_Cup_Matches[[#This Row],[Away Team Name]],"Draw"))</f>
        <v>Germany FR</v>
      </c>
      <c r="X343" s="4" t="str">
        <f>IF(World_Cup_Matches[[#This Row],[Home Team Goals]]&gt;World_Cup_Matches[[#This Row],[Away Team Goals]],"Hime Win",IF(World_Cup_Matches[[#This Row],[Away Team Goals]]&gt;World_Cup_Matches[[#This Row],[Home Team Goals]],"Away win","Draw"))</f>
        <v>Hime Win</v>
      </c>
    </row>
    <row r="344" spans="1:24" x14ac:dyDescent="0.2">
      <c r="A344" s="19">
        <v>1982</v>
      </c>
      <c r="B344" s="15" t="s">
        <v>777</v>
      </c>
      <c r="C344" s="3" t="s">
        <v>31</v>
      </c>
      <c r="D344" s="3" t="s">
        <v>723</v>
      </c>
      <c r="E344" s="3" t="s">
        <v>724</v>
      </c>
      <c r="F344" s="3" t="s">
        <v>223</v>
      </c>
      <c r="G344" s="11">
        <v>1</v>
      </c>
      <c r="H344" s="11">
        <v>0</v>
      </c>
      <c r="I344" s="3" t="s">
        <v>741</v>
      </c>
      <c r="J344" s="3" t="s">
        <v>1842</v>
      </c>
      <c r="K344" s="3">
        <v>39700</v>
      </c>
      <c r="L344" s="11">
        <v>1</v>
      </c>
      <c r="M344" s="11">
        <v>0</v>
      </c>
      <c r="N344" s="3" t="s">
        <v>720</v>
      </c>
      <c r="O344" s="3" t="s">
        <v>707</v>
      </c>
      <c r="P344" s="3" t="s">
        <v>696</v>
      </c>
      <c r="Q344" s="11">
        <v>293</v>
      </c>
      <c r="R344" s="11">
        <v>882</v>
      </c>
      <c r="S344" s="3" t="s">
        <v>227</v>
      </c>
      <c r="T344" s="4" t="s">
        <v>745</v>
      </c>
      <c r="U344" s="11">
        <f>World_Cup_Matches[[#This Row],[Home Team Goals]]+World_Cup_Matches[[#This Row],[Away Team Goals]]</f>
        <v>1</v>
      </c>
      <c r="V344" s="11">
        <f>World_Cup_Matches[[#This Row],[Home Team Goals]]-World_Cup_Matches[[#This Row],[Away Team Goals]]</f>
        <v>1</v>
      </c>
      <c r="W344" s="4" t="str">
        <f>IF(World_Cup_Matches[[#This Row],[Home Team Goals]]&gt;World_Cup_Matches[[#This Row],[Away Team Goals]],World_Cup_Matches[[#This Row],[Home Team Name]],IF(World_Cup_Matches[[#This Row],[Away Team Goals]]&gt;World_Cup_Matches[[#This Row],[Home Team Goals]], World_Cup_Matches[[#This Row],[Away Team Name]],"Draw"))</f>
        <v>England</v>
      </c>
      <c r="X344" s="4" t="str">
        <f>IF(World_Cup_Matches[[#This Row],[Home Team Goals]]&gt;World_Cup_Matches[[#This Row],[Away Team Goals]],"Hime Win",IF(World_Cup_Matches[[#This Row],[Away Team Goals]]&gt;World_Cup_Matches[[#This Row],[Home Team Goals]],"Away win","Draw"))</f>
        <v>Hime Win</v>
      </c>
    </row>
    <row r="345" spans="1:24" x14ac:dyDescent="0.2">
      <c r="A345" s="19">
        <v>1982</v>
      </c>
      <c r="B345" s="15" t="s">
        <v>778</v>
      </c>
      <c r="C345" s="3" t="s">
        <v>727</v>
      </c>
      <c r="D345" s="3" t="s">
        <v>728</v>
      </c>
      <c r="E345" s="3" t="s">
        <v>729</v>
      </c>
      <c r="F345" s="3" t="s">
        <v>360</v>
      </c>
      <c r="G345" s="11">
        <v>1</v>
      </c>
      <c r="H345" s="11">
        <v>0</v>
      </c>
      <c r="I345" s="3" t="s">
        <v>131</v>
      </c>
      <c r="J345" s="3" t="s">
        <v>1842</v>
      </c>
      <c r="K345" s="3">
        <v>49562</v>
      </c>
      <c r="L345" s="11">
        <v>0</v>
      </c>
      <c r="M345" s="11">
        <v>0</v>
      </c>
      <c r="N345" s="3" t="s">
        <v>779</v>
      </c>
      <c r="O345" s="3" t="s">
        <v>719</v>
      </c>
      <c r="P345" s="3" t="s">
        <v>760</v>
      </c>
      <c r="Q345" s="11">
        <v>293</v>
      </c>
      <c r="R345" s="11">
        <v>902</v>
      </c>
      <c r="S345" s="3" t="s">
        <v>363</v>
      </c>
      <c r="T345" s="4" t="s">
        <v>135</v>
      </c>
      <c r="U345" s="11">
        <f>World_Cup_Matches[[#This Row],[Home Team Goals]]+World_Cup_Matches[[#This Row],[Away Team Goals]]</f>
        <v>1</v>
      </c>
      <c r="V345" s="11">
        <f>World_Cup_Matches[[#This Row],[Home Team Goals]]-World_Cup_Matches[[#This Row],[Away Team Goals]]</f>
        <v>1</v>
      </c>
      <c r="W345" s="4" t="str">
        <f>IF(World_Cup_Matches[[#This Row],[Home Team Goals]]&gt;World_Cup_Matches[[#This Row],[Away Team Goals]],World_Cup_Matches[[#This Row],[Home Team Name]],IF(World_Cup_Matches[[#This Row],[Away Team Goals]]&gt;World_Cup_Matches[[#This Row],[Home Team Goals]], World_Cup_Matches[[#This Row],[Away Team Name]],"Draw"))</f>
        <v>Northern Ireland</v>
      </c>
      <c r="X345" s="4" t="str">
        <f>IF(World_Cup_Matches[[#This Row],[Home Team Goals]]&gt;World_Cup_Matches[[#This Row],[Away Team Goals]],"Hime Win",IF(World_Cup_Matches[[#This Row],[Away Team Goals]]&gt;World_Cup_Matches[[#This Row],[Home Team Goals]],"Away win","Draw"))</f>
        <v>Hime Win</v>
      </c>
    </row>
    <row r="346" spans="1:24" x14ac:dyDescent="0.2">
      <c r="A346" s="19">
        <v>1982</v>
      </c>
      <c r="B346" s="15" t="s">
        <v>780</v>
      </c>
      <c r="C346" s="3" t="s">
        <v>31</v>
      </c>
      <c r="D346" s="3" t="s">
        <v>781</v>
      </c>
      <c r="E346" s="3" t="s">
        <v>782</v>
      </c>
      <c r="F346" s="3" t="s">
        <v>91</v>
      </c>
      <c r="G346" s="11">
        <v>0</v>
      </c>
      <c r="H346" s="11">
        <v>1</v>
      </c>
      <c r="I346" s="3" t="s">
        <v>24</v>
      </c>
      <c r="J346" s="3" t="s">
        <v>1842</v>
      </c>
      <c r="K346" s="3">
        <v>37000</v>
      </c>
      <c r="L346" s="11">
        <v>0</v>
      </c>
      <c r="M346" s="11">
        <v>1</v>
      </c>
      <c r="N346" s="3" t="s">
        <v>572</v>
      </c>
      <c r="O346" s="3" t="s">
        <v>686</v>
      </c>
      <c r="P346" s="3" t="s">
        <v>769</v>
      </c>
      <c r="Q346" s="11">
        <v>294</v>
      </c>
      <c r="R346" s="11">
        <v>767</v>
      </c>
      <c r="S346" s="3" t="s">
        <v>96</v>
      </c>
      <c r="T346" s="4" t="s">
        <v>29</v>
      </c>
      <c r="U346" s="11">
        <f>World_Cup_Matches[[#This Row],[Home Team Goals]]+World_Cup_Matches[[#This Row],[Away Team Goals]]</f>
        <v>1</v>
      </c>
      <c r="V346" s="11">
        <f>World_Cup_Matches[[#This Row],[Home Team Goals]]-World_Cup_Matches[[#This Row],[Away Team Goals]]</f>
        <v>-1</v>
      </c>
      <c r="W346" s="4" t="str">
        <f>IF(World_Cup_Matches[[#This Row],[Home Team Goals]]&gt;World_Cup_Matches[[#This Row],[Away Team Goals]],World_Cup_Matches[[#This Row],[Home Team Name]],IF(World_Cup_Matches[[#This Row],[Away Team Goals]]&gt;World_Cup_Matches[[#This Row],[Home Team Goals]], World_Cup_Matches[[#This Row],[Away Team Name]],"Draw"))</f>
        <v>France</v>
      </c>
      <c r="X346" s="4" t="str">
        <f>IF(World_Cup_Matches[[#This Row],[Home Team Goals]]&gt;World_Cup_Matches[[#This Row],[Away Team Goals]],"Hime Win",IF(World_Cup_Matches[[#This Row],[Away Team Goals]]&gt;World_Cup_Matches[[#This Row],[Home Team Goals]],"Away win","Draw"))</f>
        <v>Away win</v>
      </c>
    </row>
    <row r="347" spans="1:24" x14ac:dyDescent="0.2">
      <c r="A347" s="19">
        <v>1982</v>
      </c>
      <c r="B347" s="15" t="s">
        <v>783</v>
      </c>
      <c r="C347" s="3" t="s">
        <v>21</v>
      </c>
      <c r="D347" s="3" t="s">
        <v>684</v>
      </c>
      <c r="E347" s="3" t="s">
        <v>685</v>
      </c>
      <c r="F347" s="3" t="s">
        <v>190</v>
      </c>
      <c r="G347" s="11">
        <v>3</v>
      </c>
      <c r="H347" s="11">
        <v>0</v>
      </c>
      <c r="I347" s="3" t="s">
        <v>34</v>
      </c>
      <c r="J347" s="3" t="s">
        <v>1842</v>
      </c>
      <c r="K347" s="3">
        <v>65000</v>
      </c>
      <c r="L347" s="11">
        <v>2</v>
      </c>
      <c r="M347" s="11">
        <v>0</v>
      </c>
      <c r="N347" s="3" t="s">
        <v>758</v>
      </c>
      <c r="O347" s="3" t="s">
        <v>719</v>
      </c>
      <c r="P347" s="3" t="s">
        <v>725</v>
      </c>
      <c r="Q347" s="11">
        <v>294</v>
      </c>
      <c r="R347" s="11">
        <v>782</v>
      </c>
      <c r="S347" s="3" t="s">
        <v>194</v>
      </c>
      <c r="T347" s="4" t="s">
        <v>38</v>
      </c>
      <c r="U347" s="11">
        <f>World_Cup_Matches[[#This Row],[Home Team Goals]]+World_Cup_Matches[[#This Row],[Away Team Goals]]</f>
        <v>3</v>
      </c>
      <c r="V347" s="11">
        <f>World_Cup_Matches[[#This Row],[Home Team Goals]]-World_Cup_Matches[[#This Row],[Away Team Goals]]</f>
        <v>3</v>
      </c>
      <c r="W347" s="4" t="str">
        <f>IF(World_Cup_Matches[[#This Row],[Home Team Goals]]&gt;World_Cup_Matches[[#This Row],[Away Team Goals]],World_Cup_Matches[[#This Row],[Home Team Name]],IF(World_Cup_Matches[[#This Row],[Away Team Goals]]&gt;World_Cup_Matches[[#This Row],[Home Team Goals]], World_Cup_Matches[[#This Row],[Away Team Name]],"Draw"))</f>
        <v>Poland</v>
      </c>
      <c r="X347" s="4" t="str">
        <f>IF(World_Cup_Matches[[#This Row],[Home Team Goals]]&gt;World_Cup_Matches[[#This Row],[Away Team Goals]],"Hime Win",IF(World_Cup_Matches[[#This Row],[Away Team Goals]]&gt;World_Cup_Matches[[#This Row],[Home Team Goals]],"Away win","Draw"))</f>
        <v>Hime Win</v>
      </c>
    </row>
    <row r="348" spans="1:24" x14ac:dyDescent="0.2">
      <c r="A348" s="19">
        <v>1982</v>
      </c>
      <c r="B348" s="15" t="s">
        <v>784</v>
      </c>
      <c r="C348" s="3" t="s">
        <v>49</v>
      </c>
      <c r="D348" s="3" t="s">
        <v>785</v>
      </c>
      <c r="E348" s="3" t="s">
        <v>685</v>
      </c>
      <c r="F348" s="3" t="s">
        <v>138</v>
      </c>
      <c r="G348" s="11">
        <v>2</v>
      </c>
      <c r="H348" s="11">
        <v>1</v>
      </c>
      <c r="I348" s="3" t="s">
        <v>56</v>
      </c>
      <c r="J348" s="3" t="s">
        <v>1842</v>
      </c>
      <c r="K348" s="3">
        <v>43000</v>
      </c>
      <c r="L348" s="11">
        <v>0</v>
      </c>
      <c r="M348" s="11">
        <v>0</v>
      </c>
      <c r="N348" s="3" t="s">
        <v>574</v>
      </c>
      <c r="O348" s="3" t="s">
        <v>750</v>
      </c>
      <c r="P348" s="3" t="s">
        <v>756</v>
      </c>
      <c r="Q348" s="11">
        <v>294</v>
      </c>
      <c r="R348" s="11">
        <v>753</v>
      </c>
      <c r="S348" s="3" t="s">
        <v>142</v>
      </c>
      <c r="T348" s="4" t="s">
        <v>59</v>
      </c>
      <c r="U348" s="11">
        <f>World_Cup_Matches[[#This Row],[Home Team Goals]]+World_Cup_Matches[[#This Row],[Away Team Goals]]</f>
        <v>3</v>
      </c>
      <c r="V348" s="11">
        <f>World_Cup_Matches[[#This Row],[Home Team Goals]]-World_Cup_Matches[[#This Row],[Away Team Goals]]</f>
        <v>1</v>
      </c>
      <c r="W348" s="4" t="str">
        <f>IF(World_Cup_Matches[[#This Row],[Home Team Goals]]&gt;World_Cup_Matches[[#This Row],[Away Team Goals]],World_Cup_Matches[[#This Row],[Home Team Name]],IF(World_Cup_Matches[[#This Row],[Away Team Goals]]&gt;World_Cup_Matches[[#This Row],[Home Team Goals]], World_Cup_Matches[[#This Row],[Away Team Name]],"Draw"))</f>
        <v>Italy</v>
      </c>
      <c r="X348" s="4" t="str">
        <f>IF(World_Cup_Matches[[#This Row],[Home Team Goals]]&gt;World_Cup_Matches[[#This Row],[Away Team Goals]],"Hime Win",IF(World_Cup_Matches[[#This Row],[Away Team Goals]]&gt;World_Cup_Matches[[#This Row],[Home Team Goals]],"Away win","Draw"))</f>
        <v>Hime Win</v>
      </c>
    </row>
    <row r="349" spans="1:24" x14ac:dyDescent="0.2">
      <c r="A349" s="19">
        <v>1982</v>
      </c>
      <c r="B349" s="15" t="s">
        <v>786</v>
      </c>
      <c r="C349" s="3" t="s">
        <v>40</v>
      </c>
      <c r="D349" s="3" t="s">
        <v>787</v>
      </c>
      <c r="E349" s="3" t="s">
        <v>782</v>
      </c>
      <c r="F349" s="3" t="s">
        <v>285</v>
      </c>
      <c r="G349" s="11">
        <v>0</v>
      </c>
      <c r="H349" s="11">
        <v>0</v>
      </c>
      <c r="I349" s="3" t="s">
        <v>223</v>
      </c>
      <c r="J349" s="3" t="s">
        <v>1842</v>
      </c>
      <c r="K349" s="3">
        <v>75000</v>
      </c>
      <c r="L349" s="11">
        <v>0</v>
      </c>
      <c r="M349" s="11">
        <v>0</v>
      </c>
      <c r="N349" s="3" t="s">
        <v>662</v>
      </c>
      <c r="O349" s="3" t="s">
        <v>779</v>
      </c>
      <c r="P349" s="3" t="s">
        <v>743</v>
      </c>
      <c r="Q349" s="11">
        <v>294</v>
      </c>
      <c r="R349" s="11">
        <v>879</v>
      </c>
      <c r="S349" s="3" t="s">
        <v>289</v>
      </c>
      <c r="T349" s="4" t="s">
        <v>227</v>
      </c>
      <c r="U349" s="11">
        <f>World_Cup_Matches[[#This Row],[Home Team Goals]]+World_Cup_Matches[[#This Row],[Away Team Goals]]</f>
        <v>0</v>
      </c>
      <c r="V349" s="11">
        <f>World_Cup_Matches[[#This Row],[Home Team Goals]]-World_Cup_Matches[[#This Row],[Away Team Goals]]</f>
        <v>0</v>
      </c>
      <c r="W349" s="4" t="str">
        <f>IF(World_Cup_Matches[[#This Row],[Home Team Goals]]&gt;World_Cup_Matches[[#This Row],[Away Team Goals]],World_Cup_Matches[[#This Row],[Home Team Name]],IF(World_Cup_Matches[[#This Row],[Away Team Goals]]&gt;World_Cup_Matches[[#This Row],[Home Team Goals]], World_Cup_Matches[[#This Row],[Away Team Name]],"Draw"))</f>
        <v>Draw</v>
      </c>
      <c r="X349" s="4" t="str">
        <f>IF(World_Cup_Matches[[#This Row],[Home Team Goals]]&gt;World_Cup_Matches[[#This Row],[Away Team Goals]],"Hime Win",IF(World_Cup_Matches[[#This Row],[Away Team Goals]]&gt;World_Cup_Matches[[#This Row],[Home Team Goals]],"Away win","Draw"))</f>
        <v>Draw</v>
      </c>
    </row>
    <row r="350" spans="1:24" x14ac:dyDescent="0.2">
      <c r="A350" s="19">
        <v>1982</v>
      </c>
      <c r="B350" s="15" t="s">
        <v>788</v>
      </c>
      <c r="C350" s="3" t="s">
        <v>31</v>
      </c>
      <c r="D350" s="3" t="s">
        <v>781</v>
      </c>
      <c r="E350" s="3" t="s">
        <v>782</v>
      </c>
      <c r="F350" s="3" t="s">
        <v>91</v>
      </c>
      <c r="G350" s="11">
        <v>2</v>
      </c>
      <c r="H350" s="11">
        <v>2</v>
      </c>
      <c r="I350" s="3" t="s">
        <v>360</v>
      </c>
      <c r="J350" s="3" t="s">
        <v>1842</v>
      </c>
      <c r="K350" s="3">
        <v>20000</v>
      </c>
      <c r="L350" s="11">
        <v>0</v>
      </c>
      <c r="M350" s="11">
        <v>1</v>
      </c>
      <c r="N350" s="3" t="s">
        <v>663</v>
      </c>
      <c r="O350" s="3" t="s">
        <v>749</v>
      </c>
      <c r="P350" s="3" t="s">
        <v>601</v>
      </c>
      <c r="Q350" s="11">
        <v>294</v>
      </c>
      <c r="R350" s="11">
        <v>771</v>
      </c>
      <c r="S350" s="3" t="s">
        <v>96</v>
      </c>
      <c r="T350" s="4" t="s">
        <v>363</v>
      </c>
      <c r="U350" s="11">
        <f>World_Cup_Matches[[#This Row],[Home Team Goals]]+World_Cup_Matches[[#This Row],[Away Team Goals]]</f>
        <v>4</v>
      </c>
      <c r="V350" s="11">
        <f>World_Cup_Matches[[#This Row],[Home Team Goals]]-World_Cup_Matches[[#This Row],[Away Team Goals]]</f>
        <v>0</v>
      </c>
      <c r="W350" s="4" t="str">
        <f>IF(World_Cup_Matches[[#This Row],[Home Team Goals]]&gt;World_Cup_Matches[[#This Row],[Away Team Goals]],World_Cup_Matches[[#This Row],[Home Team Name]],IF(World_Cup_Matches[[#This Row],[Away Team Goals]]&gt;World_Cup_Matches[[#This Row],[Home Team Goals]], World_Cup_Matches[[#This Row],[Away Team Name]],"Draw"))</f>
        <v>Draw</v>
      </c>
      <c r="X350" s="4" t="str">
        <f>IF(World_Cup_Matches[[#This Row],[Home Team Goals]]&gt;World_Cup_Matches[[#This Row],[Away Team Goals]],"Hime Win",IF(World_Cup_Matches[[#This Row],[Away Team Goals]]&gt;World_Cup_Matches[[#This Row],[Home Team Goals]],"Away win","Draw"))</f>
        <v>Draw</v>
      </c>
    </row>
    <row r="351" spans="1:24" x14ac:dyDescent="0.2">
      <c r="A351" s="19">
        <v>1982</v>
      </c>
      <c r="B351" s="15" t="s">
        <v>789</v>
      </c>
      <c r="C351" s="3" t="s">
        <v>21</v>
      </c>
      <c r="D351" s="3" t="s">
        <v>684</v>
      </c>
      <c r="E351" s="3" t="s">
        <v>685</v>
      </c>
      <c r="F351" s="3" t="s">
        <v>34</v>
      </c>
      <c r="G351" s="11">
        <v>0</v>
      </c>
      <c r="H351" s="11">
        <v>1</v>
      </c>
      <c r="I351" s="3" t="s">
        <v>332</v>
      </c>
      <c r="J351" s="3" t="s">
        <v>1842</v>
      </c>
      <c r="K351" s="3">
        <v>45000</v>
      </c>
      <c r="L351" s="11">
        <v>0</v>
      </c>
      <c r="M351" s="11">
        <v>0</v>
      </c>
      <c r="N351" s="3" t="s">
        <v>690</v>
      </c>
      <c r="O351" s="3" t="s">
        <v>658</v>
      </c>
      <c r="P351" s="3" t="s">
        <v>634</v>
      </c>
      <c r="Q351" s="11">
        <v>294</v>
      </c>
      <c r="R351" s="11">
        <v>783</v>
      </c>
      <c r="S351" s="3" t="s">
        <v>38</v>
      </c>
      <c r="T351" s="4" t="s">
        <v>335</v>
      </c>
      <c r="U351" s="11">
        <f>World_Cup_Matches[[#This Row],[Home Team Goals]]+World_Cup_Matches[[#This Row],[Away Team Goals]]</f>
        <v>1</v>
      </c>
      <c r="V351" s="11">
        <f>World_Cup_Matches[[#This Row],[Home Team Goals]]-World_Cup_Matches[[#This Row],[Away Team Goals]]</f>
        <v>-1</v>
      </c>
      <c r="W351" s="4" t="str">
        <f>IF(World_Cup_Matches[[#This Row],[Home Team Goals]]&gt;World_Cup_Matches[[#This Row],[Away Team Goals]],World_Cup_Matches[[#This Row],[Home Team Name]],IF(World_Cup_Matches[[#This Row],[Away Team Goals]]&gt;World_Cup_Matches[[#This Row],[Home Team Goals]], World_Cup_Matches[[#This Row],[Away Team Name]],"Draw"))</f>
        <v>Soviet Union</v>
      </c>
      <c r="X351" s="4" t="str">
        <f>IF(World_Cup_Matches[[#This Row],[Home Team Goals]]&gt;World_Cup_Matches[[#This Row],[Away Team Goals]],"Hime Win",IF(World_Cup_Matches[[#This Row],[Away Team Goals]]&gt;World_Cup_Matches[[#This Row],[Home Team Goals]],"Away win","Draw"))</f>
        <v>Away win</v>
      </c>
    </row>
    <row r="352" spans="1:24" x14ac:dyDescent="0.2">
      <c r="A352" s="19">
        <v>1982</v>
      </c>
      <c r="B352" s="15" t="s">
        <v>790</v>
      </c>
      <c r="C352" s="3" t="s">
        <v>49</v>
      </c>
      <c r="D352" s="3" t="s">
        <v>785</v>
      </c>
      <c r="E352" s="3" t="s">
        <v>685</v>
      </c>
      <c r="F352" s="3" t="s">
        <v>56</v>
      </c>
      <c r="G352" s="11">
        <v>1</v>
      </c>
      <c r="H352" s="11">
        <v>3</v>
      </c>
      <c r="I352" s="3" t="s">
        <v>42</v>
      </c>
      <c r="J352" s="3" t="s">
        <v>1842</v>
      </c>
      <c r="K352" s="3">
        <v>44000</v>
      </c>
      <c r="L352" s="11">
        <v>0</v>
      </c>
      <c r="M352" s="11">
        <v>1</v>
      </c>
      <c r="N352" s="3" t="s">
        <v>752</v>
      </c>
      <c r="O352" s="3" t="s">
        <v>720</v>
      </c>
      <c r="P352" s="3" t="s">
        <v>725</v>
      </c>
      <c r="Q352" s="11">
        <v>294</v>
      </c>
      <c r="R352" s="11">
        <v>750</v>
      </c>
      <c r="S352" s="3" t="s">
        <v>59</v>
      </c>
      <c r="T352" s="4" t="s">
        <v>47</v>
      </c>
      <c r="U352" s="11">
        <f>World_Cup_Matches[[#This Row],[Home Team Goals]]+World_Cup_Matches[[#This Row],[Away Team Goals]]</f>
        <v>4</v>
      </c>
      <c r="V352" s="11">
        <f>World_Cup_Matches[[#This Row],[Home Team Goals]]-World_Cup_Matches[[#This Row],[Away Team Goals]]</f>
        <v>-2</v>
      </c>
      <c r="W352" s="4" t="str">
        <f>IF(World_Cup_Matches[[#This Row],[Home Team Goals]]&gt;World_Cup_Matches[[#This Row],[Away Team Goals]],World_Cup_Matches[[#This Row],[Home Team Name]],IF(World_Cup_Matches[[#This Row],[Away Team Goals]]&gt;World_Cup_Matches[[#This Row],[Home Team Goals]], World_Cup_Matches[[#This Row],[Away Team Name]],"Draw"))</f>
        <v>Brazil</v>
      </c>
      <c r="X352" s="4" t="str">
        <f>IF(World_Cup_Matches[[#This Row],[Home Team Goals]]&gt;World_Cup_Matches[[#This Row],[Away Team Goals]],"Hime Win",IF(World_Cup_Matches[[#This Row],[Away Team Goals]]&gt;World_Cup_Matches[[#This Row],[Home Team Goals]],"Away win","Draw"))</f>
        <v>Away win</v>
      </c>
    </row>
    <row r="353" spans="1:24" x14ac:dyDescent="0.2">
      <c r="A353" s="19">
        <v>1982</v>
      </c>
      <c r="B353" s="15" t="s">
        <v>791</v>
      </c>
      <c r="C353" s="3" t="s">
        <v>40</v>
      </c>
      <c r="D353" s="3" t="s">
        <v>787</v>
      </c>
      <c r="E353" s="3" t="s">
        <v>782</v>
      </c>
      <c r="F353" s="3" t="s">
        <v>285</v>
      </c>
      <c r="G353" s="11">
        <v>2</v>
      </c>
      <c r="H353" s="11">
        <v>1</v>
      </c>
      <c r="I353" s="3" t="s">
        <v>131</v>
      </c>
      <c r="J353" s="3" t="s">
        <v>1842</v>
      </c>
      <c r="K353" s="3">
        <v>90089</v>
      </c>
      <c r="L353" s="11">
        <v>0</v>
      </c>
      <c r="M353" s="11">
        <v>0</v>
      </c>
      <c r="N353" s="3" t="s">
        <v>721</v>
      </c>
      <c r="O353" s="3" t="s">
        <v>701</v>
      </c>
      <c r="P353" s="3" t="s">
        <v>572</v>
      </c>
      <c r="Q353" s="11">
        <v>294</v>
      </c>
      <c r="R353" s="11">
        <v>900</v>
      </c>
      <c r="S353" s="3" t="s">
        <v>289</v>
      </c>
      <c r="T353" s="4" t="s">
        <v>135</v>
      </c>
      <c r="U353" s="11">
        <f>World_Cup_Matches[[#This Row],[Home Team Goals]]+World_Cup_Matches[[#This Row],[Away Team Goals]]</f>
        <v>3</v>
      </c>
      <c r="V353" s="11">
        <f>World_Cup_Matches[[#This Row],[Home Team Goals]]-World_Cup_Matches[[#This Row],[Away Team Goals]]</f>
        <v>1</v>
      </c>
      <c r="W353" s="4" t="str">
        <f>IF(World_Cup_Matches[[#This Row],[Home Team Goals]]&gt;World_Cup_Matches[[#This Row],[Away Team Goals]],World_Cup_Matches[[#This Row],[Home Team Name]],IF(World_Cup_Matches[[#This Row],[Away Team Goals]]&gt;World_Cup_Matches[[#This Row],[Home Team Goals]], World_Cup_Matches[[#This Row],[Away Team Name]],"Draw"))</f>
        <v>Germany FR</v>
      </c>
      <c r="X353" s="4" t="str">
        <f>IF(World_Cup_Matches[[#This Row],[Home Team Goals]]&gt;World_Cup_Matches[[#This Row],[Away Team Goals]],"Hime Win",IF(World_Cup_Matches[[#This Row],[Away Team Goals]]&gt;World_Cup_Matches[[#This Row],[Home Team Goals]],"Away win","Draw"))</f>
        <v>Hime Win</v>
      </c>
    </row>
    <row r="354" spans="1:24" x14ac:dyDescent="0.2">
      <c r="A354" s="19">
        <v>1982</v>
      </c>
      <c r="B354" s="15" t="s">
        <v>792</v>
      </c>
      <c r="C354" s="3" t="s">
        <v>31</v>
      </c>
      <c r="D354" s="3" t="s">
        <v>781</v>
      </c>
      <c r="E354" s="3" t="s">
        <v>782</v>
      </c>
      <c r="F354" s="3" t="s">
        <v>24</v>
      </c>
      <c r="G354" s="11">
        <v>4</v>
      </c>
      <c r="H354" s="11">
        <v>1</v>
      </c>
      <c r="I354" s="3" t="s">
        <v>360</v>
      </c>
      <c r="J354" s="3" t="s">
        <v>1842</v>
      </c>
      <c r="K354" s="3">
        <v>37000</v>
      </c>
      <c r="L354" s="11">
        <v>1</v>
      </c>
      <c r="M354" s="11">
        <v>0</v>
      </c>
      <c r="N354" s="3" t="s">
        <v>637</v>
      </c>
      <c r="O354" s="3" t="s">
        <v>574</v>
      </c>
      <c r="P354" s="3" t="s">
        <v>713</v>
      </c>
      <c r="Q354" s="11">
        <v>294</v>
      </c>
      <c r="R354" s="11">
        <v>920</v>
      </c>
      <c r="S354" s="3" t="s">
        <v>29</v>
      </c>
      <c r="T354" s="4" t="s">
        <v>363</v>
      </c>
      <c r="U354" s="11">
        <f>World_Cup_Matches[[#This Row],[Home Team Goals]]+World_Cup_Matches[[#This Row],[Away Team Goals]]</f>
        <v>5</v>
      </c>
      <c r="V354" s="11">
        <f>World_Cup_Matches[[#This Row],[Home Team Goals]]-World_Cup_Matches[[#This Row],[Away Team Goals]]</f>
        <v>3</v>
      </c>
      <c r="W354" s="4" t="str">
        <f>IF(World_Cup_Matches[[#This Row],[Home Team Goals]]&gt;World_Cup_Matches[[#This Row],[Away Team Goals]],World_Cup_Matches[[#This Row],[Home Team Name]],IF(World_Cup_Matches[[#This Row],[Away Team Goals]]&gt;World_Cup_Matches[[#This Row],[Home Team Goals]], World_Cup_Matches[[#This Row],[Away Team Name]],"Draw"))</f>
        <v>France</v>
      </c>
      <c r="X354" s="4" t="str">
        <f>IF(World_Cup_Matches[[#This Row],[Home Team Goals]]&gt;World_Cup_Matches[[#This Row],[Away Team Goals]],"Hime Win",IF(World_Cup_Matches[[#This Row],[Away Team Goals]]&gt;World_Cup_Matches[[#This Row],[Home Team Goals]],"Away win","Draw"))</f>
        <v>Hime Win</v>
      </c>
    </row>
    <row r="355" spans="1:24" x14ac:dyDescent="0.2">
      <c r="A355" s="19">
        <v>1982</v>
      </c>
      <c r="B355" s="15" t="s">
        <v>793</v>
      </c>
      <c r="C355" s="3" t="s">
        <v>21</v>
      </c>
      <c r="D355" s="3" t="s">
        <v>684</v>
      </c>
      <c r="E355" s="3" t="s">
        <v>685</v>
      </c>
      <c r="F355" s="3" t="s">
        <v>190</v>
      </c>
      <c r="G355" s="11">
        <v>0</v>
      </c>
      <c r="H355" s="11">
        <v>0</v>
      </c>
      <c r="I355" s="3" t="s">
        <v>332</v>
      </c>
      <c r="J355" s="3" t="s">
        <v>1842</v>
      </c>
      <c r="K355" s="3">
        <v>65000</v>
      </c>
      <c r="L355" s="11">
        <v>0</v>
      </c>
      <c r="M355" s="11">
        <v>0</v>
      </c>
      <c r="N355" s="3" t="s">
        <v>744</v>
      </c>
      <c r="O355" s="3" t="s">
        <v>707</v>
      </c>
      <c r="P355" s="3" t="s">
        <v>764</v>
      </c>
      <c r="Q355" s="11">
        <v>294</v>
      </c>
      <c r="R355" s="11">
        <v>1058</v>
      </c>
      <c r="S355" s="3" t="s">
        <v>194</v>
      </c>
      <c r="T355" s="4" t="s">
        <v>335</v>
      </c>
      <c r="U355" s="11">
        <f>World_Cup_Matches[[#This Row],[Home Team Goals]]+World_Cup_Matches[[#This Row],[Away Team Goals]]</f>
        <v>0</v>
      </c>
      <c r="V355" s="11">
        <f>World_Cup_Matches[[#This Row],[Home Team Goals]]-World_Cup_Matches[[#This Row],[Away Team Goals]]</f>
        <v>0</v>
      </c>
      <c r="W355" s="4" t="str">
        <f>IF(World_Cup_Matches[[#This Row],[Home Team Goals]]&gt;World_Cup_Matches[[#This Row],[Away Team Goals]],World_Cup_Matches[[#This Row],[Home Team Name]],IF(World_Cup_Matches[[#This Row],[Away Team Goals]]&gt;World_Cup_Matches[[#This Row],[Home Team Goals]], World_Cup_Matches[[#This Row],[Away Team Name]],"Draw"))</f>
        <v>Draw</v>
      </c>
      <c r="X355" s="4" t="str">
        <f>IF(World_Cup_Matches[[#This Row],[Home Team Goals]]&gt;World_Cup_Matches[[#This Row],[Away Team Goals]],"Hime Win",IF(World_Cup_Matches[[#This Row],[Away Team Goals]]&gt;World_Cup_Matches[[#This Row],[Home Team Goals]],"Away win","Draw"))</f>
        <v>Draw</v>
      </c>
    </row>
    <row r="356" spans="1:24" x14ac:dyDescent="0.2">
      <c r="A356" s="19">
        <v>1982</v>
      </c>
      <c r="B356" s="15" t="s">
        <v>794</v>
      </c>
      <c r="C356" s="3" t="s">
        <v>49</v>
      </c>
      <c r="D356" s="3" t="s">
        <v>785</v>
      </c>
      <c r="E356" s="3" t="s">
        <v>685</v>
      </c>
      <c r="F356" s="3" t="s">
        <v>138</v>
      </c>
      <c r="G356" s="11">
        <v>3</v>
      </c>
      <c r="H356" s="11">
        <v>2</v>
      </c>
      <c r="I356" s="3" t="s">
        <v>42</v>
      </c>
      <c r="J356" s="3" t="s">
        <v>1842</v>
      </c>
      <c r="K356" s="3">
        <v>44000</v>
      </c>
      <c r="L356" s="11">
        <v>2</v>
      </c>
      <c r="M356" s="11">
        <v>1</v>
      </c>
      <c r="N356" s="3" t="s">
        <v>519</v>
      </c>
      <c r="O356" s="3" t="s">
        <v>712</v>
      </c>
      <c r="P356" s="3" t="s">
        <v>731</v>
      </c>
      <c r="Q356" s="11">
        <v>294</v>
      </c>
      <c r="R356" s="11">
        <v>788</v>
      </c>
      <c r="S356" s="3" t="s">
        <v>142</v>
      </c>
      <c r="T356" s="4" t="s">
        <v>47</v>
      </c>
      <c r="U356" s="11">
        <f>World_Cup_Matches[[#This Row],[Home Team Goals]]+World_Cup_Matches[[#This Row],[Away Team Goals]]</f>
        <v>5</v>
      </c>
      <c r="V356" s="11">
        <f>World_Cup_Matches[[#This Row],[Home Team Goals]]-World_Cup_Matches[[#This Row],[Away Team Goals]]</f>
        <v>1</v>
      </c>
      <c r="W356" s="4" t="str">
        <f>IF(World_Cup_Matches[[#This Row],[Home Team Goals]]&gt;World_Cup_Matches[[#This Row],[Away Team Goals]],World_Cup_Matches[[#This Row],[Home Team Name]],IF(World_Cup_Matches[[#This Row],[Away Team Goals]]&gt;World_Cup_Matches[[#This Row],[Home Team Goals]], World_Cup_Matches[[#This Row],[Away Team Name]],"Draw"))</f>
        <v>Italy</v>
      </c>
      <c r="X356" s="4" t="str">
        <f>IF(World_Cup_Matches[[#This Row],[Home Team Goals]]&gt;World_Cup_Matches[[#This Row],[Away Team Goals]],"Hime Win",IF(World_Cup_Matches[[#This Row],[Away Team Goals]]&gt;World_Cup_Matches[[#This Row],[Home Team Goals]],"Away win","Draw"))</f>
        <v>Hime Win</v>
      </c>
    </row>
    <row r="357" spans="1:24" x14ac:dyDescent="0.2">
      <c r="A357" s="19">
        <v>1982</v>
      </c>
      <c r="B357" s="15" t="s">
        <v>795</v>
      </c>
      <c r="C357" s="3" t="s">
        <v>40</v>
      </c>
      <c r="D357" s="3" t="s">
        <v>787</v>
      </c>
      <c r="E357" s="3" t="s">
        <v>782</v>
      </c>
      <c r="F357" s="3" t="s">
        <v>131</v>
      </c>
      <c r="G357" s="11">
        <v>0</v>
      </c>
      <c r="H357" s="11">
        <v>0</v>
      </c>
      <c r="I357" s="3" t="s">
        <v>223</v>
      </c>
      <c r="J357" s="3" t="s">
        <v>1842</v>
      </c>
      <c r="K357" s="3">
        <v>75000</v>
      </c>
      <c r="L357" s="11">
        <v>0</v>
      </c>
      <c r="M357" s="11">
        <v>0</v>
      </c>
      <c r="N357" s="3" t="s">
        <v>760</v>
      </c>
      <c r="O357" s="3" t="s">
        <v>690</v>
      </c>
      <c r="P357" s="3" t="s">
        <v>756</v>
      </c>
      <c r="Q357" s="11">
        <v>294</v>
      </c>
      <c r="R357" s="11">
        <v>877</v>
      </c>
      <c r="S357" s="3" t="s">
        <v>135</v>
      </c>
      <c r="T357" s="4" t="s">
        <v>227</v>
      </c>
      <c r="U357" s="11">
        <f>World_Cup_Matches[[#This Row],[Home Team Goals]]+World_Cup_Matches[[#This Row],[Away Team Goals]]</f>
        <v>0</v>
      </c>
      <c r="V357" s="11">
        <f>World_Cup_Matches[[#This Row],[Home Team Goals]]-World_Cup_Matches[[#This Row],[Away Team Goals]]</f>
        <v>0</v>
      </c>
      <c r="W357" s="4" t="str">
        <f>IF(World_Cup_Matches[[#This Row],[Home Team Goals]]&gt;World_Cup_Matches[[#This Row],[Away Team Goals]],World_Cup_Matches[[#This Row],[Home Team Name]],IF(World_Cup_Matches[[#This Row],[Away Team Goals]]&gt;World_Cup_Matches[[#This Row],[Home Team Goals]], World_Cup_Matches[[#This Row],[Away Team Name]],"Draw"))</f>
        <v>Draw</v>
      </c>
      <c r="X357" s="4" t="str">
        <f>IF(World_Cup_Matches[[#This Row],[Home Team Goals]]&gt;World_Cup_Matches[[#This Row],[Away Team Goals]],"Hime Win",IF(World_Cup_Matches[[#This Row],[Away Team Goals]]&gt;World_Cup_Matches[[#This Row],[Home Team Goals]],"Away win","Draw"))</f>
        <v>Draw</v>
      </c>
    </row>
    <row r="358" spans="1:24" x14ac:dyDescent="0.2">
      <c r="A358" s="19">
        <v>1982</v>
      </c>
      <c r="B358" s="15" t="s">
        <v>796</v>
      </c>
      <c r="C358" s="3" t="s">
        <v>83</v>
      </c>
      <c r="D358" s="3" t="s">
        <v>684</v>
      </c>
      <c r="E358" s="3" t="s">
        <v>685</v>
      </c>
      <c r="F358" s="3" t="s">
        <v>190</v>
      </c>
      <c r="G358" s="11">
        <v>0</v>
      </c>
      <c r="H358" s="11">
        <v>2</v>
      </c>
      <c r="I358" s="3" t="s">
        <v>138</v>
      </c>
      <c r="J358" s="3" t="s">
        <v>1842</v>
      </c>
      <c r="K358" s="3">
        <v>50000</v>
      </c>
      <c r="L358" s="11">
        <v>0</v>
      </c>
      <c r="M358" s="11">
        <v>1</v>
      </c>
      <c r="N358" s="3" t="s">
        <v>737</v>
      </c>
      <c r="O358" s="3" t="s">
        <v>711</v>
      </c>
      <c r="P358" s="3" t="s">
        <v>720</v>
      </c>
      <c r="Q358" s="11">
        <v>295</v>
      </c>
      <c r="R358" s="11">
        <v>996</v>
      </c>
      <c r="S358" s="3" t="s">
        <v>194</v>
      </c>
      <c r="T358" s="4" t="s">
        <v>142</v>
      </c>
      <c r="U358" s="11">
        <f>World_Cup_Matches[[#This Row],[Home Team Goals]]+World_Cup_Matches[[#This Row],[Away Team Goals]]</f>
        <v>2</v>
      </c>
      <c r="V358" s="11">
        <f>World_Cup_Matches[[#This Row],[Home Team Goals]]-World_Cup_Matches[[#This Row],[Away Team Goals]]</f>
        <v>-2</v>
      </c>
      <c r="W358" s="4" t="str">
        <f>IF(World_Cup_Matches[[#This Row],[Home Team Goals]]&gt;World_Cup_Matches[[#This Row],[Away Team Goals]],World_Cup_Matches[[#This Row],[Home Team Name]],IF(World_Cup_Matches[[#This Row],[Away Team Goals]]&gt;World_Cup_Matches[[#This Row],[Home Team Goals]], World_Cup_Matches[[#This Row],[Away Team Name]],"Draw"))</f>
        <v>Italy</v>
      </c>
      <c r="X358" s="4" t="str">
        <f>IF(World_Cup_Matches[[#This Row],[Home Team Goals]]&gt;World_Cup_Matches[[#This Row],[Away Team Goals]],"Hime Win",IF(World_Cup_Matches[[#This Row],[Away Team Goals]]&gt;World_Cup_Matches[[#This Row],[Home Team Goals]],"Away win","Draw"))</f>
        <v>Away win</v>
      </c>
    </row>
    <row r="359" spans="1:24" x14ac:dyDescent="0.2">
      <c r="A359" s="19">
        <v>1982</v>
      </c>
      <c r="B359" s="15" t="s">
        <v>797</v>
      </c>
      <c r="C359" s="3" t="s">
        <v>83</v>
      </c>
      <c r="D359" s="3" t="s">
        <v>692</v>
      </c>
      <c r="E359" s="3" t="s">
        <v>693</v>
      </c>
      <c r="F359" s="3" t="s">
        <v>285</v>
      </c>
      <c r="G359" s="11">
        <v>3</v>
      </c>
      <c r="H359" s="11">
        <v>3</v>
      </c>
      <c r="I359" s="3" t="s">
        <v>24</v>
      </c>
      <c r="J359" s="3" t="s">
        <v>798</v>
      </c>
      <c r="K359" s="3">
        <v>70000</v>
      </c>
      <c r="L359" s="11">
        <v>0</v>
      </c>
      <c r="M359" s="11">
        <v>0</v>
      </c>
      <c r="N359" s="3" t="s">
        <v>658</v>
      </c>
      <c r="O359" s="3" t="s">
        <v>750</v>
      </c>
      <c r="P359" s="3" t="s">
        <v>744</v>
      </c>
      <c r="Q359" s="11">
        <v>295</v>
      </c>
      <c r="R359" s="11">
        <v>914</v>
      </c>
      <c r="S359" s="3" t="s">
        <v>289</v>
      </c>
      <c r="T359" s="4" t="s">
        <v>29</v>
      </c>
      <c r="U359" s="11">
        <f>World_Cup_Matches[[#This Row],[Home Team Goals]]+World_Cup_Matches[[#This Row],[Away Team Goals]]</f>
        <v>6</v>
      </c>
      <c r="V359" s="11">
        <f>World_Cup_Matches[[#This Row],[Home Team Goals]]-World_Cup_Matches[[#This Row],[Away Team Goals]]</f>
        <v>0</v>
      </c>
      <c r="W359" s="4" t="str">
        <f>IF(World_Cup_Matches[[#This Row],[Home Team Goals]]&gt;World_Cup_Matches[[#This Row],[Away Team Goals]],World_Cup_Matches[[#This Row],[Home Team Name]],IF(World_Cup_Matches[[#This Row],[Away Team Goals]]&gt;World_Cup_Matches[[#This Row],[Home Team Goals]], World_Cup_Matches[[#This Row],[Away Team Name]],"Draw"))</f>
        <v>Draw</v>
      </c>
      <c r="X359" s="4" t="str">
        <f>IF(World_Cup_Matches[[#This Row],[Home Team Goals]]&gt;World_Cup_Matches[[#This Row],[Away Team Goals]],"Hime Win",IF(World_Cup_Matches[[#This Row],[Away Team Goals]]&gt;World_Cup_Matches[[#This Row],[Home Team Goals]],"Away win","Draw"))</f>
        <v>Draw</v>
      </c>
    </row>
    <row r="360" spans="1:24" x14ac:dyDescent="0.2">
      <c r="A360" s="19">
        <v>1982</v>
      </c>
      <c r="B360" s="15" t="s">
        <v>799</v>
      </c>
      <c r="C360" s="3" t="s">
        <v>155</v>
      </c>
      <c r="D360" s="3" t="s">
        <v>754</v>
      </c>
      <c r="E360" s="3" t="s">
        <v>755</v>
      </c>
      <c r="F360" s="3" t="s">
        <v>190</v>
      </c>
      <c r="G360" s="11">
        <v>3</v>
      </c>
      <c r="H360" s="11">
        <v>2</v>
      </c>
      <c r="I360" s="3" t="s">
        <v>24</v>
      </c>
      <c r="J360" s="3" t="s">
        <v>1842</v>
      </c>
      <c r="K360" s="3">
        <v>28000</v>
      </c>
      <c r="L360" s="11">
        <v>2</v>
      </c>
      <c r="M360" s="11">
        <v>1</v>
      </c>
      <c r="N360" s="3" t="s">
        <v>634</v>
      </c>
      <c r="O360" s="3" t="s">
        <v>752</v>
      </c>
      <c r="P360" s="3" t="s">
        <v>756</v>
      </c>
      <c r="Q360" s="11">
        <v>676</v>
      </c>
      <c r="R360" s="11">
        <v>921</v>
      </c>
      <c r="S360" s="3" t="s">
        <v>194</v>
      </c>
      <c r="T360" s="4" t="s">
        <v>29</v>
      </c>
      <c r="U360" s="11">
        <f>World_Cup_Matches[[#This Row],[Home Team Goals]]+World_Cup_Matches[[#This Row],[Away Team Goals]]</f>
        <v>5</v>
      </c>
      <c r="V360" s="11">
        <f>World_Cup_Matches[[#This Row],[Home Team Goals]]-World_Cup_Matches[[#This Row],[Away Team Goals]]</f>
        <v>1</v>
      </c>
      <c r="W360" s="4" t="str">
        <f>IF(World_Cup_Matches[[#This Row],[Home Team Goals]]&gt;World_Cup_Matches[[#This Row],[Away Team Goals]],World_Cup_Matches[[#This Row],[Home Team Name]],IF(World_Cup_Matches[[#This Row],[Away Team Goals]]&gt;World_Cup_Matches[[#This Row],[Home Team Goals]], World_Cup_Matches[[#This Row],[Away Team Name]],"Draw"))</f>
        <v>Poland</v>
      </c>
      <c r="X360" s="4" t="str">
        <f>IF(World_Cup_Matches[[#This Row],[Home Team Goals]]&gt;World_Cup_Matches[[#This Row],[Away Team Goals]],"Hime Win",IF(World_Cup_Matches[[#This Row],[Away Team Goals]]&gt;World_Cup_Matches[[#This Row],[Home Team Goals]],"Away win","Draw"))</f>
        <v>Hime Win</v>
      </c>
    </row>
    <row r="361" spans="1:24" x14ac:dyDescent="0.2">
      <c r="A361" s="19">
        <v>1982</v>
      </c>
      <c r="B361" s="15" t="s">
        <v>800</v>
      </c>
      <c r="C361" s="3" t="s">
        <v>86</v>
      </c>
      <c r="D361" s="3" t="s">
        <v>787</v>
      </c>
      <c r="E361" s="3" t="s">
        <v>782</v>
      </c>
      <c r="F361" s="3" t="s">
        <v>138</v>
      </c>
      <c r="G361" s="11">
        <v>3</v>
      </c>
      <c r="H361" s="11">
        <v>1</v>
      </c>
      <c r="I361" s="3" t="s">
        <v>285</v>
      </c>
      <c r="J361" s="3" t="s">
        <v>1842</v>
      </c>
      <c r="K361" s="3">
        <v>90000</v>
      </c>
      <c r="L361" s="11">
        <v>0</v>
      </c>
      <c r="M361" s="11">
        <v>0</v>
      </c>
      <c r="N361" s="3" t="s">
        <v>662</v>
      </c>
      <c r="O361" s="3" t="s">
        <v>519</v>
      </c>
      <c r="P361" s="3" t="s">
        <v>686</v>
      </c>
      <c r="Q361" s="11">
        <v>3475</v>
      </c>
      <c r="R361" s="11">
        <v>923</v>
      </c>
      <c r="S361" s="3" t="s">
        <v>142</v>
      </c>
      <c r="T361" s="4" t="s">
        <v>289</v>
      </c>
      <c r="U361" s="11">
        <f>World_Cup_Matches[[#This Row],[Home Team Goals]]+World_Cup_Matches[[#This Row],[Away Team Goals]]</f>
        <v>4</v>
      </c>
      <c r="V361" s="11">
        <f>World_Cup_Matches[[#This Row],[Home Team Goals]]-World_Cup_Matches[[#This Row],[Away Team Goals]]</f>
        <v>2</v>
      </c>
      <c r="W361" s="4" t="str">
        <f>IF(World_Cup_Matches[[#This Row],[Home Team Goals]]&gt;World_Cup_Matches[[#This Row],[Away Team Goals]],World_Cup_Matches[[#This Row],[Home Team Name]],IF(World_Cup_Matches[[#This Row],[Away Team Goals]]&gt;World_Cup_Matches[[#This Row],[Home Team Goals]], World_Cup_Matches[[#This Row],[Away Team Name]],"Draw"))</f>
        <v>Italy</v>
      </c>
      <c r="X361" s="4" t="str">
        <f>IF(World_Cup_Matches[[#This Row],[Home Team Goals]]&gt;World_Cup_Matches[[#This Row],[Away Team Goals]],"Hime Win",IF(World_Cup_Matches[[#This Row],[Away Team Goals]]&gt;World_Cup_Matches[[#This Row],[Home Team Goals]],"Away win","Draw"))</f>
        <v>Hime Win</v>
      </c>
    </row>
    <row r="362" spans="1:24" x14ac:dyDescent="0.2">
      <c r="A362" s="19">
        <v>1986</v>
      </c>
      <c r="B362" s="15" t="s">
        <v>801</v>
      </c>
      <c r="C362" s="3" t="s">
        <v>609</v>
      </c>
      <c r="D362" s="3" t="s">
        <v>490</v>
      </c>
      <c r="E362" s="3" t="s">
        <v>491</v>
      </c>
      <c r="F362" s="3" t="s">
        <v>401</v>
      </c>
      <c r="G362" s="11">
        <v>1</v>
      </c>
      <c r="H362" s="11">
        <v>1</v>
      </c>
      <c r="I362" s="3" t="s">
        <v>138</v>
      </c>
      <c r="J362" s="3" t="s">
        <v>1842</v>
      </c>
      <c r="K362" s="3">
        <v>96000</v>
      </c>
      <c r="L362" s="11">
        <v>0</v>
      </c>
      <c r="M362" s="11">
        <v>1</v>
      </c>
      <c r="N362" s="3" t="s">
        <v>749</v>
      </c>
      <c r="O362" s="3" t="s">
        <v>802</v>
      </c>
      <c r="P362" s="3" t="s">
        <v>803</v>
      </c>
      <c r="Q362" s="11">
        <v>308</v>
      </c>
      <c r="R362" s="11">
        <v>459</v>
      </c>
      <c r="S362" s="3" t="s">
        <v>404</v>
      </c>
      <c r="T362" s="4" t="s">
        <v>142</v>
      </c>
      <c r="U362" s="11">
        <f>World_Cup_Matches[[#This Row],[Home Team Goals]]+World_Cup_Matches[[#This Row],[Away Team Goals]]</f>
        <v>2</v>
      </c>
      <c r="V362" s="11">
        <f>World_Cup_Matches[[#This Row],[Home Team Goals]]-World_Cup_Matches[[#This Row],[Away Team Goals]]</f>
        <v>0</v>
      </c>
      <c r="W362" s="4" t="str">
        <f>IF(World_Cup_Matches[[#This Row],[Home Team Goals]]&gt;World_Cup_Matches[[#This Row],[Away Team Goals]],World_Cup_Matches[[#This Row],[Home Team Name]],IF(World_Cup_Matches[[#This Row],[Away Team Goals]]&gt;World_Cup_Matches[[#This Row],[Home Team Goals]], World_Cup_Matches[[#This Row],[Away Team Name]],"Draw"))</f>
        <v>Draw</v>
      </c>
      <c r="X362" s="4" t="str">
        <f>IF(World_Cup_Matches[[#This Row],[Home Team Goals]]&gt;World_Cup_Matches[[#This Row],[Away Team Goals]],"Hime Win",IF(World_Cup_Matches[[#This Row],[Away Team Goals]]&gt;World_Cup_Matches[[#This Row],[Home Team Goals]],"Away win","Draw"))</f>
        <v>Draw</v>
      </c>
    </row>
    <row r="363" spans="1:24" x14ac:dyDescent="0.2">
      <c r="A363" s="19">
        <v>1986</v>
      </c>
      <c r="B363" s="15" t="s">
        <v>804</v>
      </c>
      <c r="C363" s="3" t="s">
        <v>805</v>
      </c>
      <c r="D363" s="3" t="s">
        <v>500</v>
      </c>
      <c r="E363" s="3" t="s">
        <v>501</v>
      </c>
      <c r="F363" s="3" t="s">
        <v>806</v>
      </c>
      <c r="G363" s="11">
        <v>0</v>
      </c>
      <c r="H363" s="11">
        <v>1</v>
      </c>
      <c r="I363" s="3" t="s">
        <v>24</v>
      </c>
      <c r="J363" s="3" t="s">
        <v>1842</v>
      </c>
      <c r="K363" s="3">
        <v>65500</v>
      </c>
      <c r="L363" s="11">
        <v>0</v>
      </c>
      <c r="M363" s="11">
        <v>0</v>
      </c>
      <c r="N363" s="3" t="s">
        <v>807</v>
      </c>
      <c r="O363" s="3" t="s">
        <v>743</v>
      </c>
      <c r="P363" s="3" t="s">
        <v>808</v>
      </c>
      <c r="Q363" s="11">
        <v>308</v>
      </c>
      <c r="R363" s="11">
        <v>468</v>
      </c>
      <c r="S363" s="3" t="s">
        <v>809</v>
      </c>
      <c r="T363" s="4" t="s">
        <v>29</v>
      </c>
      <c r="U363" s="11">
        <f>World_Cup_Matches[[#This Row],[Home Team Goals]]+World_Cup_Matches[[#This Row],[Away Team Goals]]</f>
        <v>1</v>
      </c>
      <c r="V363" s="11">
        <f>World_Cup_Matches[[#This Row],[Home Team Goals]]-World_Cup_Matches[[#This Row],[Away Team Goals]]</f>
        <v>-1</v>
      </c>
      <c r="W363" s="4" t="str">
        <f>IF(World_Cup_Matches[[#This Row],[Home Team Goals]]&gt;World_Cup_Matches[[#This Row],[Away Team Goals]],World_Cup_Matches[[#This Row],[Home Team Name]],IF(World_Cup_Matches[[#This Row],[Away Team Goals]]&gt;World_Cup_Matches[[#This Row],[Home Team Goals]], World_Cup_Matches[[#This Row],[Away Team Name]],"Draw"))</f>
        <v>France</v>
      </c>
      <c r="X363" s="4" t="str">
        <f>IF(World_Cup_Matches[[#This Row],[Home Team Goals]]&gt;World_Cup_Matches[[#This Row],[Away Team Goals]],"Hime Win",IF(World_Cup_Matches[[#This Row],[Away Team Goals]]&gt;World_Cup_Matches[[#This Row],[Home Team Goals]],"Away win","Draw"))</f>
        <v>Away win</v>
      </c>
    </row>
    <row r="364" spans="1:24" x14ac:dyDescent="0.2">
      <c r="A364" s="19">
        <v>1986</v>
      </c>
      <c r="B364" s="15" t="s">
        <v>810</v>
      </c>
      <c r="C364" s="3" t="s">
        <v>811</v>
      </c>
      <c r="D364" s="3" t="s">
        <v>505</v>
      </c>
      <c r="E364" s="3" t="s">
        <v>506</v>
      </c>
      <c r="F364" s="3" t="s">
        <v>131</v>
      </c>
      <c r="G364" s="11">
        <v>0</v>
      </c>
      <c r="H364" s="11">
        <v>1</v>
      </c>
      <c r="I364" s="3" t="s">
        <v>42</v>
      </c>
      <c r="J364" s="3" t="s">
        <v>1842</v>
      </c>
      <c r="K364" s="3">
        <v>35748</v>
      </c>
      <c r="L364" s="11">
        <v>0</v>
      </c>
      <c r="M364" s="11">
        <v>0</v>
      </c>
      <c r="N364" s="3" t="s">
        <v>812</v>
      </c>
      <c r="O364" s="3" t="s">
        <v>711</v>
      </c>
      <c r="P364" s="3" t="s">
        <v>813</v>
      </c>
      <c r="Q364" s="11">
        <v>308</v>
      </c>
      <c r="R364" s="11">
        <v>439</v>
      </c>
      <c r="S364" s="3" t="s">
        <v>135</v>
      </c>
      <c r="T364" s="4" t="s">
        <v>47</v>
      </c>
      <c r="U364" s="11">
        <f>World_Cup_Matches[[#This Row],[Home Team Goals]]+World_Cup_Matches[[#This Row],[Away Team Goals]]</f>
        <v>1</v>
      </c>
      <c r="V364" s="11">
        <f>World_Cup_Matches[[#This Row],[Home Team Goals]]-World_Cup_Matches[[#This Row],[Away Team Goals]]</f>
        <v>-1</v>
      </c>
      <c r="W364" s="4" t="str">
        <f>IF(World_Cup_Matches[[#This Row],[Home Team Goals]]&gt;World_Cup_Matches[[#This Row],[Away Team Goals]],World_Cup_Matches[[#This Row],[Home Team Name]],IF(World_Cup_Matches[[#This Row],[Away Team Goals]]&gt;World_Cup_Matches[[#This Row],[Home Team Goals]], World_Cup_Matches[[#This Row],[Away Team Name]],"Draw"))</f>
        <v>Brazil</v>
      </c>
      <c r="X364" s="4" t="str">
        <f>IF(World_Cup_Matches[[#This Row],[Home Team Goals]]&gt;World_Cup_Matches[[#This Row],[Away Team Goals]],"Hime Win",IF(World_Cup_Matches[[#This Row],[Away Team Goals]]&gt;World_Cup_Matches[[#This Row],[Home Team Goals]],"Away win","Draw"))</f>
        <v>Away win</v>
      </c>
    </row>
    <row r="365" spans="1:24" x14ac:dyDescent="0.2">
      <c r="A365" s="19">
        <v>1986</v>
      </c>
      <c r="B365" s="15" t="s">
        <v>814</v>
      </c>
      <c r="C365" s="3" t="s">
        <v>805</v>
      </c>
      <c r="D365" s="3" t="s">
        <v>815</v>
      </c>
      <c r="E365" s="3" t="s">
        <v>816</v>
      </c>
      <c r="F365" s="3" t="s">
        <v>332</v>
      </c>
      <c r="G365" s="11">
        <v>6</v>
      </c>
      <c r="H365" s="11">
        <v>0</v>
      </c>
      <c r="I365" s="3" t="s">
        <v>99</v>
      </c>
      <c r="J365" s="3" t="s">
        <v>1842</v>
      </c>
      <c r="K365" s="3">
        <v>16500</v>
      </c>
      <c r="L365" s="11">
        <v>3</v>
      </c>
      <c r="M365" s="11">
        <v>0</v>
      </c>
      <c r="N365" s="3" t="s">
        <v>817</v>
      </c>
      <c r="O365" s="3" t="s">
        <v>818</v>
      </c>
      <c r="P365" s="3" t="s">
        <v>819</v>
      </c>
      <c r="Q365" s="11">
        <v>308</v>
      </c>
      <c r="R365" s="11">
        <v>610</v>
      </c>
      <c r="S365" s="3" t="s">
        <v>335</v>
      </c>
      <c r="T365" s="4" t="s">
        <v>104</v>
      </c>
      <c r="U365" s="11">
        <f>World_Cup_Matches[[#This Row],[Home Team Goals]]+World_Cup_Matches[[#This Row],[Away Team Goals]]</f>
        <v>6</v>
      </c>
      <c r="V365" s="11">
        <f>World_Cup_Matches[[#This Row],[Home Team Goals]]-World_Cup_Matches[[#This Row],[Away Team Goals]]</f>
        <v>6</v>
      </c>
      <c r="W365" s="4" t="str">
        <f>IF(World_Cup_Matches[[#This Row],[Home Team Goals]]&gt;World_Cup_Matches[[#This Row],[Away Team Goals]],World_Cup_Matches[[#This Row],[Home Team Name]],IF(World_Cup_Matches[[#This Row],[Away Team Goals]]&gt;World_Cup_Matches[[#This Row],[Home Team Goals]], World_Cup_Matches[[#This Row],[Away Team Name]],"Draw"))</f>
        <v>Soviet Union</v>
      </c>
      <c r="X365" s="4" t="str">
        <f>IF(World_Cup_Matches[[#This Row],[Home Team Goals]]&gt;World_Cup_Matches[[#This Row],[Away Team Goals]],"Hime Win",IF(World_Cup_Matches[[#This Row],[Away Team Goals]]&gt;World_Cup_Matches[[#This Row],[Home Team Goals]],"Away win","Draw"))</f>
        <v>Hime Win</v>
      </c>
    </row>
    <row r="366" spans="1:24" x14ac:dyDescent="0.2">
      <c r="A366" s="19">
        <v>1986</v>
      </c>
      <c r="B366" s="15" t="s">
        <v>814</v>
      </c>
      <c r="C366" s="3" t="s">
        <v>609</v>
      </c>
      <c r="D366" s="3" t="s">
        <v>820</v>
      </c>
      <c r="E366" s="3" t="s">
        <v>491</v>
      </c>
      <c r="F366" s="3" t="s">
        <v>56</v>
      </c>
      <c r="G366" s="11">
        <v>3</v>
      </c>
      <c r="H366" s="11">
        <v>1</v>
      </c>
      <c r="I366" s="3" t="s">
        <v>291</v>
      </c>
      <c r="J366" s="3" t="s">
        <v>1842</v>
      </c>
      <c r="K366" s="3">
        <v>60000</v>
      </c>
      <c r="L366" s="11">
        <v>2</v>
      </c>
      <c r="M366" s="11">
        <v>0</v>
      </c>
      <c r="N366" s="3" t="s">
        <v>695</v>
      </c>
      <c r="O366" s="3" t="s">
        <v>821</v>
      </c>
      <c r="P366" s="3" t="s">
        <v>822</v>
      </c>
      <c r="Q366" s="11">
        <v>308</v>
      </c>
      <c r="R366" s="11">
        <v>395</v>
      </c>
      <c r="S366" s="3" t="s">
        <v>59</v>
      </c>
      <c r="T366" s="4" t="s">
        <v>295</v>
      </c>
      <c r="U366" s="11">
        <f>World_Cup_Matches[[#This Row],[Home Team Goals]]+World_Cup_Matches[[#This Row],[Away Team Goals]]</f>
        <v>4</v>
      </c>
      <c r="V366" s="11">
        <f>World_Cup_Matches[[#This Row],[Home Team Goals]]-World_Cup_Matches[[#This Row],[Away Team Goals]]</f>
        <v>2</v>
      </c>
      <c r="W366" s="4" t="str">
        <f>IF(World_Cup_Matches[[#This Row],[Home Team Goals]]&gt;World_Cup_Matches[[#This Row],[Away Team Goals]],World_Cup_Matches[[#This Row],[Home Team Name]],IF(World_Cup_Matches[[#This Row],[Away Team Goals]]&gt;World_Cup_Matches[[#This Row],[Home Team Goals]], World_Cup_Matches[[#This Row],[Away Team Name]],"Draw"))</f>
        <v>Argentina</v>
      </c>
      <c r="X366" s="4" t="str">
        <f>IF(World_Cup_Matches[[#This Row],[Home Team Goals]]&gt;World_Cup_Matches[[#This Row],[Away Team Goals]],"Hime Win",IF(World_Cup_Matches[[#This Row],[Away Team Goals]]&gt;World_Cup_Matches[[#This Row],[Home Team Goals]],"Away win","Draw"))</f>
        <v>Hime Win</v>
      </c>
    </row>
    <row r="367" spans="1:24" x14ac:dyDescent="0.2">
      <c r="A367" s="19">
        <v>1986</v>
      </c>
      <c r="B367" s="15" t="s">
        <v>823</v>
      </c>
      <c r="C367" s="3" t="s">
        <v>824</v>
      </c>
      <c r="D367" s="3" t="s">
        <v>825</v>
      </c>
      <c r="E367" s="3" t="s">
        <v>826</v>
      </c>
      <c r="F367" s="3" t="s">
        <v>513</v>
      </c>
      <c r="G367" s="11">
        <v>0</v>
      </c>
      <c r="H367" s="11">
        <v>0</v>
      </c>
      <c r="I367" s="3" t="s">
        <v>190</v>
      </c>
      <c r="J367" s="3" t="s">
        <v>1842</v>
      </c>
      <c r="K367" s="3">
        <v>19900</v>
      </c>
      <c r="L367" s="11">
        <v>0</v>
      </c>
      <c r="M367" s="11">
        <v>0</v>
      </c>
      <c r="N367" s="3" t="s">
        <v>827</v>
      </c>
      <c r="O367" s="3" t="s">
        <v>828</v>
      </c>
      <c r="P367" s="3" t="s">
        <v>829</v>
      </c>
      <c r="Q367" s="11">
        <v>308</v>
      </c>
      <c r="R367" s="11">
        <v>674</v>
      </c>
      <c r="S367" s="3" t="s">
        <v>517</v>
      </c>
      <c r="T367" s="4" t="s">
        <v>194</v>
      </c>
      <c r="U367" s="11">
        <f>World_Cup_Matches[[#This Row],[Home Team Goals]]+World_Cup_Matches[[#This Row],[Away Team Goals]]</f>
        <v>0</v>
      </c>
      <c r="V367" s="11">
        <f>World_Cup_Matches[[#This Row],[Home Team Goals]]-World_Cup_Matches[[#This Row],[Away Team Goals]]</f>
        <v>0</v>
      </c>
      <c r="W367" s="4" t="str">
        <f>IF(World_Cup_Matches[[#This Row],[Home Team Goals]]&gt;World_Cup_Matches[[#This Row],[Away Team Goals]],World_Cup_Matches[[#This Row],[Home Team Name]],IF(World_Cup_Matches[[#This Row],[Away Team Goals]]&gt;World_Cup_Matches[[#This Row],[Home Team Goals]], World_Cup_Matches[[#This Row],[Away Team Name]],"Draw"))</f>
        <v>Draw</v>
      </c>
      <c r="X367" s="4" t="str">
        <f>IF(World_Cup_Matches[[#This Row],[Home Team Goals]]&gt;World_Cup_Matches[[#This Row],[Away Team Goals]],"Hime Win",IF(World_Cup_Matches[[#This Row],[Away Team Goals]]&gt;World_Cup_Matches[[#This Row],[Home Team Goals]],"Away win","Draw"))</f>
        <v>Draw</v>
      </c>
    </row>
    <row r="368" spans="1:24" x14ac:dyDescent="0.2">
      <c r="A368" s="19">
        <v>1986</v>
      </c>
      <c r="B368" s="15" t="s">
        <v>830</v>
      </c>
      <c r="C368" s="3" t="s">
        <v>811</v>
      </c>
      <c r="D368" s="3" t="s">
        <v>831</v>
      </c>
      <c r="E368" s="3" t="s">
        <v>506</v>
      </c>
      <c r="F368" s="3" t="s">
        <v>718</v>
      </c>
      <c r="G368" s="11">
        <v>1</v>
      </c>
      <c r="H368" s="11">
        <v>1</v>
      </c>
      <c r="I368" s="3" t="s">
        <v>360</v>
      </c>
      <c r="J368" s="3" t="s">
        <v>1842</v>
      </c>
      <c r="K368" s="3">
        <v>22000</v>
      </c>
      <c r="L368" s="11">
        <v>0</v>
      </c>
      <c r="M368" s="11">
        <v>1</v>
      </c>
      <c r="N368" s="3" t="s">
        <v>832</v>
      </c>
      <c r="O368" s="3" t="s">
        <v>833</v>
      </c>
      <c r="P368" s="3" t="s">
        <v>834</v>
      </c>
      <c r="Q368" s="11">
        <v>308</v>
      </c>
      <c r="R368" s="11">
        <v>379</v>
      </c>
      <c r="S368" s="3" t="s">
        <v>722</v>
      </c>
      <c r="T368" s="4" t="s">
        <v>363</v>
      </c>
      <c r="U368" s="11">
        <f>World_Cup_Matches[[#This Row],[Home Team Goals]]+World_Cup_Matches[[#This Row],[Away Team Goals]]</f>
        <v>2</v>
      </c>
      <c r="V368" s="11">
        <f>World_Cup_Matches[[#This Row],[Home Team Goals]]-World_Cup_Matches[[#This Row],[Away Team Goals]]</f>
        <v>0</v>
      </c>
      <c r="W368" s="4" t="str">
        <f>IF(World_Cup_Matches[[#This Row],[Home Team Goals]]&gt;World_Cup_Matches[[#This Row],[Away Team Goals]],World_Cup_Matches[[#This Row],[Home Team Name]],IF(World_Cup_Matches[[#This Row],[Away Team Goals]]&gt;World_Cup_Matches[[#This Row],[Home Team Goals]], World_Cup_Matches[[#This Row],[Away Team Name]],"Draw"))</f>
        <v>Draw</v>
      </c>
      <c r="X368" s="4" t="str">
        <f>IF(World_Cup_Matches[[#This Row],[Home Team Goals]]&gt;World_Cup_Matches[[#This Row],[Away Team Goals]],"Hime Win",IF(World_Cup_Matches[[#This Row],[Away Team Goals]]&gt;World_Cup_Matches[[#This Row],[Home Team Goals]],"Away win","Draw"))</f>
        <v>Draw</v>
      </c>
    </row>
    <row r="369" spans="1:24" x14ac:dyDescent="0.2">
      <c r="A369" s="19">
        <v>1986</v>
      </c>
      <c r="B369" s="15" t="s">
        <v>830</v>
      </c>
      <c r="C369" s="3" t="s">
        <v>607</v>
      </c>
      <c r="D369" s="3" t="s">
        <v>490</v>
      </c>
      <c r="E369" s="3" t="s">
        <v>491</v>
      </c>
      <c r="F369" s="3" t="s">
        <v>34</v>
      </c>
      <c r="G369" s="11">
        <v>1</v>
      </c>
      <c r="H369" s="11">
        <v>2</v>
      </c>
      <c r="I369" s="3" t="s">
        <v>25</v>
      </c>
      <c r="J369" s="3" t="s">
        <v>1842</v>
      </c>
      <c r="K369" s="3">
        <v>110000</v>
      </c>
      <c r="L369" s="11">
        <v>1</v>
      </c>
      <c r="M369" s="11">
        <v>2</v>
      </c>
      <c r="N369" s="3" t="s">
        <v>835</v>
      </c>
      <c r="O369" s="3" t="s">
        <v>836</v>
      </c>
      <c r="P369" s="3" t="s">
        <v>743</v>
      </c>
      <c r="Q369" s="11">
        <v>308</v>
      </c>
      <c r="R369" s="11">
        <v>428</v>
      </c>
      <c r="S369" s="3" t="s">
        <v>38</v>
      </c>
      <c r="T369" s="4" t="s">
        <v>30</v>
      </c>
      <c r="U369" s="11">
        <f>World_Cup_Matches[[#This Row],[Home Team Goals]]+World_Cup_Matches[[#This Row],[Away Team Goals]]</f>
        <v>3</v>
      </c>
      <c r="V369" s="11">
        <f>World_Cup_Matches[[#This Row],[Home Team Goals]]-World_Cup_Matches[[#This Row],[Away Team Goals]]</f>
        <v>-1</v>
      </c>
      <c r="W369" s="4" t="str">
        <f>IF(World_Cup_Matches[[#This Row],[Home Team Goals]]&gt;World_Cup_Matches[[#This Row],[Away Team Goals]],World_Cup_Matches[[#This Row],[Home Team Name]],IF(World_Cup_Matches[[#This Row],[Away Team Goals]]&gt;World_Cup_Matches[[#This Row],[Home Team Goals]], World_Cup_Matches[[#This Row],[Away Team Name]],"Draw"))</f>
        <v>Mexico</v>
      </c>
      <c r="X369" s="4" t="str">
        <f>IF(World_Cup_Matches[[#This Row],[Home Team Goals]]&gt;World_Cup_Matches[[#This Row],[Away Team Goals]],"Hime Win",IF(World_Cup_Matches[[#This Row],[Away Team Goals]]&gt;World_Cup_Matches[[#This Row],[Home Team Goals]],"Away win","Draw"))</f>
        <v>Away win</v>
      </c>
    </row>
    <row r="370" spans="1:24" x14ac:dyDescent="0.2">
      <c r="A370" s="19">
        <v>1986</v>
      </c>
      <c r="B370" s="15" t="s">
        <v>837</v>
      </c>
      <c r="C370" s="3" t="s">
        <v>824</v>
      </c>
      <c r="D370" s="3" t="s">
        <v>838</v>
      </c>
      <c r="E370" s="3" t="s">
        <v>826</v>
      </c>
      <c r="F370" s="3" t="s">
        <v>458</v>
      </c>
      <c r="G370" s="11">
        <v>1</v>
      </c>
      <c r="H370" s="11">
        <v>0</v>
      </c>
      <c r="I370" s="3" t="s">
        <v>223</v>
      </c>
      <c r="J370" s="3" t="s">
        <v>1842</v>
      </c>
      <c r="K370" s="3">
        <v>23000</v>
      </c>
      <c r="L370" s="11">
        <v>0</v>
      </c>
      <c r="M370" s="11">
        <v>0</v>
      </c>
      <c r="N370" s="3" t="s">
        <v>803</v>
      </c>
      <c r="O370" s="3" t="s">
        <v>731</v>
      </c>
      <c r="P370" s="3" t="s">
        <v>839</v>
      </c>
      <c r="Q370" s="11">
        <v>308</v>
      </c>
      <c r="R370" s="11">
        <v>538</v>
      </c>
      <c r="S370" s="3" t="s">
        <v>462</v>
      </c>
      <c r="T370" s="4" t="s">
        <v>227</v>
      </c>
      <c r="U370" s="11">
        <f>World_Cup_Matches[[#This Row],[Home Team Goals]]+World_Cup_Matches[[#This Row],[Away Team Goals]]</f>
        <v>1</v>
      </c>
      <c r="V370" s="11">
        <f>World_Cup_Matches[[#This Row],[Home Team Goals]]-World_Cup_Matches[[#This Row],[Away Team Goals]]</f>
        <v>1</v>
      </c>
      <c r="W370" s="4" t="str">
        <f>IF(World_Cup_Matches[[#This Row],[Home Team Goals]]&gt;World_Cup_Matches[[#This Row],[Away Team Goals]],World_Cup_Matches[[#This Row],[Home Team Name]],IF(World_Cup_Matches[[#This Row],[Away Team Goals]]&gt;World_Cup_Matches[[#This Row],[Home Team Goals]], World_Cup_Matches[[#This Row],[Away Team Name]],"Draw"))</f>
        <v>Portugal</v>
      </c>
      <c r="X370" s="4" t="str">
        <f>IF(World_Cup_Matches[[#This Row],[Home Team Goals]]&gt;World_Cup_Matches[[#This Row],[Away Team Goals]],"Hime Win",IF(World_Cup_Matches[[#This Row],[Away Team Goals]]&gt;World_Cup_Matches[[#This Row],[Home Team Goals]],"Away win","Draw"))</f>
        <v>Hime Win</v>
      </c>
    </row>
    <row r="371" spans="1:24" x14ac:dyDescent="0.2">
      <c r="A371" s="19">
        <v>1986</v>
      </c>
      <c r="B371" s="15" t="s">
        <v>840</v>
      </c>
      <c r="C371" s="3" t="s">
        <v>607</v>
      </c>
      <c r="D371" s="3" t="s">
        <v>841</v>
      </c>
      <c r="E371" s="3" t="s">
        <v>512</v>
      </c>
      <c r="F371" s="3" t="s">
        <v>68</v>
      </c>
      <c r="G371" s="11">
        <v>1</v>
      </c>
      <c r="H371" s="11">
        <v>0</v>
      </c>
      <c r="I371" s="3" t="s">
        <v>842</v>
      </c>
      <c r="J371" s="3" t="s">
        <v>1842</v>
      </c>
      <c r="K371" s="3">
        <v>24000</v>
      </c>
      <c r="L371" s="11">
        <v>1</v>
      </c>
      <c r="M371" s="11">
        <v>0</v>
      </c>
      <c r="N371" s="3" t="s">
        <v>843</v>
      </c>
      <c r="O371" s="3" t="s">
        <v>808</v>
      </c>
      <c r="P371" s="3" t="s">
        <v>711</v>
      </c>
      <c r="Q371" s="11">
        <v>308</v>
      </c>
      <c r="R371" s="11">
        <v>628</v>
      </c>
      <c r="S371" s="3" t="s">
        <v>69</v>
      </c>
      <c r="T371" s="4" t="s">
        <v>844</v>
      </c>
      <c r="U371" s="11">
        <f>World_Cup_Matches[[#This Row],[Home Team Goals]]+World_Cup_Matches[[#This Row],[Away Team Goals]]</f>
        <v>1</v>
      </c>
      <c r="V371" s="11">
        <f>World_Cup_Matches[[#This Row],[Home Team Goals]]-World_Cup_Matches[[#This Row],[Away Team Goals]]</f>
        <v>1</v>
      </c>
      <c r="W371" s="4" t="str">
        <f>IF(World_Cup_Matches[[#This Row],[Home Team Goals]]&gt;World_Cup_Matches[[#This Row],[Away Team Goals]],World_Cup_Matches[[#This Row],[Home Team Name]],IF(World_Cup_Matches[[#This Row],[Away Team Goals]]&gt;World_Cup_Matches[[#This Row],[Home Team Goals]], World_Cup_Matches[[#This Row],[Away Team Name]],"Draw"))</f>
        <v>Paraguay</v>
      </c>
      <c r="X371" s="4" t="str">
        <f>IF(World_Cup_Matches[[#This Row],[Home Team Goals]]&gt;World_Cup_Matches[[#This Row],[Away Team Goals]],"Hime Win",IF(World_Cup_Matches[[#This Row],[Away Team Goals]]&gt;World_Cup_Matches[[#This Row],[Home Team Goals]],"Away win","Draw"))</f>
        <v>Hime Win</v>
      </c>
    </row>
    <row r="372" spans="1:24" x14ac:dyDescent="0.2">
      <c r="A372" s="19">
        <v>1986</v>
      </c>
      <c r="B372" s="15" t="s">
        <v>845</v>
      </c>
      <c r="C372" s="3" t="s">
        <v>846</v>
      </c>
      <c r="D372" s="3" t="s">
        <v>847</v>
      </c>
      <c r="E372" s="3" t="s">
        <v>848</v>
      </c>
      <c r="F372" s="3" t="s">
        <v>272</v>
      </c>
      <c r="G372" s="11">
        <v>0</v>
      </c>
      <c r="H372" s="11">
        <v>1</v>
      </c>
      <c r="I372" s="3" t="s">
        <v>849</v>
      </c>
      <c r="J372" s="3" t="s">
        <v>1842</v>
      </c>
      <c r="K372" s="3">
        <v>18000</v>
      </c>
      <c r="L372" s="11">
        <v>0</v>
      </c>
      <c r="M372" s="11">
        <v>0</v>
      </c>
      <c r="N372" s="3" t="s">
        <v>850</v>
      </c>
      <c r="O372" s="3" t="s">
        <v>851</v>
      </c>
      <c r="P372" s="3" t="s">
        <v>852</v>
      </c>
      <c r="Q372" s="11">
        <v>308</v>
      </c>
      <c r="R372" s="11">
        <v>517</v>
      </c>
      <c r="S372" s="3" t="s">
        <v>275</v>
      </c>
      <c r="T372" s="4" t="s">
        <v>853</v>
      </c>
      <c r="U372" s="11">
        <f>World_Cup_Matches[[#This Row],[Home Team Goals]]+World_Cup_Matches[[#This Row],[Away Team Goals]]</f>
        <v>1</v>
      </c>
      <c r="V372" s="11">
        <f>World_Cup_Matches[[#This Row],[Home Team Goals]]-World_Cup_Matches[[#This Row],[Away Team Goals]]</f>
        <v>-1</v>
      </c>
      <c r="W372" s="4" t="str">
        <f>IF(World_Cup_Matches[[#This Row],[Home Team Goals]]&gt;World_Cup_Matches[[#This Row],[Away Team Goals]],World_Cup_Matches[[#This Row],[Home Team Name]],IF(World_Cup_Matches[[#This Row],[Away Team Goals]]&gt;World_Cup_Matches[[#This Row],[Home Team Goals]], World_Cup_Matches[[#This Row],[Away Team Name]],"Draw"))</f>
        <v>Denmark</v>
      </c>
      <c r="X372" s="4" t="str">
        <f>IF(World_Cup_Matches[[#This Row],[Home Team Goals]]&gt;World_Cup_Matches[[#This Row],[Away Team Goals]],"Hime Win",IF(World_Cup_Matches[[#This Row],[Away Team Goals]]&gt;World_Cup_Matches[[#This Row],[Home Team Goals]],"Away win","Draw"))</f>
        <v>Away win</v>
      </c>
    </row>
    <row r="373" spans="1:24" x14ac:dyDescent="0.2">
      <c r="A373" s="19">
        <v>1986</v>
      </c>
      <c r="B373" s="15" t="s">
        <v>840</v>
      </c>
      <c r="C373" s="3" t="s">
        <v>846</v>
      </c>
      <c r="D373" s="3" t="s">
        <v>854</v>
      </c>
      <c r="E373" s="3" t="s">
        <v>855</v>
      </c>
      <c r="F373" s="3" t="s">
        <v>72</v>
      </c>
      <c r="G373" s="11">
        <v>1</v>
      </c>
      <c r="H373" s="11">
        <v>1</v>
      </c>
      <c r="I373" s="3" t="s">
        <v>285</v>
      </c>
      <c r="J373" s="3" t="s">
        <v>1842</v>
      </c>
      <c r="K373" s="3">
        <v>30500</v>
      </c>
      <c r="L373" s="11">
        <v>1</v>
      </c>
      <c r="M373" s="11">
        <v>0</v>
      </c>
      <c r="N373" s="3" t="s">
        <v>686</v>
      </c>
      <c r="O373" s="3" t="s">
        <v>807</v>
      </c>
      <c r="P373" s="3" t="s">
        <v>836</v>
      </c>
      <c r="Q373" s="11">
        <v>308</v>
      </c>
      <c r="R373" s="11">
        <v>585</v>
      </c>
      <c r="S373" s="3" t="s">
        <v>73</v>
      </c>
      <c r="T373" s="4" t="s">
        <v>289</v>
      </c>
      <c r="U373" s="11">
        <f>World_Cup_Matches[[#This Row],[Home Team Goals]]+World_Cup_Matches[[#This Row],[Away Team Goals]]</f>
        <v>2</v>
      </c>
      <c r="V373" s="11">
        <f>World_Cup_Matches[[#This Row],[Home Team Goals]]-World_Cup_Matches[[#This Row],[Away Team Goals]]</f>
        <v>0</v>
      </c>
      <c r="W373" s="4" t="str">
        <f>IF(World_Cup_Matches[[#This Row],[Home Team Goals]]&gt;World_Cup_Matches[[#This Row],[Away Team Goals]],World_Cup_Matches[[#This Row],[Home Team Name]],IF(World_Cup_Matches[[#This Row],[Away Team Goals]]&gt;World_Cup_Matches[[#This Row],[Home Team Goals]], World_Cup_Matches[[#This Row],[Away Team Name]],"Draw"))</f>
        <v>Draw</v>
      </c>
      <c r="X373" s="4" t="str">
        <f>IF(World_Cup_Matches[[#This Row],[Home Team Goals]]&gt;World_Cup_Matches[[#This Row],[Away Team Goals]],"Hime Win",IF(World_Cup_Matches[[#This Row],[Away Team Goals]]&gt;World_Cup_Matches[[#This Row],[Home Team Goals]],"Away win","Draw"))</f>
        <v>Draw</v>
      </c>
    </row>
    <row r="374" spans="1:24" x14ac:dyDescent="0.2">
      <c r="A374" s="19">
        <v>1986</v>
      </c>
      <c r="B374" s="15" t="s">
        <v>856</v>
      </c>
      <c r="C374" s="3" t="s">
        <v>609</v>
      </c>
      <c r="D374" s="3" t="s">
        <v>494</v>
      </c>
      <c r="E374" s="3" t="s">
        <v>495</v>
      </c>
      <c r="F374" s="3" t="s">
        <v>138</v>
      </c>
      <c r="G374" s="11">
        <v>1</v>
      </c>
      <c r="H374" s="11">
        <v>1</v>
      </c>
      <c r="I374" s="3" t="s">
        <v>56</v>
      </c>
      <c r="J374" s="3" t="s">
        <v>1842</v>
      </c>
      <c r="K374" s="3">
        <v>32000</v>
      </c>
      <c r="L374" s="11">
        <v>1</v>
      </c>
      <c r="M374" s="11">
        <v>1</v>
      </c>
      <c r="N374" s="3" t="s">
        <v>813</v>
      </c>
      <c r="O374" s="3" t="s">
        <v>857</v>
      </c>
      <c r="P374" s="3" t="s">
        <v>858</v>
      </c>
      <c r="Q374" s="11">
        <v>308</v>
      </c>
      <c r="R374" s="11">
        <v>394</v>
      </c>
      <c r="S374" s="3" t="s">
        <v>142</v>
      </c>
      <c r="T374" s="4" t="s">
        <v>59</v>
      </c>
      <c r="U374" s="11">
        <f>World_Cup_Matches[[#This Row],[Home Team Goals]]+World_Cup_Matches[[#This Row],[Away Team Goals]]</f>
        <v>2</v>
      </c>
      <c r="V374" s="11">
        <f>World_Cup_Matches[[#This Row],[Home Team Goals]]-World_Cup_Matches[[#This Row],[Away Team Goals]]</f>
        <v>0</v>
      </c>
      <c r="W374" s="4" t="str">
        <f>IF(World_Cup_Matches[[#This Row],[Home Team Goals]]&gt;World_Cup_Matches[[#This Row],[Away Team Goals]],World_Cup_Matches[[#This Row],[Home Team Name]],IF(World_Cup_Matches[[#This Row],[Away Team Goals]]&gt;World_Cup_Matches[[#This Row],[Home Team Goals]], World_Cup_Matches[[#This Row],[Away Team Name]],"Draw"))</f>
        <v>Draw</v>
      </c>
      <c r="X374" s="4" t="str">
        <f>IF(World_Cup_Matches[[#This Row],[Home Team Goals]]&gt;World_Cup_Matches[[#This Row],[Away Team Goals]],"Hime Win",IF(World_Cup_Matches[[#This Row],[Away Team Goals]]&gt;World_Cup_Matches[[#This Row],[Home Team Goals]],"Away win","Draw"))</f>
        <v>Draw</v>
      </c>
    </row>
    <row r="375" spans="1:24" x14ac:dyDescent="0.2">
      <c r="A375" s="19">
        <v>1986</v>
      </c>
      <c r="B375" s="15" t="s">
        <v>856</v>
      </c>
      <c r="C375" s="3" t="s">
        <v>805</v>
      </c>
      <c r="D375" s="3" t="s">
        <v>500</v>
      </c>
      <c r="E375" s="3" t="s">
        <v>501</v>
      </c>
      <c r="F375" s="3" t="s">
        <v>24</v>
      </c>
      <c r="G375" s="11">
        <v>1</v>
      </c>
      <c r="H375" s="11">
        <v>1</v>
      </c>
      <c r="I375" s="3" t="s">
        <v>332</v>
      </c>
      <c r="J375" s="3" t="s">
        <v>1842</v>
      </c>
      <c r="K375" s="3">
        <v>36540</v>
      </c>
      <c r="L375" s="11">
        <v>0</v>
      </c>
      <c r="M375" s="11">
        <v>0</v>
      </c>
      <c r="N375" s="3" t="s">
        <v>859</v>
      </c>
      <c r="O375" s="3" t="s">
        <v>695</v>
      </c>
      <c r="P375" s="3" t="s">
        <v>860</v>
      </c>
      <c r="Q375" s="11">
        <v>308</v>
      </c>
      <c r="R375" s="11">
        <v>571</v>
      </c>
      <c r="S375" s="3" t="s">
        <v>29</v>
      </c>
      <c r="T375" s="4" t="s">
        <v>335</v>
      </c>
      <c r="U375" s="11">
        <f>World_Cup_Matches[[#This Row],[Home Team Goals]]+World_Cup_Matches[[#This Row],[Away Team Goals]]</f>
        <v>2</v>
      </c>
      <c r="V375" s="11">
        <f>World_Cup_Matches[[#This Row],[Home Team Goals]]-World_Cup_Matches[[#This Row],[Away Team Goals]]</f>
        <v>0</v>
      </c>
      <c r="W375" s="4" t="str">
        <f>IF(World_Cup_Matches[[#This Row],[Home Team Goals]]&gt;World_Cup_Matches[[#This Row],[Away Team Goals]],World_Cup_Matches[[#This Row],[Home Team Name]],IF(World_Cup_Matches[[#This Row],[Away Team Goals]]&gt;World_Cup_Matches[[#This Row],[Home Team Goals]], World_Cup_Matches[[#This Row],[Away Team Name]],"Draw"))</f>
        <v>Draw</v>
      </c>
      <c r="X375" s="4" t="str">
        <f>IF(World_Cup_Matches[[#This Row],[Home Team Goals]]&gt;World_Cup_Matches[[#This Row],[Away Team Goals]],"Hime Win",IF(World_Cup_Matches[[#This Row],[Away Team Goals]]&gt;World_Cup_Matches[[#This Row],[Home Team Goals]],"Away win","Draw"))</f>
        <v>Draw</v>
      </c>
    </row>
    <row r="376" spans="1:24" x14ac:dyDescent="0.2">
      <c r="A376" s="19">
        <v>1986</v>
      </c>
      <c r="B376" s="15" t="s">
        <v>861</v>
      </c>
      <c r="C376" s="3" t="s">
        <v>609</v>
      </c>
      <c r="D376" s="3" t="s">
        <v>820</v>
      </c>
      <c r="E376" s="3" t="s">
        <v>491</v>
      </c>
      <c r="F376" s="3" t="s">
        <v>291</v>
      </c>
      <c r="G376" s="11">
        <v>1</v>
      </c>
      <c r="H376" s="11">
        <v>1</v>
      </c>
      <c r="I376" s="3" t="s">
        <v>401</v>
      </c>
      <c r="J376" s="3" t="s">
        <v>1842</v>
      </c>
      <c r="K376" s="3">
        <v>45000</v>
      </c>
      <c r="L376" s="11">
        <v>0</v>
      </c>
      <c r="M376" s="11">
        <v>1</v>
      </c>
      <c r="N376" s="3" t="s">
        <v>852</v>
      </c>
      <c r="O376" s="3" t="s">
        <v>862</v>
      </c>
      <c r="P376" s="3" t="s">
        <v>832</v>
      </c>
      <c r="Q376" s="11">
        <v>308</v>
      </c>
      <c r="R376" s="11">
        <v>460</v>
      </c>
      <c r="S376" s="3" t="s">
        <v>295</v>
      </c>
      <c r="T376" s="4" t="s">
        <v>404</v>
      </c>
      <c r="U376" s="11">
        <f>World_Cup_Matches[[#This Row],[Home Team Goals]]+World_Cup_Matches[[#This Row],[Away Team Goals]]</f>
        <v>2</v>
      </c>
      <c r="V376" s="11">
        <f>World_Cup_Matches[[#This Row],[Home Team Goals]]-World_Cup_Matches[[#This Row],[Away Team Goals]]</f>
        <v>0</v>
      </c>
      <c r="W376" s="4" t="str">
        <f>IF(World_Cup_Matches[[#This Row],[Home Team Goals]]&gt;World_Cup_Matches[[#This Row],[Away Team Goals]],World_Cup_Matches[[#This Row],[Home Team Name]],IF(World_Cup_Matches[[#This Row],[Away Team Goals]]&gt;World_Cup_Matches[[#This Row],[Home Team Goals]], World_Cup_Matches[[#This Row],[Away Team Name]],"Draw"))</f>
        <v>Draw</v>
      </c>
      <c r="X376" s="4" t="str">
        <f>IF(World_Cup_Matches[[#This Row],[Home Team Goals]]&gt;World_Cup_Matches[[#This Row],[Away Team Goals]],"Hime Win",IF(World_Cup_Matches[[#This Row],[Away Team Goals]]&gt;World_Cup_Matches[[#This Row],[Home Team Goals]],"Away win","Draw"))</f>
        <v>Draw</v>
      </c>
    </row>
    <row r="377" spans="1:24" x14ac:dyDescent="0.2">
      <c r="A377" s="19">
        <v>1986</v>
      </c>
      <c r="B377" s="15" t="s">
        <v>863</v>
      </c>
      <c r="C377" s="3" t="s">
        <v>805</v>
      </c>
      <c r="D377" s="3" t="s">
        <v>815</v>
      </c>
      <c r="E377" s="3" t="s">
        <v>816</v>
      </c>
      <c r="F377" s="3" t="s">
        <v>99</v>
      </c>
      <c r="G377" s="11">
        <v>2</v>
      </c>
      <c r="H377" s="11">
        <v>0</v>
      </c>
      <c r="I377" s="3" t="s">
        <v>806</v>
      </c>
      <c r="J377" s="3" t="s">
        <v>1842</v>
      </c>
      <c r="K377" s="3">
        <v>13800</v>
      </c>
      <c r="L377" s="11">
        <v>1</v>
      </c>
      <c r="M377" s="11">
        <v>0</v>
      </c>
      <c r="N377" s="3" t="s">
        <v>839</v>
      </c>
      <c r="O377" s="3" t="s">
        <v>834</v>
      </c>
      <c r="P377" s="3" t="s">
        <v>812</v>
      </c>
      <c r="Q377" s="11">
        <v>308</v>
      </c>
      <c r="R377" s="11">
        <v>475</v>
      </c>
      <c r="S377" s="3" t="s">
        <v>104</v>
      </c>
      <c r="T377" s="4" t="s">
        <v>809</v>
      </c>
      <c r="U377" s="11">
        <f>World_Cup_Matches[[#This Row],[Home Team Goals]]+World_Cup_Matches[[#This Row],[Away Team Goals]]</f>
        <v>2</v>
      </c>
      <c r="V377" s="11">
        <f>World_Cup_Matches[[#This Row],[Home Team Goals]]-World_Cup_Matches[[#This Row],[Away Team Goals]]</f>
        <v>2</v>
      </c>
      <c r="W377" s="4" t="str">
        <f>IF(World_Cup_Matches[[#This Row],[Home Team Goals]]&gt;World_Cup_Matches[[#This Row],[Away Team Goals]],World_Cup_Matches[[#This Row],[Home Team Name]],IF(World_Cup_Matches[[#This Row],[Away Team Goals]]&gt;World_Cup_Matches[[#This Row],[Home Team Goals]], World_Cup_Matches[[#This Row],[Away Team Name]],"Draw"))</f>
        <v>Hungary</v>
      </c>
      <c r="X377" s="4" t="str">
        <f>IF(World_Cup_Matches[[#This Row],[Home Team Goals]]&gt;World_Cup_Matches[[#This Row],[Away Team Goals]],"Hime Win",IF(World_Cup_Matches[[#This Row],[Away Team Goals]]&gt;World_Cup_Matches[[#This Row],[Home Team Goals]],"Away win","Draw"))</f>
        <v>Hime Win</v>
      </c>
    </row>
    <row r="378" spans="1:24" x14ac:dyDescent="0.2">
      <c r="A378" s="19">
        <v>1986</v>
      </c>
      <c r="B378" s="15" t="s">
        <v>863</v>
      </c>
      <c r="C378" s="3" t="s">
        <v>811</v>
      </c>
      <c r="D378" s="3" t="s">
        <v>505</v>
      </c>
      <c r="E378" s="3" t="s">
        <v>506</v>
      </c>
      <c r="F378" s="3" t="s">
        <v>42</v>
      </c>
      <c r="G378" s="11">
        <v>1</v>
      </c>
      <c r="H378" s="11">
        <v>0</v>
      </c>
      <c r="I378" s="3" t="s">
        <v>718</v>
      </c>
      <c r="J378" s="3" t="s">
        <v>1842</v>
      </c>
      <c r="K378" s="3">
        <v>48000</v>
      </c>
      <c r="L378" s="11">
        <v>0</v>
      </c>
      <c r="M378" s="11">
        <v>0</v>
      </c>
      <c r="N378" s="3" t="s">
        <v>743</v>
      </c>
      <c r="O378" s="3" t="s">
        <v>827</v>
      </c>
      <c r="P378" s="3" t="s">
        <v>828</v>
      </c>
      <c r="Q378" s="11">
        <v>308</v>
      </c>
      <c r="R378" s="11">
        <v>377</v>
      </c>
      <c r="S378" s="3" t="s">
        <v>47</v>
      </c>
      <c r="T378" s="4" t="s">
        <v>722</v>
      </c>
      <c r="U378" s="11">
        <f>World_Cup_Matches[[#This Row],[Home Team Goals]]+World_Cup_Matches[[#This Row],[Away Team Goals]]</f>
        <v>1</v>
      </c>
      <c r="V378" s="11">
        <f>World_Cup_Matches[[#This Row],[Home Team Goals]]-World_Cup_Matches[[#This Row],[Away Team Goals]]</f>
        <v>1</v>
      </c>
      <c r="W378" s="4" t="str">
        <f>IF(World_Cup_Matches[[#This Row],[Home Team Goals]]&gt;World_Cup_Matches[[#This Row],[Away Team Goals]],World_Cup_Matches[[#This Row],[Home Team Name]],IF(World_Cup_Matches[[#This Row],[Away Team Goals]]&gt;World_Cup_Matches[[#This Row],[Home Team Goals]], World_Cup_Matches[[#This Row],[Away Team Name]],"Draw"))</f>
        <v>Brazil</v>
      </c>
      <c r="X378" s="4" t="str">
        <f>IF(World_Cup_Matches[[#This Row],[Home Team Goals]]&gt;World_Cup_Matches[[#This Row],[Away Team Goals]],"Hime Win",IF(World_Cup_Matches[[#This Row],[Away Team Goals]]&gt;World_Cup_Matches[[#This Row],[Home Team Goals]],"Away win","Draw"))</f>
        <v>Hime Win</v>
      </c>
    </row>
    <row r="379" spans="1:24" x14ac:dyDescent="0.2">
      <c r="A379" s="19">
        <v>1986</v>
      </c>
      <c r="B379" s="15" t="s">
        <v>864</v>
      </c>
      <c r="C379" s="3" t="s">
        <v>824</v>
      </c>
      <c r="D379" s="3" t="s">
        <v>838</v>
      </c>
      <c r="E379" s="3" t="s">
        <v>826</v>
      </c>
      <c r="F379" s="3" t="s">
        <v>223</v>
      </c>
      <c r="G379" s="11">
        <v>0</v>
      </c>
      <c r="H379" s="11">
        <v>0</v>
      </c>
      <c r="I379" s="3" t="s">
        <v>513</v>
      </c>
      <c r="J379" s="3" t="s">
        <v>1842</v>
      </c>
      <c r="K379" s="3">
        <v>20200</v>
      </c>
      <c r="L379" s="11">
        <v>0</v>
      </c>
      <c r="M379" s="11">
        <v>0</v>
      </c>
      <c r="N379" s="3" t="s">
        <v>821</v>
      </c>
      <c r="O379" s="3" t="s">
        <v>835</v>
      </c>
      <c r="P379" s="3" t="s">
        <v>851</v>
      </c>
      <c r="Q379" s="11">
        <v>308</v>
      </c>
      <c r="R379" s="11">
        <v>533</v>
      </c>
      <c r="S379" s="3" t="s">
        <v>227</v>
      </c>
      <c r="T379" s="4" t="s">
        <v>517</v>
      </c>
      <c r="U379" s="11">
        <f>World_Cup_Matches[[#This Row],[Home Team Goals]]+World_Cup_Matches[[#This Row],[Away Team Goals]]</f>
        <v>0</v>
      </c>
      <c r="V379" s="11">
        <f>World_Cup_Matches[[#This Row],[Home Team Goals]]-World_Cup_Matches[[#This Row],[Away Team Goals]]</f>
        <v>0</v>
      </c>
      <c r="W379" s="4" t="str">
        <f>IF(World_Cup_Matches[[#This Row],[Home Team Goals]]&gt;World_Cup_Matches[[#This Row],[Away Team Goals]],World_Cup_Matches[[#This Row],[Home Team Name]],IF(World_Cup_Matches[[#This Row],[Away Team Goals]]&gt;World_Cup_Matches[[#This Row],[Home Team Goals]], World_Cup_Matches[[#This Row],[Away Team Name]],"Draw"))</f>
        <v>Draw</v>
      </c>
      <c r="X379" s="4" t="str">
        <f>IF(World_Cup_Matches[[#This Row],[Home Team Goals]]&gt;World_Cup_Matches[[#This Row],[Away Team Goals]],"Hime Win",IF(World_Cup_Matches[[#This Row],[Away Team Goals]]&gt;World_Cup_Matches[[#This Row],[Home Team Goals]],"Away win","Draw"))</f>
        <v>Draw</v>
      </c>
    </row>
    <row r="380" spans="1:24" x14ac:dyDescent="0.2">
      <c r="A380" s="19">
        <v>1986</v>
      </c>
      <c r="B380" s="15" t="s">
        <v>865</v>
      </c>
      <c r="C380" s="3" t="s">
        <v>811</v>
      </c>
      <c r="D380" s="3" t="s">
        <v>831</v>
      </c>
      <c r="E380" s="3" t="s">
        <v>506</v>
      </c>
      <c r="F380" s="3" t="s">
        <v>360</v>
      </c>
      <c r="G380" s="11">
        <v>1</v>
      </c>
      <c r="H380" s="11">
        <v>2</v>
      </c>
      <c r="I380" s="3" t="s">
        <v>131</v>
      </c>
      <c r="J380" s="3" t="s">
        <v>1842</v>
      </c>
      <c r="K380" s="3">
        <v>28000</v>
      </c>
      <c r="L380" s="11">
        <v>0</v>
      </c>
      <c r="M380" s="11">
        <v>2</v>
      </c>
      <c r="N380" s="3" t="s">
        <v>819</v>
      </c>
      <c r="O380" s="3" t="s">
        <v>817</v>
      </c>
      <c r="P380" s="3" t="s">
        <v>850</v>
      </c>
      <c r="Q380" s="11">
        <v>308</v>
      </c>
      <c r="R380" s="11">
        <v>551</v>
      </c>
      <c r="S380" s="3" t="s">
        <v>363</v>
      </c>
      <c r="T380" s="4" t="s">
        <v>135</v>
      </c>
      <c r="U380" s="11">
        <f>World_Cup_Matches[[#This Row],[Home Team Goals]]+World_Cup_Matches[[#This Row],[Away Team Goals]]</f>
        <v>3</v>
      </c>
      <c r="V380" s="11">
        <f>World_Cup_Matches[[#This Row],[Home Team Goals]]-World_Cup_Matches[[#This Row],[Away Team Goals]]</f>
        <v>-1</v>
      </c>
      <c r="W380" s="4" t="str">
        <f>IF(World_Cup_Matches[[#This Row],[Home Team Goals]]&gt;World_Cup_Matches[[#This Row],[Away Team Goals]],World_Cup_Matches[[#This Row],[Home Team Name]],IF(World_Cup_Matches[[#This Row],[Away Team Goals]]&gt;World_Cup_Matches[[#This Row],[Home Team Goals]], World_Cup_Matches[[#This Row],[Away Team Name]],"Draw"))</f>
        <v>Spain</v>
      </c>
      <c r="X380" s="4" t="str">
        <f>IF(World_Cup_Matches[[#This Row],[Home Team Goals]]&gt;World_Cup_Matches[[#This Row],[Away Team Goals]],"Hime Win",IF(World_Cup_Matches[[#This Row],[Away Team Goals]]&gt;World_Cup_Matches[[#This Row],[Home Team Goals]],"Away win","Draw"))</f>
        <v>Away win</v>
      </c>
    </row>
    <row r="381" spans="1:24" x14ac:dyDescent="0.2">
      <c r="A381" s="19">
        <v>1986</v>
      </c>
      <c r="B381" s="15" t="s">
        <v>865</v>
      </c>
      <c r="C381" s="3" t="s">
        <v>607</v>
      </c>
      <c r="D381" s="3" t="s">
        <v>490</v>
      </c>
      <c r="E381" s="3" t="s">
        <v>491</v>
      </c>
      <c r="F381" s="3" t="s">
        <v>25</v>
      </c>
      <c r="G381" s="11">
        <v>1</v>
      </c>
      <c r="H381" s="11">
        <v>1</v>
      </c>
      <c r="I381" s="3" t="s">
        <v>68</v>
      </c>
      <c r="J381" s="3" t="s">
        <v>1842</v>
      </c>
      <c r="K381" s="3">
        <v>114600</v>
      </c>
      <c r="L381" s="11">
        <v>1</v>
      </c>
      <c r="M381" s="11">
        <v>0</v>
      </c>
      <c r="N381" s="3" t="s">
        <v>818</v>
      </c>
      <c r="O381" s="3" t="s">
        <v>749</v>
      </c>
      <c r="P381" s="3" t="s">
        <v>862</v>
      </c>
      <c r="Q381" s="11">
        <v>308</v>
      </c>
      <c r="R381" s="11">
        <v>680</v>
      </c>
      <c r="S381" s="3" t="s">
        <v>30</v>
      </c>
      <c r="T381" s="4" t="s">
        <v>69</v>
      </c>
      <c r="U381" s="11">
        <f>World_Cup_Matches[[#This Row],[Home Team Goals]]+World_Cup_Matches[[#This Row],[Away Team Goals]]</f>
        <v>2</v>
      </c>
      <c r="V381" s="11">
        <f>World_Cup_Matches[[#This Row],[Home Team Goals]]-World_Cup_Matches[[#This Row],[Away Team Goals]]</f>
        <v>0</v>
      </c>
      <c r="W381" s="4" t="str">
        <f>IF(World_Cup_Matches[[#This Row],[Home Team Goals]]&gt;World_Cup_Matches[[#This Row],[Away Team Goals]],World_Cup_Matches[[#This Row],[Home Team Name]],IF(World_Cup_Matches[[#This Row],[Away Team Goals]]&gt;World_Cup_Matches[[#This Row],[Home Team Goals]], World_Cup_Matches[[#This Row],[Away Team Name]],"Draw"))</f>
        <v>Draw</v>
      </c>
      <c r="X381" s="4" t="str">
        <f>IF(World_Cup_Matches[[#This Row],[Home Team Goals]]&gt;World_Cup_Matches[[#This Row],[Away Team Goals]],"Hime Win",IF(World_Cup_Matches[[#This Row],[Away Team Goals]]&gt;World_Cup_Matches[[#This Row],[Home Team Goals]],"Away win","Draw"))</f>
        <v>Draw</v>
      </c>
    </row>
    <row r="382" spans="1:24" x14ac:dyDescent="0.2">
      <c r="A382" s="19">
        <v>1986</v>
      </c>
      <c r="B382" s="15" t="s">
        <v>866</v>
      </c>
      <c r="C382" s="3" t="s">
        <v>824</v>
      </c>
      <c r="D382" s="3" t="s">
        <v>825</v>
      </c>
      <c r="E382" s="3" t="s">
        <v>826</v>
      </c>
      <c r="F382" s="3" t="s">
        <v>190</v>
      </c>
      <c r="G382" s="11">
        <v>1</v>
      </c>
      <c r="H382" s="11">
        <v>0</v>
      </c>
      <c r="I382" s="3" t="s">
        <v>458</v>
      </c>
      <c r="J382" s="3" t="s">
        <v>1842</v>
      </c>
      <c r="K382" s="3">
        <v>19915</v>
      </c>
      <c r="L382" s="11">
        <v>0</v>
      </c>
      <c r="M382" s="11">
        <v>0</v>
      </c>
      <c r="N382" s="3" t="s">
        <v>867</v>
      </c>
      <c r="O382" s="3" t="s">
        <v>843</v>
      </c>
      <c r="P382" s="3" t="s">
        <v>860</v>
      </c>
      <c r="Q382" s="11">
        <v>308</v>
      </c>
      <c r="R382" s="11">
        <v>701</v>
      </c>
      <c r="S382" s="3" t="s">
        <v>194</v>
      </c>
      <c r="T382" s="4" t="s">
        <v>462</v>
      </c>
      <c r="U382" s="11">
        <f>World_Cup_Matches[[#This Row],[Home Team Goals]]+World_Cup_Matches[[#This Row],[Away Team Goals]]</f>
        <v>1</v>
      </c>
      <c r="V382" s="11">
        <f>World_Cup_Matches[[#This Row],[Home Team Goals]]-World_Cup_Matches[[#This Row],[Away Team Goals]]</f>
        <v>1</v>
      </c>
      <c r="W382" s="4" t="str">
        <f>IF(World_Cup_Matches[[#This Row],[Home Team Goals]]&gt;World_Cup_Matches[[#This Row],[Away Team Goals]],World_Cup_Matches[[#This Row],[Home Team Name]],IF(World_Cup_Matches[[#This Row],[Away Team Goals]]&gt;World_Cup_Matches[[#This Row],[Home Team Goals]], World_Cup_Matches[[#This Row],[Away Team Name]],"Draw"))</f>
        <v>Poland</v>
      </c>
      <c r="X382" s="4" t="str">
        <f>IF(World_Cup_Matches[[#This Row],[Home Team Goals]]&gt;World_Cup_Matches[[#This Row],[Away Team Goals]],"Hime Win",IF(World_Cup_Matches[[#This Row],[Away Team Goals]]&gt;World_Cup_Matches[[#This Row],[Home Team Goals]],"Away win","Draw"))</f>
        <v>Hime Win</v>
      </c>
    </row>
    <row r="383" spans="1:24" x14ac:dyDescent="0.2">
      <c r="A383" s="19">
        <v>1986</v>
      </c>
      <c r="B383" s="15" t="s">
        <v>868</v>
      </c>
      <c r="C383" s="3" t="s">
        <v>607</v>
      </c>
      <c r="D383" s="3" t="s">
        <v>841</v>
      </c>
      <c r="E383" s="3" t="s">
        <v>512</v>
      </c>
      <c r="F383" s="3" t="s">
        <v>842</v>
      </c>
      <c r="G383" s="11">
        <v>1</v>
      </c>
      <c r="H383" s="11">
        <v>2</v>
      </c>
      <c r="I383" s="3" t="s">
        <v>34</v>
      </c>
      <c r="J383" s="3" t="s">
        <v>1842</v>
      </c>
      <c r="K383" s="3">
        <v>20000</v>
      </c>
      <c r="L383" s="11">
        <v>0</v>
      </c>
      <c r="M383" s="11">
        <v>2</v>
      </c>
      <c r="N383" s="3" t="s">
        <v>822</v>
      </c>
      <c r="O383" s="3" t="s">
        <v>686</v>
      </c>
      <c r="P383" s="3" t="s">
        <v>695</v>
      </c>
      <c r="Q383" s="11">
        <v>308</v>
      </c>
      <c r="R383" s="11">
        <v>427</v>
      </c>
      <c r="S383" s="3" t="s">
        <v>844</v>
      </c>
      <c r="T383" s="4" t="s">
        <v>38</v>
      </c>
      <c r="U383" s="11">
        <f>World_Cup_Matches[[#This Row],[Home Team Goals]]+World_Cup_Matches[[#This Row],[Away Team Goals]]</f>
        <v>3</v>
      </c>
      <c r="V383" s="11">
        <f>World_Cup_Matches[[#This Row],[Home Team Goals]]-World_Cup_Matches[[#This Row],[Away Team Goals]]</f>
        <v>-1</v>
      </c>
      <c r="W383" s="4" t="str">
        <f>IF(World_Cup_Matches[[#This Row],[Home Team Goals]]&gt;World_Cup_Matches[[#This Row],[Away Team Goals]],World_Cup_Matches[[#This Row],[Home Team Name]],IF(World_Cup_Matches[[#This Row],[Away Team Goals]]&gt;World_Cup_Matches[[#This Row],[Home Team Goals]], World_Cup_Matches[[#This Row],[Away Team Name]],"Draw"))</f>
        <v>Belgium</v>
      </c>
      <c r="X383" s="4" t="str">
        <f>IF(World_Cup_Matches[[#This Row],[Home Team Goals]]&gt;World_Cup_Matches[[#This Row],[Away Team Goals]],"Hime Win",IF(World_Cup_Matches[[#This Row],[Away Team Goals]]&gt;World_Cup_Matches[[#This Row],[Home Team Goals]],"Away win","Draw"))</f>
        <v>Away win</v>
      </c>
    </row>
    <row r="384" spans="1:24" x14ac:dyDescent="0.2">
      <c r="A384" s="19">
        <v>1986</v>
      </c>
      <c r="B384" s="15" t="s">
        <v>869</v>
      </c>
      <c r="C384" s="3" t="s">
        <v>846</v>
      </c>
      <c r="D384" s="3" t="s">
        <v>847</v>
      </c>
      <c r="E384" s="3" t="s">
        <v>848</v>
      </c>
      <c r="F384" s="3" t="s">
        <v>849</v>
      </c>
      <c r="G384" s="11">
        <v>6</v>
      </c>
      <c r="H384" s="11">
        <v>1</v>
      </c>
      <c r="I384" s="3" t="s">
        <v>72</v>
      </c>
      <c r="J384" s="3" t="s">
        <v>1842</v>
      </c>
      <c r="K384" s="3">
        <v>26500</v>
      </c>
      <c r="L384" s="11">
        <v>2</v>
      </c>
      <c r="M384" s="11">
        <v>1</v>
      </c>
      <c r="N384" s="3" t="s">
        <v>857</v>
      </c>
      <c r="O384" s="3" t="s">
        <v>813</v>
      </c>
      <c r="P384" s="3" t="s">
        <v>859</v>
      </c>
      <c r="Q384" s="11">
        <v>308</v>
      </c>
      <c r="R384" s="11">
        <v>522</v>
      </c>
      <c r="S384" s="3" t="s">
        <v>853</v>
      </c>
      <c r="T384" s="4" t="s">
        <v>73</v>
      </c>
      <c r="U384" s="11">
        <f>World_Cup_Matches[[#This Row],[Home Team Goals]]+World_Cup_Matches[[#This Row],[Away Team Goals]]</f>
        <v>7</v>
      </c>
      <c r="V384" s="11">
        <f>World_Cup_Matches[[#This Row],[Home Team Goals]]-World_Cup_Matches[[#This Row],[Away Team Goals]]</f>
        <v>5</v>
      </c>
      <c r="W384" s="4" t="str">
        <f>IF(World_Cup_Matches[[#This Row],[Home Team Goals]]&gt;World_Cup_Matches[[#This Row],[Away Team Goals]],World_Cup_Matches[[#This Row],[Home Team Name]],IF(World_Cup_Matches[[#This Row],[Away Team Goals]]&gt;World_Cup_Matches[[#This Row],[Home Team Goals]], World_Cup_Matches[[#This Row],[Away Team Name]],"Draw"))</f>
        <v>Denmark</v>
      </c>
      <c r="X384" s="4" t="str">
        <f>IF(World_Cup_Matches[[#This Row],[Home Team Goals]]&gt;World_Cup_Matches[[#This Row],[Away Team Goals]],"Hime Win",IF(World_Cup_Matches[[#This Row],[Away Team Goals]]&gt;World_Cup_Matches[[#This Row],[Home Team Goals]],"Away win","Draw"))</f>
        <v>Hime Win</v>
      </c>
    </row>
    <row r="385" spans="1:24" x14ac:dyDescent="0.2">
      <c r="A385" s="19">
        <v>1986</v>
      </c>
      <c r="B385" s="15" t="s">
        <v>868</v>
      </c>
      <c r="C385" s="3" t="s">
        <v>846</v>
      </c>
      <c r="D385" s="3" t="s">
        <v>854</v>
      </c>
      <c r="E385" s="3" t="s">
        <v>855</v>
      </c>
      <c r="F385" s="3" t="s">
        <v>285</v>
      </c>
      <c r="G385" s="11">
        <v>2</v>
      </c>
      <c r="H385" s="11">
        <v>1</v>
      </c>
      <c r="I385" s="3" t="s">
        <v>272</v>
      </c>
      <c r="J385" s="3" t="s">
        <v>1842</v>
      </c>
      <c r="K385" s="3">
        <v>30000</v>
      </c>
      <c r="L385" s="11">
        <v>1</v>
      </c>
      <c r="M385" s="11">
        <v>1</v>
      </c>
      <c r="N385" s="3" t="s">
        <v>862</v>
      </c>
      <c r="O385" s="3" t="s">
        <v>731</v>
      </c>
      <c r="P385" s="3" t="s">
        <v>858</v>
      </c>
      <c r="Q385" s="11">
        <v>308</v>
      </c>
      <c r="R385" s="11">
        <v>580</v>
      </c>
      <c r="S385" s="3" t="s">
        <v>289</v>
      </c>
      <c r="T385" s="4" t="s">
        <v>275</v>
      </c>
      <c r="U385" s="11">
        <f>World_Cup_Matches[[#This Row],[Home Team Goals]]+World_Cup_Matches[[#This Row],[Away Team Goals]]</f>
        <v>3</v>
      </c>
      <c r="V385" s="11">
        <f>World_Cup_Matches[[#This Row],[Home Team Goals]]-World_Cup_Matches[[#This Row],[Away Team Goals]]</f>
        <v>1</v>
      </c>
      <c r="W385" s="4" t="str">
        <f>IF(World_Cup_Matches[[#This Row],[Home Team Goals]]&gt;World_Cup_Matches[[#This Row],[Away Team Goals]],World_Cup_Matches[[#This Row],[Home Team Name]],IF(World_Cup_Matches[[#This Row],[Away Team Goals]]&gt;World_Cup_Matches[[#This Row],[Home Team Goals]], World_Cup_Matches[[#This Row],[Away Team Name]],"Draw"))</f>
        <v>Germany FR</v>
      </c>
      <c r="X385" s="4" t="str">
        <f>IF(World_Cup_Matches[[#This Row],[Home Team Goals]]&gt;World_Cup_Matches[[#This Row],[Away Team Goals]],"Hime Win",IF(World_Cup_Matches[[#This Row],[Away Team Goals]]&gt;World_Cup_Matches[[#This Row],[Home Team Goals]],"Away win","Draw"))</f>
        <v>Hime Win</v>
      </c>
    </row>
    <row r="386" spans="1:24" x14ac:dyDescent="0.2">
      <c r="A386" s="19">
        <v>1986</v>
      </c>
      <c r="B386" s="15" t="s">
        <v>870</v>
      </c>
      <c r="C386" s="3" t="s">
        <v>805</v>
      </c>
      <c r="D386" s="3" t="s">
        <v>500</v>
      </c>
      <c r="E386" s="3" t="s">
        <v>501</v>
      </c>
      <c r="F386" s="3" t="s">
        <v>99</v>
      </c>
      <c r="G386" s="11">
        <v>0</v>
      </c>
      <c r="H386" s="11">
        <v>3</v>
      </c>
      <c r="I386" s="3" t="s">
        <v>24</v>
      </c>
      <c r="J386" s="3" t="s">
        <v>1842</v>
      </c>
      <c r="K386" s="3">
        <v>31420</v>
      </c>
      <c r="L386" s="11">
        <v>0</v>
      </c>
      <c r="M386" s="11">
        <v>1</v>
      </c>
      <c r="N386" s="3" t="s">
        <v>836</v>
      </c>
      <c r="O386" s="3" t="s">
        <v>760</v>
      </c>
      <c r="P386" s="3" t="s">
        <v>833</v>
      </c>
      <c r="Q386" s="11">
        <v>308</v>
      </c>
      <c r="R386" s="11">
        <v>567</v>
      </c>
      <c r="S386" s="3" t="s">
        <v>104</v>
      </c>
      <c r="T386" s="4" t="s">
        <v>29</v>
      </c>
      <c r="U386" s="11">
        <f>World_Cup_Matches[[#This Row],[Home Team Goals]]+World_Cup_Matches[[#This Row],[Away Team Goals]]</f>
        <v>3</v>
      </c>
      <c r="V386" s="11">
        <f>World_Cup_Matches[[#This Row],[Home Team Goals]]-World_Cup_Matches[[#This Row],[Away Team Goals]]</f>
        <v>-3</v>
      </c>
      <c r="W386" s="4" t="str">
        <f>IF(World_Cup_Matches[[#This Row],[Home Team Goals]]&gt;World_Cup_Matches[[#This Row],[Away Team Goals]],World_Cup_Matches[[#This Row],[Home Team Name]],IF(World_Cup_Matches[[#This Row],[Away Team Goals]]&gt;World_Cup_Matches[[#This Row],[Home Team Goals]], World_Cup_Matches[[#This Row],[Away Team Name]],"Draw"))</f>
        <v>France</v>
      </c>
      <c r="X386" s="4" t="str">
        <f>IF(World_Cup_Matches[[#This Row],[Home Team Goals]]&gt;World_Cup_Matches[[#This Row],[Away Team Goals]],"Hime Win",IF(World_Cup_Matches[[#This Row],[Away Team Goals]]&gt;World_Cup_Matches[[#This Row],[Home Team Goals]],"Away win","Draw"))</f>
        <v>Away win</v>
      </c>
    </row>
    <row r="387" spans="1:24" x14ac:dyDescent="0.2">
      <c r="A387" s="19">
        <v>1986</v>
      </c>
      <c r="B387" s="15" t="s">
        <v>870</v>
      </c>
      <c r="C387" s="3" t="s">
        <v>805</v>
      </c>
      <c r="D387" s="3" t="s">
        <v>815</v>
      </c>
      <c r="E387" s="3" t="s">
        <v>816</v>
      </c>
      <c r="F387" s="3" t="s">
        <v>332</v>
      </c>
      <c r="G387" s="11">
        <v>2</v>
      </c>
      <c r="H387" s="11">
        <v>0</v>
      </c>
      <c r="I387" s="3" t="s">
        <v>806</v>
      </c>
      <c r="J387" s="3" t="s">
        <v>1842</v>
      </c>
      <c r="K387" s="3">
        <v>14200</v>
      </c>
      <c r="L387" s="11">
        <v>0</v>
      </c>
      <c r="M387" s="11">
        <v>0</v>
      </c>
      <c r="N387" s="3" t="s">
        <v>829</v>
      </c>
      <c r="O387" s="3" t="s">
        <v>852</v>
      </c>
      <c r="P387" s="3" t="s">
        <v>821</v>
      </c>
      <c r="Q387" s="11">
        <v>308</v>
      </c>
      <c r="R387" s="11">
        <v>476</v>
      </c>
      <c r="S387" s="3" t="s">
        <v>335</v>
      </c>
      <c r="T387" s="4" t="s">
        <v>809</v>
      </c>
      <c r="U387" s="11">
        <f>World_Cup_Matches[[#This Row],[Home Team Goals]]+World_Cup_Matches[[#This Row],[Away Team Goals]]</f>
        <v>2</v>
      </c>
      <c r="V387" s="11">
        <f>World_Cup_Matches[[#This Row],[Home Team Goals]]-World_Cup_Matches[[#This Row],[Away Team Goals]]</f>
        <v>2</v>
      </c>
      <c r="W387" s="4" t="str">
        <f>IF(World_Cup_Matches[[#This Row],[Home Team Goals]]&gt;World_Cup_Matches[[#This Row],[Away Team Goals]],World_Cup_Matches[[#This Row],[Home Team Name]],IF(World_Cup_Matches[[#This Row],[Away Team Goals]]&gt;World_Cup_Matches[[#This Row],[Home Team Goals]], World_Cup_Matches[[#This Row],[Away Team Name]],"Draw"))</f>
        <v>Soviet Union</v>
      </c>
      <c r="X387" s="4" t="str">
        <f>IF(World_Cup_Matches[[#This Row],[Home Team Goals]]&gt;World_Cup_Matches[[#This Row],[Away Team Goals]],"Hime Win",IF(World_Cup_Matches[[#This Row],[Away Team Goals]]&gt;World_Cup_Matches[[#This Row],[Home Team Goals]],"Away win","Draw"))</f>
        <v>Hime Win</v>
      </c>
    </row>
    <row r="388" spans="1:24" x14ac:dyDescent="0.2">
      <c r="A388" s="19">
        <v>1986</v>
      </c>
      <c r="B388" s="15" t="s">
        <v>871</v>
      </c>
      <c r="C388" s="3" t="s">
        <v>609</v>
      </c>
      <c r="D388" s="3" t="s">
        <v>494</v>
      </c>
      <c r="E388" s="3" t="s">
        <v>495</v>
      </c>
      <c r="F388" s="3" t="s">
        <v>291</v>
      </c>
      <c r="G388" s="11">
        <v>2</v>
      </c>
      <c r="H388" s="11">
        <v>3</v>
      </c>
      <c r="I388" s="3" t="s">
        <v>138</v>
      </c>
      <c r="J388" s="3" t="s">
        <v>1842</v>
      </c>
      <c r="K388" s="3">
        <v>20000</v>
      </c>
      <c r="L388" s="11">
        <v>0</v>
      </c>
      <c r="M388" s="11">
        <v>1</v>
      </c>
      <c r="N388" s="3" t="s">
        <v>711</v>
      </c>
      <c r="O388" s="3" t="s">
        <v>872</v>
      </c>
      <c r="P388" s="3" t="s">
        <v>839</v>
      </c>
      <c r="Q388" s="11">
        <v>308</v>
      </c>
      <c r="R388" s="11">
        <v>643</v>
      </c>
      <c r="S388" s="3" t="s">
        <v>295</v>
      </c>
      <c r="T388" s="4" t="s">
        <v>142</v>
      </c>
      <c r="U388" s="11">
        <f>World_Cup_Matches[[#This Row],[Home Team Goals]]+World_Cup_Matches[[#This Row],[Away Team Goals]]</f>
        <v>5</v>
      </c>
      <c r="V388" s="11">
        <f>World_Cup_Matches[[#This Row],[Home Team Goals]]-World_Cup_Matches[[#This Row],[Away Team Goals]]</f>
        <v>-1</v>
      </c>
      <c r="W388" s="4" t="str">
        <f>IF(World_Cup_Matches[[#This Row],[Home Team Goals]]&gt;World_Cup_Matches[[#This Row],[Away Team Goals]],World_Cup_Matches[[#This Row],[Home Team Name]],IF(World_Cup_Matches[[#This Row],[Away Team Goals]]&gt;World_Cup_Matches[[#This Row],[Home Team Goals]], World_Cup_Matches[[#This Row],[Away Team Name]],"Draw"))</f>
        <v>Italy</v>
      </c>
      <c r="X388" s="4" t="str">
        <f>IF(World_Cup_Matches[[#This Row],[Home Team Goals]]&gt;World_Cup_Matches[[#This Row],[Away Team Goals]],"Hime Win",IF(World_Cup_Matches[[#This Row],[Away Team Goals]]&gt;World_Cup_Matches[[#This Row],[Home Team Goals]],"Away win","Draw"))</f>
        <v>Away win</v>
      </c>
    </row>
    <row r="389" spans="1:24" x14ac:dyDescent="0.2">
      <c r="A389" s="19">
        <v>1986</v>
      </c>
      <c r="B389" s="15" t="s">
        <v>871</v>
      </c>
      <c r="C389" s="3" t="s">
        <v>609</v>
      </c>
      <c r="D389" s="3" t="s">
        <v>820</v>
      </c>
      <c r="E389" s="3" t="s">
        <v>491</v>
      </c>
      <c r="F389" s="3" t="s">
        <v>56</v>
      </c>
      <c r="G389" s="11">
        <v>2</v>
      </c>
      <c r="H389" s="11">
        <v>0</v>
      </c>
      <c r="I389" s="3" t="s">
        <v>401</v>
      </c>
      <c r="J389" s="3" t="s">
        <v>1842</v>
      </c>
      <c r="K389" s="3">
        <v>65000</v>
      </c>
      <c r="L389" s="11">
        <v>1</v>
      </c>
      <c r="M389" s="11">
        <v>0</v>
      </c>
      <c r="N389" s="3" t="s">
        <v>808</v>
      </c>
      <c r="O389" s="3" t="s">
        <v>859</v>
      </c>
      <c r="P389" s="3" t="s">
        <v>827</v>
      </c>
      <c r="Q389" s="11">
        <v>308</v>
      </c>
      <c r="R389" s="11">
        <v>389</v>
      </c>
      <c r="S389" s="3" t="s">
        <v>59</v>
      </c>
      <c r="T389" s="4" t="s">
        <v>404</v>
      </c>
      <c r="U389" s="11">
        <f>World_Cup_Matches[[#This Row],[Home Team Goals]]+World_Cup_Matches[[#This Row],[Away Team Goals]]</f>
        <v>2</v>
      </c>
      <c r="V389" s="11">
        <f>World_Cup_Matches[[#This Row],[Home Team Goals]]-World_Cup_Matches[[#This Row],[Away Team Goals]]</f>
        <v>2</v>
      </c>
      <c r="W389" s="4" t="str">
        <f>IF(World_Cup_Matches[[#This Row],[Home Team Goals]]&gt;World_Cup_Matches[[#This Row],[Away Team Goals]],World_Cup_Matches[[#This Row],[Home Team Name]],IF(World_Cup_Matches[[#This Row],[Away Team Goals]]&gt;World_Cup_Matches[[#This Row],[Home Team Goals]], World_Cup_Matches[[#This Row],[Away Team Name]],"Draw"))</f>
        <v>Argentina</v>
      </c>
      <c r="X389" s="4" t="str">
        <f>IF(World_Cup_Matches[[#This Row],[Home Team Goals]]&gt;World_Cup_Matches[[#This Row],[Away Team Goals]],"Hime Win",IF(World_Cup_Matches[[#This Row],[Away Team Goals]]&gt;World_Cup_Matches[[#This Row],[Home Team Goals]],"Away win","Draw"))</f>
        <v>Hime Win</v>
      </c>
    </row>
    <row r="390" spans="1:24" x14ac:dyDescent="0.2">
      <c r="A390" s="19">
        <v>1986</v>
      </c>
      <c r="B390" s="15" t="s">
        <v>873</v>
      </c>
      <c r="C390" s="3" t="s">
        <v>607</v>
      </c>
      <c r="D390" s="3" t="s">
        <v>841</v>
      </c>
      <c r="E390" s="3" t="s">
        <v>512</v>
      </c>
      <c r="F390" s="3" t="s">
        <v>68</v>
      </c>
      <c r="G390" s="11">
        <v>2</v>
      </c>
      <c r="H390" s="11">
        <v>2</v>
      </c>
      <c r="I390" s="3" t="s">
        <v>34</v>
      </c>
      <c r="J390" s="3" t="s">
        <v>1842</v>
      </c>
      <c r="K390" s="3">
        <v>16000</v>
      </c>
      <c r="L390" s="11">
        <v>0</v>
      </c>
      <c r="M390" s="11">
        <v>1</v>
      </c>
      <c r="N390" s="3" t="s">
        <v>731</v>
      </c>
      <c r="O390" s="3" t="s">
        <v>867</v>
      </c>
      <c r="P390" s="3" t="s">
        <v>807</v>
      </c>
      <c r="Q390" s="11">
        <v>308</v>
      </c>
      <c r="R390" s="11">
        <v>429</v>
      </c>
      <c r="S390" s="3" t="s">
        <v>69</v>
      </c>
      <c r="T390" s="4" t="s">
        <v>38</v>
      </c>
      <c r="U390" s="11">
        <f>World_Cup_Matches[[#This Row],[Home Team Goals]]+World_Cup_Matches[[#This Row],[Away Team Goals]]</f>
        <v>4</v>
      </c>
      <c r="V390" s="11">
        <f>World_Cup_Matches[[#This Row],[Home Team Goals]]-World_Cup_Matches[[#This Row],[Away Team Goals]]</f>
        <v>0</v>
      </c>
      <c r="W390" s="4" t="str">
        <f>IF(World_Cup_Matches[[#This Row],[Home Team Goals]]&gt;World_Cup_Matches[[#This Row],[Away Team Goals]],World_Cup_Matches[[#This Row],[Home Team Name]],IF(World_Cup_Matches[[#This Row],[Away Team Goals]]&gt;World_Cup_Matches[[#This Row],[Home Team Goals]], World_Cup_Matches[[#This Row],[Away Team Name]],"Draw"))</f>
        <v>Draw</v>
      </c>
      <c r="X390" s="4" t="str">
        <f>IF(World_Cup_Matches[[#This Row],[Home Team Goals]]&gt;World_Cup_Matches[[#This Row],[Away Team Goals]],"Hime Win",IF(World_Cup_Matches[[#This Row],[Away Team Goals]]&gt;World_Cup_Matches[[#This Row],[Home Team Goals]],"Away win","Draw"))</f>
        <v>Draw</v>
      </c>
    </row>
    <row r="391" spans="1:24" x14ac:dyDescent="0.2">
      <c r="A391" s="19">
        <v>1986</v>
      </c>
      <c r="B391" s="15" t="s">
        <v>873</v>
      </c>
      <c r="C391" s="3" t="s">
        <v>607</v>
      </c>
      <c r="D391" s="3" t="s">
        <v>490</v>
      </c>
      <c r="E391" s="3" t="s">
        <v>491</v>
      </c>
      <c r="F391" s="3" t="s">
        <v>842</v>
      </c>
      <c r="G391" s="11">
        <v>0</v>
      </c>
      <c r="H391" s="11">
        <v>1</v>
      </c>
      <c r="I391" s="3" t="s">
        <v>25</v>
      </c>
      <c r="J391" s="3" t="s">
        <v>1842</v>
      </c>
      <c r="K391" s="3">
        <v>103763</v>
      </c>
      <c r="L391" s="11">
        <v>0</v>
      </c>
      <c r="M391" s="11">
        <v>0</v>
      </c>
      <c r="N391" s="3" t="s">
        <v>834</v>
      </c>
      <c r="O391" s="3" t="s">
        <v>850</v>
      </c>
      <c r="P391" s="3" t="s">
        <v>817</v>
      </c>
      <c r="Q391" s="11">
        <v>308</v>
      </c>
      <c r="R391" s="11">
        <v>627</v>
      </c>
      <c r="S391" s="3" t="s">
        <v>844</v>
      </c>
      <c r="T391" s="4" t="s">
        <v>30</v>
      </c>
      <c r="U391" s="11">
        <f>World_Cup_Matches[[#This Row],[Home Team Goals]]+World_Cup_Matches[[#This Row],[Away Team Goals]]</f>
        <v>1</v>
      </c>
      <c r="V391" s="11">
        <f>World_Cup_Matches[[#This Row],[Home Team Goals]]-World_Cup_Matches[[#This Row],[Away Team Goals]]</f>
        <v>-1</v>
      </c>
      <c r="W391" s="4" t="str">
        <f>IF(World_Cup_Matches[[#This Row],[Home Team Goals]]&gt;World_Cup_Matches[[#This Row],[Away Team Goals]],World_Cup_Matches[[#This Row],[Home Team Name]],IF(World_Cup_Matches[[#This Row],[Away Team Goals]]&gt;World_Cup_Matches[[#This Row],[Home Team Goals]], World_Cup_Matches[[#This Row],[Away Team Name]],"Draw"))</f>
        <v>Mexico</v>
      </c>
      <c r="X391" s="4" t="str">
        <f>IF(World_Cup_Matches[[#This Row],[Home Team Goals]]&gt;World_Cup_Matches[[#This Row],[Away Team Goals]],"Hime Win",IF(World_Cup_Matches[[#This Row],[Away Team Goals]]&gt;World_Cup_Matches[[#This Row],[Home Team Goals]],"Away win","Draw"))</f>
        <v>Away win</v>
      </c>
    </row>
    <row r="392" spans="1:24" x14ac:dyDescent="0.2">
      <c r="A392" s="19">
        <v>1986</v>
      </c>
      <c r="B392" s="15" t="s">
        <v>874</v>
      </c>
      <c r="C392" s="3" t="s">
        <v>824</v>
      </c>
      <c r="D392" s="3" t="s">
        <v>831</v>
      </c>
      <c r="E392" s="3" t="s">
        <v>506</v>
      </c>
      <c r="F392" s="3" t="s">
        <v>458</v>
      </c>
      <c r="G392" s="11">
        <v>1</v>
      </c>
      <c r="H392" s="11">
        <v>3</v>
      </c>
      <c r="I392" s="3" t="s">
        <v>513</v>
      </c>
      <c r="J392" s="3" t="s">
        <v>1842</v>
      </c>
      <c r="K392" s="3">
        <v>28000</v>
      </c>
      <c r="L392" s="11">
        <v>0</v>
      </c>
      <c r="M392" s="11">
        <v>2</v>
      </c>
      <c r="N392" s="3" t="s">
        <v>858</v>
      </c>
      <c r="O392" s="3" t="s">
        <v>832</v>
      </c>
      <c r="P392" s="3" t="s">
        <v>803</v>
      </c>
      <c r="Q392" s="11">
        <v>308</v>
      </c>
      <c r="R392" s="11">
        <v>675</v>
      </c>
      <c r="S392" s="3" t="s">
        <v>462</v>
      </c>
      <c r="T392" s="4" t="s">
        <v>517</v>
      </c>
      <c r="U392" s="11">
        <f>World_Cup_Matches[[#This Row],[Home Team Goals]]+World_Cup_Matches[[#This Row],[Away Team Goals]]</f>
        <v>4</v>
      </c>
      <c r="V392" s="11">
        <f>World_Cup_Matches[[#This Row],[Home Team Goals]]-World_Cup_Matches[[#This Row],[Away Team Goals]]</f>
        <v>-2</v>
      </c>
      <c r="W392" s="4" t="str">
        <f>IF(World_Cup_Matches[[#This Row],[Home Team Goals]]&gt;World_Cup_Matches[[#This Row],[Away Team Goals]],World_Cup_Matches[[#This Row],[Home Team Name]],IF(World_Cup_Matches[[#This Row],[Away Team Goals]]&gt;World_Cup_Matches[[#This Row],[Home Team Goals]], World_Cup_Matches[[#This Row],[Away Team Name]],"Draw"))</f>
        <v>Morocco</v>
      </c>
      <c r="X392" s="4" t="str">
        <f>IF(World_Cup_Matches[[#This Row],[Home Team Goals]]&gt;World_Cup_Matches[[#This Row],[Away Team Goals]],"Hime Win",IF(World_Cup_Matches[[#This Row],[Away Team Goals]]&gt;World_Cup_Matches[[#This Row],[Home Team Goals]],"Away win","Draw"))</f>
        <v>Away win</v>
      </c>
    </row>
    <row r="393" spans="1:24" x14ac:dyDescent="0.2">
      <c r="A393" s="19">
        <v>1986</v>
      </c>
      <c r="B393" s="15" t="s">
        <v>874</v>
      </c>
      <c r="C393" s="3" t="s">
        <v>824</v>
      </c>
      <c r="D393" s="3" t="s">
        <v>838</v>
      </c>
      <c r="E393" s="3" t="s">
        <v>826</v>
      </c>
      <c r="F393" s="3" t="s">
        <v>223</v>
      </c>
      <c r="G393" s="11">
        <v>3</v>
      </c>
      <c r="H393" s="11">
        <v>0</v>
      </c>
      <c r="I393" s="3" t="s">
        <v>190</v>
      </c>
      <c r="J393" s="3" t="s">
        <v>1842</v>
      </c>
      <c r="K393" s="3">
        <v>22700</v>
      </c>
      <c r="L393" s="11">
        <v>3</v>
      </c>
      <c r="M393" s="11">
        <v>0</v>
      </c>
      <c r="N393" s="3" t="s">
        <v>833</v>
      </c>
      <c r="O393" s="3" t="s">
        <v>819</v>
      </c>
      <c r="P393" s="3" t="s">
        <v>686</v>
      </c>
      <c r="Q393" s="11">
        <v>308</v>
      </c>
      <c r="R393" s="11">
        <v>537</v>
      </c>
      <c r="S393" s="3" t="s">
        <v>227</v>
      </c>
      <c r="T393" s="4" t="s">
        <v>194</v>
      </c>
      <c r="U393" s="11">
        <f>World_Cup_Matches[[#This Row],[Home Team Goals]]+World_Cup_Matches[[#This Row],[Away Team Goals]]</f>
        <v>3</v>
      </c>
      <c r="V393" s="11">
        <f>World_Cup_Matches[[#This Row],[Home Team Goals]]-World_Cup_Matches[[#This Row],[Away Team Goals]]</f>
        <v>3</v>
      </c>
      <c r="W393" s="4" t="str">
        <f>IF(World_Cup_Matches[[#This Row],[Home Team Goals]]&gt;World_Cup_Matches[[#This Row],[Away Team Goals]],World_Cup_Matches[[#This Row],[Home Team Name]],IF(World_Cup_Matches[[#This Row],[Away Team Goals]]&gt;World_Cup_Matches[[#This Row],[Home Team Goals]], World_Cup_Matches[[#This Row],[Away Team Name]],"Draw"))</f>
        <v>England</v>
      </c>
      <c r="X393" s="4" t="str">
        <f>IF(World_Cup_Matches[[#This Row],[Home Team Goals]]&gt;World_Cup_Matches[[#This Row],[Away Team Goals]],"Hime Win",IF(World_Cup_Matches[[#This Row],[Away Team Goals]]&gt;World_Cup_Matches[[#This Row],[Home Team Goals]],"Away win","Draw"))</f>
        <v>Hime Win</v>
      </c>
    </row>
    <row r="394" spans="1:24" x14ac:dyDescent="0.2">
      <c r="A394" s="19">
        <v>1986</v>
      </c>
      <c r="B394" s="15" t="s">
        <v>875</v>
      </c>
      <c r="C394" s="3" t="s">
        <v>811</v>
      </c>
      <c r="D394" s="3" t="s">
        <v>505</v>
      </c>
      <c r="E394" s="3" t="s">
        <v>506</v>
      </c>
      <c r="F394" s="3" t="s">
        <v>360</v>
      </c>
      <c r="G394" s="11">
        <v>0</v>
      </c>
      <c r="H394" s="11">
        <v>3</v>
      </c>
      <c r="I394" s="3" t="s">
        <v>42</v>
      </c>
      <c r="J394" s="3" t="s">
        <v>1842</v>
      </c>
      <c r="K394" s="3">
        <v>51000</v>
      </c>
      <c r="L394" s="11">
        <v>0</v>
      </c>
      <c r="M394" s="11">
        <v>2</v>
      </c>
      <c r="N394" s="3" t="s">
        <v>851</v>
      </c>
      <c r="O394" s="3" t="s">
        <v>829</v>
      </c>
      <c r="P394" s="3" t="s">
        <v>818</v>
      </c>
      <c r="Q394" s="11">
        <v>308</v>
      </c>
      <c r="R394" s="11">
        <v>441</v>
      </c>
      <c r="S394" s="3" t="s">
        <v>363</v>
      </c>
      <c r="T394" s="4" t="s">
        <v>47</v>
      </c>
      <c r="U394" s="11">
        <f>World_Cup_Matches[[#This Row],[Home Team Goals]]+World_Cup_Matches[[#This Row],[Away Team Goals]]</f>
        <v>3</v>
      </c>
      <c r="V394" s="11">
        <f>World_Cup_Matches[[#This Row],[Home Team Goals]]-World_Cup_Matches[[#This Row],[Away Team Goals]]</f>
        <v>-3</v>
      </c>
      <c r="W394" s="4" t="str">
        <f>IF(World_Cup_Matches[[#This Row],[Home Team Goals]]&gt;World_Cup_Matches[[#This Row],[Away Team Goals]],World_Cup_Matches[[#This Row],[Home Team Name]],IF(World_Cup_Matches[[#This Row],[Away Team Goals]]&gt;World_Cup_Matches[[#This Row],[Home Team Goals]], World_Cup_Matches[[#This Row],[Away Team Name]],"Draw"))</f>
        <v>Brazil</v>
      </c>
      <c r="X394" s="4" t="str">
        <f>IF(World_Cup_Matches[[#This Row],[Home Team Goals]]&gt;World_Cup_Matches[[#This Row],[Away Team Goals]],"Hime Win",IF(World_Cup_Matches[[#This Row],[Away Team Goals]]&gt;World_Cup_Matches[[#This Row],[Home Team Goals]],"Away win","Draw"))</f>
        <v>Away win</v>
      </c>
    </row>
    <row r="395" spans="1:24" x14ac:dyDescent="0.2">
      <c r="A395" s="19">
        <v>1986</v>
      </c>
      <c r="B395" s="15" t="s">
        <v>875</v>
      </c>
      <c r="C395" s="3" t="s">
        <v>811</v>
      </c>
      <c r="D395" s="3" t="s">
        <v>838</v>
      </c>
      <c r="E395" s="3" t="s">
        <v>826</v>
      </c>
      <c r="F395" s="3" t="s">
        <v>718</v>
      </c>
      <c r="G395" s="11">
        <v>0</v>
      </c>
      <c r="H395" s="11">
        <v>3</v>
      </c>
      <c r="I395" s="3" t="s">
        <v>131</v>
      </c>
      <c r="J395" s="3" t="s">
        <v>1842</v>
      </c>
      <c r="K395" s="3">
        <v>23980</v>
      </c>
      <c r="L395" s="11">
        <v>0</v>
      </c>
      <c r="M395" s="11">
        <v>1</v>
      </c>
      <c r="N395" s="3" t="s">
        <v>860</v>
      </c>
      <c r="O395" s="3" t="s">
        <v>843</v>
      </c>
      <c r="P395" s="3" t="s">
        <v>835</v>
      </c>
      <c r="Q395" s="11">
        <v>308</v>
      </c>
      <c r="R395" s="11">
        <v>378</v>
      </c>
      <c r="S395" s="3" t="s">
        <v>722</v>
      </c>
      <c r="T395" s="4" t="s">
        <v>135</v>
      </c>
      <c r="U395" s="11">
        <f>World_Cup_Matches[[#This Row],[Home Team Goals]]+World_Cup_Matches[[#This Row],[Away Team Goals]]</f>
        <v>3</v>
      </c>
      <c r="V395" s="11">
        <f>World_Cup_Matches[[#This Row],[Home Team Goals]]-World_Cup_Matches[[#This Row],[Away Team Goals]]</f>
        <v>-3</v>
      </c>
      <c r="W395" s="4" t="str">
        <f>IF(World_Cup_Matches[[#This Row],[Home Team Goals]]&gt;World_Cup_Matches[[#This Row],[Away Team Goals]],World_Cup_Matches[[#This Row],[Home Team Name]],IF(World_Cup_Matches[[#This Row],[Away Team Goals]]&gt;World_Cup_Matches[[#This Row],[Home Team Goals]], World_Cup_Matches[[#This Row],[Away Team Name]],"Draw"))</f>
        <v>Spain</v>
      </c>
      <c r="X395" s="4" t="str">
        <f>IF(World_Cup_Matches[[#This Row],[Home Team Goals]]&gt;World_Cup_Matches[[#This Row],[Away Team Goals]],"Hime Win",IF(World_Cup_Matches[[#This Row],[Away Team Goals]]&gt;World_Cup_Matches[[#This Row],[Home Team Goals]],"Away win","Draw"))</f>
        <v>Away win</v>
      </c>
    </row>
    <row r="396" spans="1:24" x14ac:dyDescent="0.2">
      <c r="A396" s="19">
        <v>1986</v>
      </c>
      <c r="B396" s="15" t="s">
        <v>876</v>
      </c>
      <c r="C396" s="3" t="s">
        <v>846</v>
      </c>
      <c r="D396" s="3" t="s">
        <v>847</v>
      </c>
      <c r="E396" s="3" t="s">
        <v>848</v>
      </c>
      <c r="F396" s="3" t="s">
        <v>272</v>
      </c>
      <c r="G396" s="11">
        <v>0</v>
      </c>
      <c r="H396" s="11">
        <v>0</v>
      </c>
      <c r="I396" s="3" t="s">
        <v>72</v>
      </c>
      <c r="J396" s="3" t="s">
        <v>1842</v>
      </c>
      <c r="K396" s="3">
        <v>20000</v>
      </c>
      <c r="L396" s="11">
        <v>0</v>
      </c>
      <c r="M396" s="11">
        <v>0</v>
      </c>
      <c r="N396" s="3" t="s">
        <v>828</v>
      </c>
      <c r="O396" s="3" t="s">
        <v>822</v>
      </c>
      <c r="P396" s="3" t="s">
        <v>867</v>
      </c>
      <c r="Q396" s="11">
        <v>308</v>
      </c>
      <c r="R396" s="11">
        <v>712</v>
      </c>
      <c r="S396" s="3" t="s">
        <v>275</v>
      </c>
      <c r="T396" s="4" t="s">
        <v>73</v>
      </c>
      <c r="U396" s="11">
        <f>World_Cup_Matches[[#This Row],[Home Team Goals]]+World_Cup_Matches[[#This Row],[Away Team Goals]]</f>
        <v>0</v>
      </c>
      <c r="V396" s="11">
        <f>World_Cup_Matches[[#This Row],[Home Team Goals]]-World_Cup_Matches[[#This Row],[Away Team Goals]]</f>
        <v>0</v>
      </c>
      <c r="W396" s="4" t="str">
        <f>IF(World_Cup_Matches[[#This Row],[Home Team Goals]]&gt;World_Cup_Matches[[#This Row],[Away Team Goals]],World_Cup_Matches[[#This Row],[Home Team Name]],IF(World_Cup_Matches[[#This Row],[Away Team Goals]]&gt;World_Cup_Matches[[#This Row],[Home Team Goals]], World_Cup_Matches[[#This Row],[Away Team Name]],"Draw"))</f>
        <v>Draw</v>
      </c>
      <c r="X396" s="4" t="str">
        <f>IF(World_Cup_Matches[[#This Row],[Home Team Goals]]&gt;World_Cup_Matches[[#This Row],[Away Team Goals]],"Hime Win",IF(World_Cup_Matches[[#This Row],[Away Team Goals]]&gt;World_Cup_Matches[[#This Row],[Home Team Goals]],"Away win","Draw"))</f>
        <v>Draw</v>
      </c>
    </row>
    <row r="397" spans="1:24" x14ac:dyDescent="0.2">
      <c r="A397" s="19">
        <v>1986</v>
      </c>
      <c r="B397" s="15" t="s">
        <v>876</v>
      </c>
      <c r="C397" s="3" t="s">
        <v>846</v>
      </c>
      <c r="D397" s="3" t="s">
        <v>854</v>
      </c>
      <c r="E397" s="3" t="s">
        <v>855</v>
      </c>
      <c r="F397" s="3" t="s">
        <v>849</v>
      </c>
      <c r="G397" s="11">
        <v>2</v>
      </c>
      <c r="H397" s="11">
        <v>0</v>
      </c>
      <c r="I397" s="3" t="s">
        <v>285</v>
      </c>
      <c r="J397" s="3" t="s">
        <v>1842</v>
      </c>
      <c r="K397" s="3">
        <v>36000</v>
      </c>
      <c r="L397" s="11">
        <v>1</v>
      </c>
      <c r="M397" s="11">
        <v>0</v>
      </c>
      <c r="N397" s="3" t="s">
        <v>760</v>
      </c>
      <c r="O397" s="3" t="s">
        <v>812</v>
      </c>
      <c r="P397" s="3" t="s">
        <v>749</v>
      </c>
      <c r="Q397" s="11">
        <v>308</v>
      </c>
      <c r="R397" s="11">
        <v>512</v>
      </c>
      <c r="S397" s="3" t="s">
        <v>853</v>
      </c>
      <c r="T397" s="4" t="s">
        <v>289</v>
      </c>
      <c r="U397" s="11">
        <f>World_Cup_Matches[[#This Row],[Home Team Goals]]+World_Cup_Matches[[#This Row],[Away Team Goals]]</f>
        <v>2</v>
      </c>
      <c r="V397" s="11">
        <f>World_Cup_Matches[[#This Row],[Home Team Goals]]-World_Cup_Matches[[#This Row],[Away Team Goals]]</f>
        <v>2</v>
      </c>
      <c r="W397" s="4" t="str">
        <f>IF(World_Cup_Matches[[#This Row],[Home Team Goals]]&gt;World_Cup_Matches[[#This Row],[Away Team Goals]],World_Cup_Matches[[#This Row],[Home Team Name]],IF(World_Cup_Matches[[#This Row],[Away Team Goals]]&gt;World_Cup_Matches[[#This Row],[Home Team Goals]], World_Cup_Matches[[#This Row],[Away Team Name]],"Draw"))</f>
        <v>Denmark</v>
      </c>
      <c r="X397" s="4" t="str">
        <f>IF(World_Cup_Matches[[#This Row],[Home Team Goals]]&gt;World_Cup_Matches[[#This Row],[Away Team Goals]],"Hime Win",IF(World_Cup_Matches[[#This Row],[Away Team Goals]]&gt;World_Cup_Matches[[#This Row],[Home Team Goals]],"Away win","Draw"))</f>
        <v>Hime Win</v>
      </c>
    </row>
    <row r="398" spans="1:24" x14ac:dyDescent="0.2">
      <c r="A398" s="19">
        <v>1986</v>
      </c>
      <c r="B398" s="15" t="s">
        <v>877</v>
      </c>
      <c r="C398" s="3" t="s">
        <v>878</v>
      </c>
      <c r="D398" s="3" t="s">
        <v>500</v>
      </c>
      <c r="E398" s="3" t="s">
        <v>501</v>
      </c>
      <c r="F398" s="3" t="s">
        <v>332</v>
      </c>
      <c r="G398" s="11">
        <v>3</v>
      </c>
      <c r="H398" s="11">
        <v>4</v>
      </c>
      <c r="I398" s="3" t="s">
        <v>34</v>
      </c>
      <c r="J398" s="3" t="s">
        <v>879</v>
      </c>
      <c r="K398" s="3">
        <v>32277</v>
      </c>
      <c r="L398" s="11">
        <v>0</v>
      </c>
      <c r="M398" s="11">
        <v>0</v>
      </c>
      <c r="N398" s="3" t="s">
        <v>749</v>
      </c>
      <c r="O398" s="3" t="s">
        <v>695</v>
      </c>
      <c r="P398" s="3" t="s">
        <v>711</v>
      </c>
      <c r="Q398" s="11">
        <v>309</v>
      </c>
      <c r="R398" s="11">
        <v>432</v>
      </c>
      <c r="S398" s="3" t="s">
        <v>335</v>
      </c>
      <c r="T398" s="4" t="s">
        <v>38</v>
      </c>
      <c r="U398" s="11">
        <f>World_Cup_Matches[[#This Row],[Home Team Goals]]+World_Cup_Matches[[#This Row],[Away Team Goals]]</f>
        <v>7</v>
      </c>
      <c r="V398" s="11">
        <f>World_Cup_Matches[[#This Row],[Home Team Goals]]-World_Cup_Matches[[#This Row],[Away Team Goals]]</f>
        <v>-1</v>
      </c>
      <c r="W398" s="4" t="str">
        <f>IF(World_Cup_Matches[[#This Row],[Home Team Goals]]&gt;World_Cup_Matches[[#This Row],[Away Team Goals]],World_Cup_Matches[[#This Row],[Home Team Name]],IF(World_Cup_Matches[[#This Row],[Away Team Goals]]&gt;World_Cup_Matches[[#This Row],[Home Team Goals]], World_Cup_Matches[[#This Row],[Away Team Name]],"Draw"))</f>
        <v>Belgium</v>
      </c>
      <c r="X398" s="4" t="str">
        <f>IF(World_Cup_Matches[[#This Row],[Home Team Goals]]&gt;World_Cup_Matches[[#This Row],[Away Team Goals]],"Hime Win",IF(World_Cup_Matches[[#This Row],[Away Team Goals]]&gt;World_Cup_Matches[[#This Row],[Home Team Goals]],"Away win","Draw"))</f>
        <v>Away win</v>
      </c>
    </row>
    <row r="399" spans="1:24" x14ac:dyDescent="0.2">
      <c r="A399" s="19">
        <v>1986</v>
      </c>
      <c r="B399" s="15" t="s">
        <v>880</v>
      </c>
      <c r="C399" s="3" t="s">
        <v>878</v>
      </c>
      <c r="D399" s="3" t="s">
        <v>490</v>
      </c>
      <c r="E399" s="3" t="s">
        <v>491</v>
      </c>
      <c r="F399" s="3" t="s">
        <v>25</v>
      </c>
      <c r="G399" s="11">
        <v>2</v>
      </c>
      <c r="H399" s="11">
        <v>0</v>
      </c>
      <c r="I399" s="3" t="s">
        <v>401</v>
      </c>
      <c r="J399" s="3" t="s">
        <v>1842</v>
      </c>
      <c r="K399" s="3">
        <v>114580</v>
      </c>
      <c r="L399" s="11">
        <v>1</v>
      </c>
      <c r="M399" s="11">
        <v>0</v>
      </c>
      <c r="N399" s="3" t="s">
        <v>859</v>
      </c>
      <c r="O399" s="3" t="s">
        <v>743</v>
      </c>
      <c r="P399" s="3" t="s">
        <v>862</v>
      </c>
      <c r="Q399" s="11">
        <v>309</v>
      </c>
      <c r="R399" s="11">
        <v>463</v>
      </c>
      <c r="S399" s="3" t="s">
        <v>30</v>
      </c>
      <c r="T399" s="4" t="s">
        <v>404</v>
      </c>
      <c r="U399" s="11">
        <f>World_Cup_Matches[[#This Row],[Home Team Goals]]+World_Cup_Matches[[#This Row],[Away Team Goals]]</f>
        <v>2</v>
      </c>
      <c r="V399" s="11">
        <f>World_Cup_Matches[[#This Row],[Home Team Goals]]-World_Cup_Matches[[#This Row],[Away Team Goals]]</f>
        <v>2</v>
      </c>
      <c r="W399" s="4" t="str">
        <f>IF(World_Cup_Matches[[#This Row],[Home Team Goals]]&gt;World_Cup_Matches[[#This Row],[Away Team Goals]],World_Cup_Matches[[#This Row],[Home Team Name]],IF(World_Cup_Matches[[#This Row],[Away Team Goals]]&gt;World_Cup_Matches[[#This Row],[Home Team Goals]], World_Cup_Matches[[#This Row],[Away Team Name]],"Draw"))</f>
        <v>Mexico</v>
      </c>
      <c r="X399" s="4" t="str">
        <f>IF(World_Cup_Matches[[#This Row],[Home Team Goals]]&gt;World_Cup_Matches[[#This Row],[Away Team Goals]],"Hime Win",IF(World_Cup_Matches[[#This Row],[Away Team Goals]]&gt;World_Cup_Matches[[#This Row],[Home Team Goals]],"Away win","Draw"))</f>
        <v>Hime Win</v>
      </c>
    </row>
    <row r="400" spans="1:24" x14ac:dyDescent="0.2">
      <c r="A400" s="19">
        <v>1986</v>
      </c>
      <c r="B400" s="15" t="s">
        <v>881</v>
      </c>
      <c r="C400" s="3" t="s">
        <v>878</v>
      </c>
      <c r="D400" s="3" t="s">
        <v>494</v>
      </c>
      <c r="E400" s="3" t="s">
        <v>495</v>
      </c>
      <c r="F400" s="3" t="s">
        <v>56</v>
      </c>
      <c r="G400" s="11">
        <v>1</v>
      </c>
      <c r="H400" s="11">
        <v>0</v>
      </c>
      <c r="I400" s="3" t="s">
        <v>72</v>
      </c>
      <c r="J400" s="3" t="s">
        <v>1842</v>
      </c>
      <c r="K400" s="3">
        <v>26000</v>
      </c>
      <c r="L400" s="11">
        <v>1</v>
      </c>
      <c r="M400" s="11">
        <v>0</v>
      </c>
      <c r="N400" s="3" t="s">
        <v>817</v>
      </c>
      <c r="O400" s="3" t="s">
        <v>818</v>
      </c>
      <c r="P400" s="3" t="s">
        <v>836</v>
      </c>
      <c r="Q400" s="11">
        <v>309</v>
      </c>
      <c r="R400" s="11">
        <v>398</v>
      </c>
      <c r="S400" s="3" t="s">
        <v>59</v>
      </c>
      <c r="T400" s="4" t="s">
        <v>73</v>
      </c>
      <c r="U400" s="11">
        <f>World_Cup_Matches[[#This Row],[Home Team Goals]]+World_Cup_Matches[[#This Row],[Away Team Goals]]</f>
        <v>1</v>
      </c>
      <c r="V400" s="11">
        <f>World_Cup_Matches[[#This Row],[Home Team Goals]]-World_Cup_Matches[[#This Row],[Away Team Goals]]</f>
        <v>1</v>
      </c>
      <c r="W400" s="4" t="str">
        <f>IF(World_Cup_Matches[[#This Row],[Home Team Goals]]&gt;World_Cup_Matches[[#This Row],[Away Team Goals]],World_Cup_Matches[[#This Row],[Home Team Name]],IF(World_Cup_Matches[[#This Row],[Away Team Goals]]&gt;World_Cup_Matches[[#This Row],[Home Team Goals]], World_Cup_Matches[[#This Row],[Away Team Name]],"Draw"))</f>
        <v>Argentina</v>
      </c>
      <c r="X400" s="4" t="str">
        <f>IF(World_Cup_Matches[[#This Row],[Home Team Goals]]&gt;World_Cup_Matches[[#This Row],[Away Team Goals]],"Hime Win",IF(World_Cup_Matches[[#This Row],[Away Team Goals]]&gt;World_Cup_Matches[[#This Row],[Home Team Goals]],"Away win","Draw"))</f>
        <v>Hime Win</v>
      </c>
    </row>
    <row r="401" spans="1:24" x14ac:dyDescent="0.2">
      <c r="A401" s="19">
        <v>1986</v>
      </c>
      <c r="B401" s="15" t="s">
        <v>882</v>
      </c>
      <c r="C401" s="3" t="s">
        <v>878</v>
      </c>
      <c r="D401" s="3" t="s">
        <v>505</v>
      </c>
      <c r="E401" s="3" t="s">
        <v>506</v>
      </c>
      <c r="F401" s="3" t="s">
        <v>42</v>
      </c>
      <c r="G401" s="11">
        <v>4</v>
      </c>
      <c r="H401" s="11">
        <v>0</v>
      </c>
      <c r="I401" s="3" t="s">
        <v>190</v>
      </c>
      <c r="J401" s="3" t="s">
        <v>1842</v>
      </c>
      <c r="K401" s="3">
        <v>45000</v>
      </c>
      <c r="L401" s="11">
        <v>1</v>
      </c>
      <c r="M401" s="11">
        <v>0</v>
      </c>
      <c r="N401" s="3" t="s">
        <v>803</v>
      </c>
      <c r="O401" s="3" t="s">
        <v>857</v>
      </c>
      <c r="P401" s="3" t="s">
        <v>858</v>
      </c>
      <c r="Q401" s="11">
        <v>309</v>
      </c>
      <c r="R401" s="11">
        <v>444</v>
      </c>
      <c r="S401" s="3" t="s">
        <v>47</v>
      </c>
      <c r="T401" s="4" t="s">
        <v>194</v>
      </c>
      <c r="U401" s="11">
        <f>World_Cup_Matches[[#This Row],[Home Team Goals]]+World_Cup_Matches[[#This Row],[Away Team Goals]]</f>
        <v>4</v>
      </c>
      <c r="V401" s="11">
        <f>World_Cup_Matches[[#This Row],[Home Team Goals]]-World_Cup_Matches[[#This Row],[Away Team Goals]]</f>
        <v>4</v>
      </c>
      <c r="W401" s="4" t="str">
        <f>IF(World_Cup_Matches[[#This Row],[Home Team Goals]]&gt;World_Cup_Matches[[#This Row],[Away Team Goals]],World_Cup_Matches[[#This Row],[Home Team Name]],IF(World_Cup_Matches[[#This Row],[Away Team Goals]]&gt;World_Cup_Matches[[#This Row],[Home Team Goals]], World_Cup_Matches[[#This Row],[Away Team Name]],"Draw"))</f>
        <v>Brazil</v>
      </c>
      <c r="X401" s="4" t="str">
        <f>IF(World_Cup_Matches[[#This Row],[Home Team Goals]]&gt;World_Cup_Matches[[#This Row],[Away Team Goals]],"Hime Win",IF(World_Cup_Matches[[#This Row],[Away Team Goals]]&gt;World_Cup_Matches[[#This Row],[Home Team Goals]],"Away win","Draw"))</f>
        <v>Hime Win</v>
      </c>
    </row>
    <row r="402" spans="1:24" x14ac:dyDescent="0.2">
      <c r="A402" s="19">
        <v>1986</v>
      </c>
      <c r="B402" s="15" t="s">
        <v>883</v>
      </c>
      <c r="C402" s="3" t="s">
        <v>878</v>
      </c>
      <c r="D402" s="3" t="s">
        <v>820</v>
      </c>
      <c r="E402" s="3" t="s">
        <v>491</v>
      </c>
      <c r="F402" s="3" t="s">
        <v>138</v>
      </c>
      <c r="G402" s="11">
        <v>0</v>
      </c>
      <c r="H402" s="11">
        <v>2</v>
      </c>
      <c r="I402" s="3" t="s">
        <v>24</v>
      </c>
      <c r="J402" s="3" t="s">
        <v>1842</v>
      </c>
      <c r="K402" s="3">
        <v>70000</v>
      </c>
      <c r="L402" s="11">
        <v>0</v>
      </c>
      <c r="M402" s="11">
        <v>1</v>
      </c>
      <c r="N402" s="3" t="s">
        <v>835</v>
      </c>
      <c r="O402" s="3" t="s">
        <v>827</v>
      </c>
      <c r="P402" s="3" t="s">
        <v>822</v>
      </c>
      <c r="Q402" s="11">
        <v>309</v>
      </c>
      <c r="R402" s="11">
        <v>568</v>
      </c>
      <c r="S402" s="3" t="s">
        <v>142</v>
      </c>
      <c r="T402" s="4" t="s">
        <v>29</v>
      </c>
      <c r="U402" s="11">
        <f>World_Cup_Matches[[#This Row],[Home Team Goals]]+World_Cup_Matches[[#This Row],[Away Team Goals]]</f>
        <v>2</v>
      </c>
      <c r="V402" s="11">
        <f>World_Cup_Matches[[#This Row],[Home Team Goals]]-World_Cup_Matches[[#This Row],[Away Team Goals]]</f>
        <v>-2</v>
      </c>
      <c r="W402" s="4" t="str">
        <f>IF(World_Cup_Matches[[#This Row],[Home Team Goals]]&gt;World_Cup_Matches[[#This Row],[Away Team Goals]],World_Cup_Matches[[#This Row],[Home Team Name]],IF(World_Cup_Matches[[#This Row],[Away Team Goals]]&gt;World_Cup_Matches[[#This Row],[Home Team Goals]], World_Cup_Matches[[#This Row],[Away Team Name]],"Draw"))</f>
        <v>France</v>
      </c>
      <c r="X402" s="4" t="str">
        <f>IF(World_Cup_Matches[[#This Row],[Home Team Goals]]&gt;World_Cup_Matches[[#This Row],[Away Team Goals]],"Hime Win",IF(World_Cup_Matches[[#This Row],[Away Team Goals]]&gt;World_Cup_Matches[[#This Row],[Home Team Goals]],"Away win","Draw"))</f>
        <v>Away win</v>
      </c>
    </row>
    <row r="403" spans="1:24" x14ac:dyDescent="0.2">
      <c r="A403" s="19">
        <v>1986</v>
      </c>
      <c r="B403" s="15" t="s">
        <v>884</v>
      </c>
      <c r="C403" s="3" t="s">
        <v>878</v>
      </c>
      <c r="D403" s="3" t="s">
        <v>825</v>
      </c>
      <c r="E403" s="3" t="s">
        <v>826</v>
      </c>
      <c r="F403" s="3" t="s">
        <v>513</v>
      </c>
      <c r="G403" s="11">
        <v>0</v>
      </c>
      <c r="H403" s="11">
        <v>1</v>
      </c>
      <c r="I403" s="3" t="s">
        <v>285</v>
      </c>
      <c r="J403" s="3" t="s">
        <v>1842</v>
      </c>
      <c r="K403" s="3">
        <v>19800</v>
      </c>
      <c r="L403" s="11">
        <v>0</v>
      </c>
      <c r="M403" s="11">
        <v>0</v>
      </c>
      <c r="N403" s="3" t="s">
        <v>834</v>
      </c>
      <c r="O403" s="3" t="s">
        <v>850</v>
      </c>
      <c r="P403" s="3" t="s">
        <v>819</v>
      </c>
      <c r="Q403" s="11">
        <v>309</v>
      </c>
      <c r="R403" s="11">
        <v>574</v>
      </c>
      <c r="S403" s="3" t="s">
        <v>517</v>
      </c>
      <c r="T403" s="4" t="s">
        <v>289</v>
      </c>
      <c r="U403" s="11">
        <f>World_Cup_Matches[[#This Row],[Home Team Goals]]+World_Cup_Matches[[#This Row],[Away Team Goals]]</f>
        <v>1</v>
      </c>
      <c r="V403" s="11">
        <f>World_Cup_Matches[[#This Row],[Home Team Goals]]-World_Cup_Matches[[#This Row],[Away Team Goals]]</f>
        <v>-1</v>
      </c>
      <c r="W403" s="4" t="str">
        <f>IF(World_Cup_Matches[[#This Row],[Home Team Goals]]&gt;World_Cup_Matches[[#This Row],[Away Team Goals]],World_Cup_Matches[[#This Row],[Home Team Name]],IF(World_Cup_Matches[[#This Row],[Away Team Goals]]&gt;World_Cup_Matches[[#This Row],[Home Team Goals]], World_Cup_Matches[[#This Row],[Away Team Name]],"Draw"))</f>
        <v>Germany FR</v>
      </c>
      <c r="X403" s="4" t="str">
        <f>IF(World_Cup_Matches[[#This Row],[Home Team Goals]]&gt;World_Cup_Matches[[#This Row],[Away Team Goals]],"Hime Win",IF(World_Cup_Matches[[#This Row],[Away Team Goals]]&gt;World_Cup_Matches[[#This Row],[Home Team Goals]],"Away win","Draw"))</f>
        <v>Away win</v>
      </c>
    </row>
    <row r="404" spans="1:24" x14ac:dyDescent="0.2">
      <c r="A404" s="19">
        <v>1986</v>
      </c>
      <c r="B404" s="15" t="s">
        <v>885</v>
      </c>
      <c r="C404" s="3" t="s">
        <v>878</v>
      </c>
      <c r="D404" s="3" t="s">
        <v>490</v>
      </c>
      <c r="E404" s="3" t="s">
        <v>491</v>
      </c>
      <c r="F404" s="3" t="s">
        <v>223</v>
      </c>
      <c r="G404" s="11">
        <v>3</v>
      </c>
      <c r="H404" s="11">
        <v>0</v>
      </c>
      <c r="I404" s="3" t="s">
        <v>68</v>
      </c>
      <c r="J404" s="3" t="s">
        <v>1842</v>
      </c>
      <c r="K404" s="3">
        <v>98728</v>
      </c>
      <c r="L404" s="11">
        <v>1</v>
      </c>
      <c r="M404" s="11">
        <v>0</v>
      </c>
      <c r="N404" s="3" t="s">
        <v>839</v>
      </c>
      <c r="O404" s="3" t="s">
        <v>760</v>
      </c>
      <c r="P404" s="3" t="s">
        <v>852</v>
      </c>
      <c r="Q404" s="11">
        <v>309</v>
      </c>
      <c r="R404" s="11">
        <v>536</v>
      </c>
      <c r="S404" s="3" t="s">
        <v>227</v>
      </c>
      <c r="T404" s="4" t="s">
        <v>69</v>
      </c>
      <c r="U404" s="11">
        <f>World_Cup_Matches[[#This Row],[Home Team Goals]]+World_Cup_Matches[[#This Row],[Away Team Goals]]</f>
        <v>3</v>
      </c>
      <c r="V404" s="11">
        <f>World_Cup_Matches[[#This Row],[Home Team Goals]]-World_Cup_Matches[[#This Row],[Away Team Goals]]</f>
        <v>3</v>
      </c>
      <c r="W404" s="4" t="str">
        <f>IF(World_Cup_Matches[[#This Row],[Home Team Goals]]&gt;World_Cup_Matches[[#This Row],[Away Team Goals]],World_Cup_Matches[[#This Row],[Home Team Name]],IF(World_Cup_Matches[[#This Row],[Away Team Goals]]&gt;World_Cup_Matches[[#This Row],[Home Team Goals]], World_Cup_Matches[[#This Row],[Away Team Name]],"Draw"))</f>
        <v>England</v>
      </c>
      <c r="X404" s="4" t="str">
        <f>IF(World_Cup_Matches[[#This Row],[Home Team Goals]]&gt;World_Cup_Matches[[#This Row],[Away Team Goals]],"Hime Win",IF(World_Cup_Matches[[#This Row],[Away Team Goals]]&gt;World_Cup_Matches[[#This Row],[Home Team Goals]],"Away win","Draw"))</f>
        <v>Hime Win</v>
      </c>
    </row>
    <row r="405" spans="1:24" x14ac:dyDescent="0.2">
      <c r="A405" s="19">
        <v>1986</v>
      </c>
      <c r="B405" s="15" t="s">
        <v>886</v>
      </c>
      <c r="C405" s="3" t="s">
        <v>878</v>
      </c>
      <c r="D405" s="3" t="s">
        <v>854</v>
      </c>
      <c r="E405" s="3" t="s">
        <v>855</v>
      </c>
      <c r="F405" s="3" t="s">
        <v>849</v>
      </c>
      <c r="G405" s="11">
        <v>1</v>
      </c>
      <c r="H405" s="11">
        <v>5</v>
      </c>
      <c r="I405" s="3" t="s">
        <v>131</v>
      </c>
      <c r="J405" s="3" t="s">
        <v>1842</v>
      </c>
      <c r="K405" s="3">
        <v>38500</v>
      </c>
      <c r="L405" s="11">
        <v>1</v>
      </c>
      <c r="M405" s="11">
        <v>1</v>
      </c>
      <c r="N405" s="3" t="s">
        <v>813</v>
      </c>
      <c r="O405" s="3" t="s">
        <v>867</v>
      </c>
      <c r="P405" s="3" t="s">
        <v>731</v>
      </c>
      <c r="Q405" s="11">
        <v>309</v>
      </c>
      <c r="R405" s="11">
        <v>511</v>
      </c>
      <c r="S405" s="3" t="s">
        <v>853</v>
      </c>
      <c r="T405" s="4" t="s">
        <v>135</v>
      </c>
      <c r="U405" s="11">
        <f>World_Cup_Matches[[#This Row],[Home Team Goals]]+World_Cup_Matches[[#This Row],[Away Team Goals]]</f>
        <v>6</v>
      </c>
      <c r="V405" s="11">
        <f>World_Cup_Matches[[#This Row],[Home Team Goals]]-World_Cup_Matches[[#This Row],[Away Team Goals]]</f>
        <v>-4</v>
      </c>
      <c r="W405" s="4" t="str">
        <f>IF(World_Cup_Matches[[#This Row],[Home Team Goals]]&gt;World_Cup_Matches[[#This Row],[Away Team Goals]],World_Cup_Matches[[#This Row],[Home Team Name]],IF(World_Cup_Matches[[#This Row],[Away Team Goals]]&gt;World_Cup_Matches[[#This Row],[Home Team Goals]], World_Cup_Matches[[#This Row],[Away Team Name]],"Draw"))</f>
        <v>Spain</v>
      </c>
      <c r="X405" s="4" t="str">
        <f>IF(World_Cup_Matches[[#This Row],[Home Team Goals]]&gt;World_Cup_Matches[[#This Row],[Away Team Goals]],"Hime Win",IF(World_Cup_Matches[[#This Row],[Away Team Goals]]&gt;World_Cup_Matches[[#This Row],[Home Team Goals]],"Away win","Draw"))</f>
        <v>Away win</v>
      </c>
    </row>
    <row r="406" spans="1:24" x14ac:dyDescent="0.2">
      <c r="A406" s="19">
        <v>1986</v>
      </c>
      <c r="B406" s="15" t="s">
        <v>887</v>
      </c>
      <c r="C406" s="3" t="s">
        <v>150</v>
      </c>
      <c r="D406" s="3" t="s">
        <v>505</v>
      </c>
      <c r="E406" s="3" t="s">
        <v>506</v>
      </c>
      <c r="F406" s="3" t="s">
        <v>42</v>
      </c>
      <c r="G406" s="11">
        <v>1</v>
      </c>
      <c r="H406" s="11">
        <v>1</v>
      </c>
      <c r="I406" s="3" t="s">
        <v>24</v>
      </c>
      <c r="J406" s="3" t="s">
        <v>888</v>
      </c>
      <c r="K406" s="3">
        <v>65000</v>
      </c>
      <c r="L406" s="11">
        <v>0</v>
      </c>
      <c r="M406" s="11">
        <v>0</v>
      </c>
      <c r="N406" s="3" t="s">
        <v>862</v>
      </c>
      <c r="O406" s="3" t="s">
        <v>850</v>
      </c>
      <c r="P406" s="3" t="s">
        <v>686</v>
      </c>
      <c r="Q406" s="11">
        <v>714</v>
      </c>
      <c r="R406" s="11">
        <v>440</v>
      </c>
      <c r="S406" s="3" t="s">
        <v>47</v>
      </c>
      <c r="T406" s="4" t="s">
        <v>29</v>
      </c>
      <c r="U406" s="11">
        <f>World_Cup_Matches[[#This Row],[Home Team Goals]]+World_Cup_Matches[[#This Row],[Away Team Goals]]</f>
        <v>2</v>
      </c>
      <c r="V406" s="11">
        <f>World_Cup_Matches[[#This Row],[Home Team Goals]]-World_Cup_Matches[[#This Row],[Away Team Goals]]</f>
        <v>0</v>
      </c>
      <c r="W406" s="4" t="str">
        <f>IF(World_Cup_Matches[[#This Row],[Home Team Goals]]&gt;World_Cup_Matches[[#This Row],[Away Team Goals]],World_Cup_Matches[[#This Row],[Home Team Name]],IF(World_Cup_Matches[[#This Row],[Away Team Goals]]&gt;World_Cup_Matches[[#This Row],[Home Team Goals]], World_Cup_Matches[[#This Row],[Away Team Name]],"Draw"))</f>
        <v>Draw</v>
      </c>
      <c r="X406" s="4" t="str">
        <f>IF(World_Cup_Matches[[#This Row],[Home Team Goals]]&gt;World_Cup_Matches[[#This Row],[Away Team Goals]],"Hime Win",IF(World_Cup_Matches[[#This Row],[Away Team Goals]]&gt;World_Cup_Matches[[#This Row],[Home Team Goals]],"Away win","Draw"))</f>
        <v>Draw</v>
      </c>
    </row>
    <row r="407" spans="1:24" x14ac:dyDescent="0.2">
      <c r="A407" s="19">
        <v>1986</v>
      </c>
      <c r="B407" s="15" t="s">
        <v>889</v>
      </c>
      <c r="C407" s="3" t="s">
        <v>150</v>
      </c>
      <c r="D407" s="3" t="s">
        <v>825</v>
      </c>
      <c r="E407" s="3" t="s">
        <v>826</v>
      </c>
      <c r="F407" s="3" t="s">
        <v>285</v>
      </c>
      <c r="G407" s="11">
        <v>0</v>
      </c>
      <c r="H407" s="11">
        <v>0</v>
      </c>
      <c r="I407" s="3" t="s">
        <v>25</v>
      </c>
      <c r="J407" s="3" t="s">
        <v>890</v>
      </c>
      <c r="K407" s="3">
        <v>41700</v>
      </c>
      <c r="L407" s="11">
        <v>0</v>
      </c>
      <c r="M407" s="11">
        <v>0</v>
      </c>
      <c r="N407" s="3" t="s">
        <v>822</v>
      </c>
      <c r="O407" s="3" t="s">
        <v>812</v>
      </c>
      <c r="P407" s="3" t="s">
        <v>858</v>
      </c>
      <c r="Q407" s="11">
        <v>714</v>
      </c>
      <c r="R407" s="11">
        <v>575</v>
      </c>
      <c r="S407" s="3" t="s">
        <v>289</v>
      </c>
      <c r="T407" s="4" t="s">
        <v>30</v>
      </c>
      <c r="U407" s="11">
        <f>World_Cup_Matches[[#This Row],[Home Team Goals]]+World_Cup_Matches[[#This Row],[Away Team Goals]]</f>
        <v>0</v>
      </c>
      <c r="V407" s="11">
        <f>World_Cup_Matches[[#This Row],[Home Team Goals]]-World_Cup_Matches[[#This Row],[Away Team Goals]]</f>
        <v>0</v>
      </c>
      <c r="W407" s="4" t="str">
        <f>IF(World_Cup_Matches[[#This Row],[Home Team Goals]]&gt;World_Cup_Matches[[#This Row],[Away Team Goals]],World_Cup_Matches[[#This Row],[Home Team Name]],IF(World_Cup_Matches[[#This Row],[Away Team Goals]]&gt;World_Cup_Matches[[#This Row],[Home Team Goals]], World_Cup_Matches[[#This Row],[Away Team Name]],"Draw"))</f>
        <v>Draw</v>
      </c>
      <c r="X407" s="4" t="str">
        <f>IF(World_Cup_Matches[[#This Row],[Home Team Goals]]&gt;World_Cup_Matches[[#This Row],[Away Team Goals]],"Hime Win",IF(World_Cup_Matches[[#This Row],[Away Team Goals]]&gt;World_Cup_Matches[[#This Row],[Home Team Goals]],"Away win","Draw"))</f>
        <v>Draw</v>
      </c>
    </row>
    <row r="408" spans="1:24" x14ac:dyDescent="0.2">
      <c r="A408" s="19">
        <v>1986</v>
      </c>
      <c r="B408" s="15" t="s">
        <v>891</v>
      </c>
      <c r="C408" s="3" t="s">
        <v>150</v>
      </c>
      <c r="D408" s="3" t="s">
        <v>494</v>
      </c>
      <c r="E408" s="3" t="s">
        <v>495</v>
      </c>
      <c r="F408" s="3" t="s">
        <v>131</v>
      </c>
      <c r="G408" s="11">
        <v>1</v>
      </c>
      <c r="H408" s="11">
        <v>1</v>
      </c>
      <c r="I408" s="3" t="s">
        <v>34</v>
      </c>
      <c r="J408" s="3" t="s">
        <v>892</v>
      </c>
      <c r="K408" s="3">
        <v>45000</v>
      </c>
      <c r="L408" s="11">
        <v>0</v>
      </c>
      <c r="M408" s="11">
        <v>0</v>
      </c>
      <c r="N408" s="3" t="s">
        <v>851</v>
      </c>
      <c r="O408" s="3" t="s">
        <v>802</v>
      </c>
      <c r="P408" s="3" t="s">
        <v>819</v>
      </c>
      <c r="Q408" s="11">
        <v>714</v>
      </c>
      <c r="R408" s="11">
        <v>421</v>
      </c>
      <c r="S408" s="3" t="s">
        <v>135</v>
      </c>
      <c r="T408" s="4" t="s">
        <v>38</v>
      </c>
      <c r="U408" s="11">
        <f>World_Cup_Matches[[#This Row],[Home Team Goals]]+World_Cup_Matches[[#This Row],[Away Team Goals]]</f>
        <v>2</v>
      </c>
      <c r="V408" s="11">
        <f>World_Cup_Matches[[#This Row],[Home Team Goals]]-World_Cup_Matches[[#This Row],[Away Team Goals]]</f>
        <v>0</v>
      </c>
      <c r="W408" s="4" t="str">
        <f>IF(World_Cup_Matches[[#This Row],[Home Team Goals]]&gt;World_Cup_Matches[[#This Row],[Away Team Goals]],World_Cup_Matches[[#This Row],[Home Team Name]],IF(World_Cup_Matches[[#This Row],[Away Team Goals]]&gt;World_Cup_Matches[[#This Row],[Home Team Goals]], World_Cup_Matches[[#This Row],[Away Team Name]],"Draw"))</f>
        <v>Draw</v>
      </c>
      <c r="X408" s="4" t="str">
        <f>IF(World_Cup_Matches[[#This Row],[Home Team Goals]]&gt;World_Cup_Matches[[#This Row],[Away Team Goals]],"Hime Win",IF(World_Cup_Matches[[#This Row],[Away Team Goals]]&gt;World_Cup_Matches[[#This Row],[Home Team Goals]],"Away win","Draw"))</f>
        <v>Draw</v>
      </c>
    </row>
    <row r="409" spans="1:24" x14ac:dyDescent="0.2">
      <c r="A409" s="19">
        <v>1986</v>
      </c>
      <c r="B409" s="15" t="s">
        <v>893</v>
      </c>
      <c r="C409" s="3" t="s">
        <v>150</v>
      </c>
      <c r="D409" s="3" t="s">
        <v>490</v>
      </c>
      <c r="E409" s="3" t="s">
        <v>491</v>
      </c>
      <c r="F409" s="3" t="s">
        <v>56</v>
      </c>
      <c r="G409" s="11">
        <v>2</v>
      </c>
      <c r="H409" s="11">
        <v>1</v>
      </c>
      <c r="I409" s="3" t="s">
        <v>223</v>
      </c>
      <c r="J409" s="3" t="s">
        <v>1842</v>
      </c>
      <c r="K409" s="3">
        <v>114580</v>
      </c>
      <c r="L409" s="11">
        <v>0</v>
      </c>
      <c r="M409" s="11">
        <v>0</v>
      </c>
      <c r="N409" s="3" t="s">
        <v>867</v>
      </c>
      <c r="O409" s="3" t="s">
        <v>808</v>
      </c>
      <c r="P409" s="3" t="s">
        <v>731</v>
      </c>
      <c r="Q409" s="11">
        <v>714</v>
      </c>
      <c r="R409" s="11">
        <v>392</v>
      </c>
      <c r="S409" s="3" t="s">
        <v>59</v>
      </c>
      <c r="T409" s="4" t="s">
        <v>227</v>
      </c>
      <c r="U409" s="11">
        <f>World_Cup_Matches[[#This Row],[Home Team Goals]]+World_Cup_Matches[[#This Row],[Away Team Goals]]</f>
        <v>3</v>
      </c>
      <c r="V409" s="11">
        <f>World_Cup_Matches[[#This Row],[Home Team Goals]]-World_Cup_Matches[[#This Row],[Away Team Goals]]</f>
        <v>1</v>
      </c>
      <c r="W409" s="4" t="str">
        <f>IF(World_Cup_Matches[[#This Row],[Home Team Goals]]&gt;World_Cup_Matches[[#This Row],[Away Team Goals]],World_Cup_Matches[[#This Row],[Home Team Name]],IF(World_Cup_Matches[[#This Row],[Away Team Goals]]&gt;World_Cup_Matches[[#This Row],[Home Team Goals]], World_Cup_Matches[[#This Row],[Away Team Name]],"Draw"))</f>
        <v>Argentina</v>
      </c>
      <c r="X409" s="4" t="str">
        <f>IF(World_Cup_Matches[[#This Row],[Home Team Goals]]&gt;World_Cup_Matches[[#This Row],[Away Team Goals]],"Hime Win",IF(World_Cup_Matches[[#This Row],[Away Team Goals]]&gt;World_Cup_Matches[[#This Row],[Home Team Goals]],"Away win","Draw"))</f>
        <v>Hime Win</v>
      </c>
    </row>
    <row r="410" spans="1:24" x14ac:dyDescent="0.2">
      <c r="A410" s="19">
        <v>1986</v>
      </c>
      <c r="B410" s="15" t="s">
        <v>894</v>
      </c>
      <c r="C410" s="3" t="s">
        <v>83</v>
      </c>
      <c r="D410" s="3" t="s">
        <v>505</v>
      </c>
      <c r="E410" s="3" t="s">
        <v>506</v>
      </c>
      <c r="F410" s="3" t="s">
        <v>24</v>
      </c>
      <c r="G410" s="11">
        <v>0</v>
      </c>
      <c r="H410" s="11">
        <v>2</v>
      </c>
      <c r="I410" s="3" t="s">
        <v>285</v>
      </c>
      <c r="J410" s="3" t="s">
        <v>1842</v>
      </c>
      <c r="K410" s="3">
        <v>45000</v>
      </c>
      <c r="L410" s="11">
        <v>0</v>
      </c>
      <c r="M410" s="11">
        <v>1</v>
      </c>
      <c r="N410" s="3" t="s">
        <v>817</v>
      </c>
      <c r="O410" s="3" t="s">
        <v>834</v>
      </c>
      <c r="P410" s="3" t="s">
        <v>850</v>
      </c>
      <c r="Q410" s="11">
        <v>3469</v>
      </c>
      <c r="R410" s="11">
        <v>564</v>
      </c>
      <c r="S410" s="3" t="s">
        <v>29</v>
      </c>
      <c r="T410" s="4" t="s">
        <v>289</v>
      </c>
      <c r="U410" s="11">
        <f>World_Cup_Matches[[#This Row],[Home Team Goals]]+World_Cup_Matches[[#This Row],[Away Team Goals]]</f>
        <v>2</v>
      </c>
      <c r="V410" s="11">
        <f>World_Cup_Matches[[#This Row],[Home Team Goals]]-World_Cup_Matches[[#This Row],[Away Team Goals]]</f>
        <v>-2</v>
      </c>
      <c r="W410" s="4" t="str">
        <f>IF(World_Cup_Matches[[#This Row],[Home Team Goals]]&gt;World_Cup_Matches[[#This Row],[Away Team Goals]],World_Cup_Matches[[#This Row],[Home Team Name]],IF(World_Cup_Matches[[#This Row],[Away Team Goals]]&gt;World_Cup_Matches[[#This Row],[Home Team Goals]], World_Cup_Matches[[#This Row],[Away Team Name]],"Draw"))</f>
        <v>Germany FR</v>
      </c>
      <c r="X410" s="4" t="str">
        <f>IF(World_Cup_Matches[[#This Row],[Home Team Goals]]&gt;World_Cup_Matches[[#This Row],[Away Team Goals]],"Hime Win",IF(World_Cup_Matches[[#This Row],[Away Team Goals]]&gt;World_Cup_Matches[[#This Row],[Home Team Goals]],"Away win","Draw"))</f>
        <v>Away win</v>
      </c>
    </row>
    <row r="411" spans="1:24" x14ac:dyDescent="0.2">
      <c r="A411" s="19">
        <v>1986</v>
      </c>
      <c r="B411" s="15" t="s">
        <v>895</v>
      </c>
      <c r="C411" s="3" t="s">
        <v>83</v>
      </c>
      <c r="D411" s="3" t="s">
        <v>490</v>
      </c>
      <c r="E411" s="3" t="s">
        <v>491</v>
      </c>
      <c r="F411" s="3" t="s">
        <v>56</v>
      </c>
      <c r="G411" s="11">
        <v>2</v>
      </c>
      <c r="H411" s="11">
        <v>0</v>
      </c>
      <c r="I411" s="3" t="s">
        <v>34</v>
      </c>
      <c r="J411" s="3" t="s">
        <v>1842</v>
      </c>
      <c r="K411" s="3">
        <v>114500</v>
      </c>
      <c r="L411" s="11">
        <v>0</v>
      </c>
      <c r="M411" s="11">
        <v>0</v>
      </c>
      <c r="N411" s="3" t="s">
        <v>857</v>
      </c>
      <c r="O411" s="3" t="s">
        <v>743</v>
      </c>
      <c r="P411" s="3" t="s">
        <v>836</v>
      </c>
      <c r="Q411" s="11">
        <v>3469</v>
      </c>
      <c r="R411" s="11">
        <v>388</v>
      </c>
      <c r="S411" s="3" t="s">
        <v>59</v>
      </c>
      <c r="T411" s="4" t="s">
        <v>38</v>
      </c>
      <c r="U411" s="11">
        <f>World_Cup_Matches[[#This Row],[Home Team Goals]]+World_Cup_Matches[[#This Row],[Away Team Goals]]</f>
        <v>2</v>
      </c>
      <c r="V411" s="11">
        <f>World_Cup_Matches[[#This Row],[Home Team Goals]]-World_Cup_Matches[[#This Row],[Away Team Goals]]</f>
        <v>2</v>
      </c>
      <c r="W411" s="4" t="str">
        <f>IF(World_Cup_Matches[[#This Row],[Home Team Goals]]&gt;World_Cup_Matches[[#This Row],[Away Team Goals]],World_Cup_Matches[[#This Row],[Home Team Name]],IF(World_Cup_Matches[[#This Row],[Away Team Goals]]&gt;World_Cup_Matches[[#This Row],[Home Team Goals]], World_Cup_Matches[[#This Row],[Away Team Name]],"Draw"))</f>
        <v>Argentina</v>
      </c>
      <c r="X411" s="4" t="str">
        <f>IF(World_Cup_Matches[[#This Row],[Home Team Goals]]&gt;World_Cup_Matches[[#This Row],[Away Team Goals]],"Hime Win",IF(World_Cup_Matches[[#This Row],[Away Team Goals]]&gt;World_Cup_Matches[[#This Row],[Home Team Goals]],"Away win","Draw"))</f>
        <v>Hime Win</v>
      </c>
    </row>
    <row r="412" spans="1:24" x14ac:dyDescent="0.2">
      <c r="A412" s="19">
        <v>1986</v>
      </c>
      <c r="B412" s="15" t="s">
        <v>896</v>
      </c>
      <c r="C412" s="3" t="s">
        <v>155</v>
      </c>
      <c r="D412" s="3" t="s">
        <v>494</v>
      </c>
      <c r="E412" s="3" t="s">
        <v>495</v>
      </c>
      <c r="F412" s="3" t="s">
        <v>24</v>
      </c>
      <c r="G412" s="11">
        <v>4</v>
      </c>
      <c r="H412" s="11">
        <v>2</v>
      </c>
      <c r="I412" s="3" t="s">
        <v>34</v>
      </c>
      <c r="J412" s="3" t="s">
        <v>897</v>
      </c>
      <c r="K412" s="3">
        <v>21000</v>
      </c>
      <c r="L412" s="11">
        <v>0</v>
      </c>
      <c r="M412" s="11">
        <v>0</v>
      </c>
      <c r="N412" s="3" t="s">
        <v>818</v>
      </c>
      <c r="O412" s="3" t="s">
        <v>807</v>
      </c>
      <c r="P412" s="3" t="s">
        <v>839</v>
      </c>
      <c r="Q412" s="11">
        <v>3468</v>
      </c>
      <c r="R412" s="11">
        <v>422</v>
      </c>
      <c r="S412" s="3" t="s">
        <v>29</v>
      </c>
      <c r="T412" s="4" t="s">
        <v>38</v>
      </c>
      <c r="U412" s="11">
        <f>World_Cup_Matches[[#This Row],[Home Team Goals]]+World_Cup_Matches[[#This Row],[Away Team Goals]]</f>
        <v>6</v>
      </c>
      <c r="V412" s="11">
        <f>World_Cup_Matches[[#This Row],[Home Team Goals]]-World_Cup_Matches[[#This Row],[Away Team Goals]]</f>
        <v>2</v>
      </c>
      <c r="W412" s="4" t="str">
        <f>IF(World_Cup_Matches[[#This Row],[Home Team Goals]]&gt;World_Cup_Matches[[#This Row],[Away Team Goals]],World_Cup_Matches[[#This Row],[Home Team Name]],IF(World_Cup_Matches[[#This Row],[Away Team Goals]]&gt;World_Cup_Matches[[#This Row],[Home Team Goals]], World_Cup_Matches[[#This Row],[Away Team Name]],"Draw"))</f>
        <v>France</v>
      </c>
      <c r="X412" s="4" t="str">
        <f>IF(World_Cup_Matches[[#This Row],[Home Team Goals]]&gt;World_Cup_Matches[[#This Row],[Away Team Goals]],"Hime Win",IF(World_Cup_Matches[[#This Row],[Away Team Goals]]&gt;World_Cup_Matches[[#This Row],[Home Team Goals]],"Away win","Draw"))</f>
        <v>Hime Win</v>
      </c>
    </row>
    <row r="413" spans="1:24" x14ac:dyDescent="0.2">
      <c r="A413" s="19">
        <v>1986</v>
      </c>
      <c r="B413" s="15" t="s">
        <v>898</v>
      </c>
      <c r="C413" s="3" t="s">
        <v>86</v>
      </c>
      <c r="D413" s="3" t="s">
        <v>490</v>
      </c>
      <c r="E413" s="3" t="s">
        <v>491</v>
      </c>
      <c r="F413" s="3" t="s">
        <v>56</v>
      </c>
      <c r="G413" s="11">
        <v>3</v>
      </c>
      <c r="H413" s="11">
        <v>2</v>
      </c>
      <c r="I413" s="3" t="s">
        <v>285</v>
      </c>
      <c r="J413" s="3" t="s">
        <v>1842</v>
      </c>
      <c r="K413" s="3">
        <v>114600</v>
      </c>
      <c r="L413" s="11">
        <v>1</v>
      </c>
      <c r="M413" s="11">
        <v>0</v>
      </c>
      <c r="N413" s="3" t="s">
        <v>859</v>
      </c>
      <c r="O413" s="3" t="s">
        <v>749</v>
      </c>
      <c r="P413" s="3" t="s">
        <v>808</v>
      </c>
      <c r="Q413" s="11">
        <v>3467</v>
      </c>
      <c r="R413" s="11">
        <v>393</v>
      </c>
      <c r="S413" s="3" t="s">
        <v>59</v>
      </c>
      <c r="T413" s="4" t="s">
        <v>289</v>
      </c>
      <c r="U413" s="11">
        <f>World_Cup_Matches[[#This Row],[Home Team Goals]]+World_Cup_Matches[[#This Row],[Away Team Goals]]</f>
        <v>5</v>
      </c>
      <c r="V413" s="11">
        <f>World_Cup_Matches[[#This Row],[Home Team Goals]]-World_Cup_Matches[[#This Row],[Away Team Goals]]</f>
        <v>1</v>
      </c>
      <c r="W413" s="4" t="str">
        <f>IF(World_Cup_Matches[[#This Row],[Home Team Goals]]&gt;World_Cup_Matches[[#This Row],[Away Team Goals]],World_Cup_Matches[[#This Row],[Home Team Name]],IF(World_Cup_Matches[[#This Row],[Away Team Goals]]&gt;World_Cup_Matches[[#This Row],[Home Team Goals]], World_Cup_Matches[[#This Row],[Away Team Name]],"Draw"))</f>
        <v>Argentina</v>
      </c>
      <c r="X413" s="4" t="str">
        <f>IF(World_Cup_Matches[[#This Row],[Home Team Goals]]&gt;World_Cup_Matches[[#This Row],[Away Team Goals]],"Hime Win",IF(World_Cup_Matches[[#This Row],[Away Team Goals]]&gt;World_Cup_Matches[[#This Row],[Home Team Goals]],"Away win","Draw"))</f>
        <v>Hime Win</v>
      </c>
    </row>
    <row r="414" spans="1:24" x14ac:dyDescent="0.2">
      <c r="A414" s="19">
        <v>1990</v>
      </c>
      <c r="B414" s="15" t="s">
        <v>899</v>
      </c>
      <c r="C414" s="3" t="s">
        <v>607</v>
      </c>
      <c r="D414" s="3" t="s">
        <v>900</v>
      </c>
      <c r="E414" s="3" t="s">
        <v>107</v>
      </c>
      <c r="F414" s="3" t="s">
        <v>56</v>
      </c>
      <c r="G414" s="11">
        <v>0</v>
      </c>
      <c r="H414" s="11">
        <v>1</v>
      </c>
      <c r="I414" s="3" t="s">
        <v>700</v>
      </c>
      <c r="J414" s="3" t="s">
        <v>1842</v>
      </c>
      <c r="K414" s="3">
        <v>73780</v>
      </c>
      <c r="L414" s="11">
        <v>0</v>
      </c>
      <c r="M414" s="11">
        <v>0</v>
      </c>
      <c r="N414" s="3" t="s">
        <v>690</v>
      </c>
      <c r="O414" s="3" t="s">
        <v>901</v>
      </c>
      <c r="P414" s="3" t="s">
        <v>902</v>
      </c>
      <c r="Q414" s="11">
        <v>322</v>
      </c>
      <c r="R414" s="11">
        <v>26</v>
      </c>
      <c r="S414" s="3" t="s">
        <v>59</v>
      </c>
      <c r="T414" s="4" t="s">
        <v>702</v>
      </c>
      <c r="U414" s="11">
        <f>World_Cup_Matches[[#This Row],[Home Team Goals]]+World_Cup_Matches[[#This Row],[Away Team Goals]]</f>
        <v>1</v>
      </c>
      <c r="V414" s="11">
        <f>World_Cup_Matches[[#This Row],[Home Team Goals]]-World_Cup_Matches[[#This Row],[Away Team Goals]]</f>
        <v>-1</v>
      </c>
      <c r="W414" s="4" t="str">
        <f>IF(World_Cup_Matches[[#This Row],[Home Team Goals]]&gt;World_Cup_Matches[[#This Row],[Away Team Goals]],World_Cup_Matches[[#This Row],[Home Team Name]],IF(World_Cup_Matches[[#This Row],[Away Team Goals]]&gt;World_Cup_Matches[[#This Row],[Home Team Goals]], World_Cup_Matches[[#This Row],[Away Team Name]],"Draw"))</f>
        <v>Cameroon</v>
      </c>
      <c r="X414" s="4" t="str">
        <f>IF(World_Cup_Matches[[#This Row],[Home Team Goals]]&gt;World_Cup_Matches[[#This Row],[Away Team Goals]],"Hime Win",IF(World_Cup_Matches[[#This Row],[Away Team Goals]]&gt;World_Cup_Matches[[#This Row],[Home Team Goals]],"Away win","Draw"))</f>
        <v>Away win</v>
      </c>
    </row>
    <row r="415" spans="1:24" x14ac:dyDescent="0.2">
      <c r="A415" s="19">
        <v>1990</v>
      </c>
      <c r="B415" s="15" t="s">
        <v>903</v>
      </c>
      <c r="C415" s="3" t="s">
        <v>607</v>
      </c>
      <c r="D415" s="3" t="s">
        <v>904</v>
      </c>
      <c r="E415" s="3" t="s">
        <v>905</v>
      </c>
      <c r="F415" s="3" t="s">
        <v>332</v>
      </c>
      <c r="G415" s="11">
        <v>0</v>
      </c>
      <c r="H415" s="11">
        <v>2</v>
      </c>
      <c r="I415" s="3" t="s">
        <v>50</v>
      </c>
      <c r="J415" s="3" t="s">
        <v>1842</v>
      </c>
      <c r="K415" s="3">
        <v>42907</v>
      </c>
      <c r="L415" s="11">
        <v>0</v>
      </c>
      <c r="M415" s="11">
        <v>1</v>
      </c>
      <c r="N415" s="3" t="s">
        <v>737</v>
      </c>
      <c r="O415" s="3" t="s">
        <v>763</v>
      </c>
      <c r="P415" s="3" t="s">
        <v>807</v>
      </c>
      <c r="Q415" s="11">
        <v>322</v>
      </c>
      <c r="R415" s="11">
        <v>342</v>
      </c>
      <c r="S415" s="3" t="s">
        <v>335</v>
      </c>
      <c r="T415" s="4" t="s">
        <v>53</v>
      </c>
      <c r="U415" s="11">
        <f>World_Cup_Matches[[#This Row],[Home Team Goals]]+World_Cup_Matches[[#This Row],[Away Team Goals]]</f>
        <v>2</v>
      </c>
      <c r="V415" s="11">
        <f>World_Cup_Matches[[#This Row],[Home Team Goals]]-World_Cup_Matches[[#This Row],[Away Team Goals]]</f>
        <v>-2</v>
      </c>
      <c r="W415" s="4" t="str">
        <f>IF(World_Cup_Matches[[#This Row],[Home Team Goals]]&gt;World_Cup_Matches[[#This Row],[Away Team Goals]],World_Cup_Matches[[#This Row],[Home Team Name]],IF(World_Cup_Matches[[#This Row],[Away Team Goals]]&gt;World_Cup_Matches[[#This Row],[Home Team Goals]], World_Cup_Matches[[#This Row],[Away Team Name]],"Draw"))</f>
        <v>Romania</v>
      </c>
      <c r="X415" s="4" t="str">
        <f>IF(World_Cup_Matches[[#This Row],[Home Team Goals]]&gt;World_Cup_Matches[[#This Row],[Away Team Goals]],"Hime Win",IF(World_Cup_Matches[[#This Row],[Away Team Goals]]&gt;World_Cup_Matches[[#This Row],[Home Team Goals]],"Away win","Draw"))</f>
        <v>Away win</v>
      </c>
    </row>
    <row r="416" spans="1:24" x14ac:dyDescent="0.2">
      <c r="A416" s="19">
        <v>1990</v>
      </c>
      <c r="B416" s="15" t="s">
        <v>903</v>
      </c>
      <c r="C416" s="3" t="s">
        <v>811</v>
      </c>
      <c r="D416" s="3" t="s">
        <v>906</v>
      </c>
      <c r="E416" s="3" t="s">
        <v>116</v>
      </c>
      <c r="F416" s="3" t="s">
        <v>907</v>
      </c>
      <c r="G416" s="11">
        <v>0</v>
      </c>
      <c r="H416" s="11">
        <v>2</v>
      </c>
      <c r="I416" s="3" t="s">
        <v>390</v>
      </c>
      <c r="J416" s="3" t="s">
        <v>1842</v>
      </c>
      <c r="K416" s="3">
        <v>30791</v>
      </c>
      <c r="L416" s="11">
        <v>0</v>
      </c>
      <c r="M416" s="11">
        <v>0</v>
      </c>
      <c r="N416" s="3" t="s">
        <v>818</v>
      </c>
      <c r="O416" s="3" t="s">
        <v>860</v>
      </c>
      <c r="P416" s="3" t="s">
        <v>858</v>
      </c>
      <c r="Q416" s="11">
        <v>322</v>
      </c>
      <c r="R416" s="11">
        <v>119</v>
      </c>
      <c r="S416" s="3" t="s">
        <v>908</v>
      </c>
      <c r="T416" s="4" t="s">
        <v>394</v>
      </c>
      <c r="U416" s="11">
        <f>World_Cup_Matches[[#This Row],[Home Team Goals]]+World_Cup_Matches[[#This Row],[Away Team Goals]]</f>
        <v>2</v>
      </c>
      <c r="V416" s="11">
        <f>World_Cup_Matches[[#This Row],[Home Team Goals]]-World_Cup_Matches[[#This Row],[Away Team Goals]]</f>
        <v>-2</v>
      </c>
      <c r="W416" s="4" t="str">
        <f>IF(World_Cup_Matches[[#This Row],[Home Team Goals]]&gt;World_Cup_Matches[[#This Row],[Away Team Goals]],World_Cup_Matches[[#This Row],[Home Team Name]],IF(World_Cup_Matches[[#This Row],[Away Team Goals]]&gt;World_Cup_Matches[[#This Row],[Home Team Goals]], World_Cup_Matches[[#This Row],[Away Team Name]],"Draw"))</f>
        <v>Colombia</v>
      </c>
      <c r="X416" s="4" t="str">
        <f>IF(World_Cup_Matches[[#This Row],[Home Team Goals]]&gt;World_Cup_Matches[[#This Row],[Away Team Goals]],"Hime Win",IF(World_Cup_Matches[[#This Row],[Away Team Goals]]&gt;World_Cup_Matches[[#This Row],[Home Team Goals]],"Away win","Draw"))</f>
        <v>Away win</v>
      </c>
    </row>
    <row r="417" spans="1:24" x14ac:dyDescent="0.2">
      <c r="A417" s="19">
        <v>1990</v>
      </c>
      <c r="B417" s="15" t="s">
        <v>909</v>
      </c>
      <c r="C417" s="3" t="s">
        <v>609</v>
      </c>
      <c r="D417" s="3" t="s">
        <v>910</v>
      </c>
      <c r="E417" s="3" t="s">
        <v>137</v>
      </c>
      <c r="F417" s="3" t="s">
        <v>138</v>
      </c>
      <c r="G417" s="11">
        <v>1</v>
      </c>
      <c r="H417" s="11">
        <v>0</v>
      </c>
      <c r="I417" s="3" t="s">
        <v>91</v>
      </c>
      <c r="J417" s="3" t="s">
        <v>1842</v>
      </c>
      <c r="K417" s="3">
        <v>73303</v>
      </c>
      <c r="L417" s="11">
        <v>0</v>
      </c>
      <c r="M417" s="11">
        <v>0</v>
      </c>
      <c r="N417" s="3" t="s">
        <v>911</v>
      </c>
      <c r="O417" s="3" t="s">
        <v>912</v>
      </c>
      <c r="P417" s="3" t="s">
        <v>836</v>
      </c>
      <c r="Q417" s="11">
        <v>322</v>
      </c>
      <c r="R417" s="11">
        <v>42</v>
      </c>
      <c r="S417" s="3" t="s">
        <v>142</v>
      </c>
      <c r="T417" s="4" t="s">
        <v>96</v>
      </c>
      <c r="U417" s="11">
        <f>World_Cup_Matches[[#This Row],[Home Team Goals]]+World_Cup_Matches[[#This Row],[Away Team Goals]]</f>
        <v>1</v>
      </c>
      <c r="V417" s="11">
        <f>World_Cup_Matches[[#This Row],[Home Team Goals]]-World_Cup_Matches[[#This Row],[Away Team Goals]]</f>
        <v>1</v>
      </c>
      <c r="W417" s="4" t="str">
        <f>IF(World_Cup_Matches[[#This Row],[Home Team Goals]]&gt;World_Cup_Matches[[#This Row],[Away Team Goals]],World_Cup_Matches[[#This Row],[Home Team Name]],IF(World_Cup_Matches[[#This Row],[Away Team Goals]]&gt;World_Cup_Matches[[#This Row],[Home Team Goals]], World_Cup_Matches[[#This Row],[Away Team Name]],"Draw"))</f>
        <v>Italy</v>
      </c>
      <c r="X417" s="4" t="str">
        <f>IF(World_Cup_Matches[[#This Row],[Home Team Goals]]&gt;World_Cup_Matches[[#This Row],[Away Team Goals]],"Hime Win",IF(World_Cup_Matches[[#This Row],[Away Team Goals]]&gt;World_Cup_Matches[[#This Row],[Home Team Goals]],"Away win","Draw"))</f>
        <v>Hime Win</v>
      </c>
    </row>
    <row r="418" spans="1:24" x14ac:dyDescent="0.2">
      <c r="A418" s="19">
        <v>1990</v>
      </c>
      <c r="B418" s="15" t="s">
        <v>913</v>
      </c>
      <c r="C418" s="3" t="s">
        <v>609</v>
      </c>
      <c r="D418" s="3" t="s">
        <v>914</v>
      </c>
      <c r="E418" s="3" t="s">
        <v>123</v>
      </c>
      <c r="F418" s="3" t="s">
        <v>33</v>
      </c>
      <c r="G418" s="11">
        <v>1</v>
      </c>
      <c r="H418" s="11">
        <v>5</v>
      </c>
      <c r="I418" s="3" t="s">
        <v>145</v>
      </c>
      <c r="J418" s="3" t="s">
        <v>1842</v>
      </c>
      <c r="K418" s="3">
        <v>33266</v>
      </c>
      <c r="L418" s="11">
        <v>0</v>
      </c>
      <c r="M418" s="11">
        <v>2</v>
      </c>
      <c r="N418" s="3" t="s">
        <v>915</v>
      </c>
      <c r="O418" s="3" t="s">
        <v>916</v>
      </c>
      <c r="P418" s="3" t="s">
        <v>917</v>
      </c>
      <c r="Q418" s="11">
        <v>322</v>
      </c>
      <c r="R418" s="11">
        <v>355</v>
      </c>
      <c r="S418" s="3" t="s">
        <v>33</v>
      </c>
      <c r="T418" s="4" t="s">
        <v>148</v>
      </c>
      <c r="U418" s="11">
        <f>World_Cup_Matches[[#This Row],[Home Team Goals]]+World_Cup_Matches[[#This Row],[Away Team Goals]]</f>
        <v>6</v>
      </c>
      <c r="V418" s="11">
        <f>World_Cup_Matches[[#This Row],[Home Team Goals]]-World_Cup_Matches[[#This Row],[Away Team Goals]]</f>
        <v>-4</v>
      </c>
      <c r="W418" s="4" t="str">
        <f>IF(World_Cup_Matches[[#This Row],[Home Team Goals]]&gt;World_Cup_Matches[[#This Row],[Away Team Goals]],World_Cup_Matches[[#This Row],[Home Team Name]],IF(World_Cup_Matches[[#This Row],[Away Team Goals]]&gt;World_Cup_Matches[[#This Row],[Home Team Goals]], World_Cup_Matches[[#This Row],[Away Team Name]],"Draw"))</f>
        <v>Czechoslovakia</v>
      </c>
      <c r="X418" s="4" t="str">
        <f>IF(World_Cup_Matches[[#This Row],[Home Team Goals]]&gt;World_Cup_Matches[[#This Row],[Away Team Goals]],"Hime Win",IF(World_Cup_Matches[[#This Row],[Away Team Goals]]&gt;World_Cup_Matches[[#This Row],[Home Team Goals]],"Away win","Draw"))</f>
        <v>Away win</v>
      </c>
    </row>
    <row r="419" spans="1:24" x14ac:dyDescent="0.2">
      <c r="A419" s="19">
        <v>1990</v>
      </c>
      <c r="B419" s="15" t="s">
        <v>918</v>
      </c>
      <c r="C419" s="3" t="s">
        <v>805</v>
      </c>
      <c r="D419" s="3" t="s">
        <v>919</v>
      </c>
      <c r="E419" s="3" t="s">
        <v>90</v>
      </c>
      <c r="F419" s="3" t="s">
        <v>42</v>
      </c>
      <c r="G419" s="11">
        <v>2</v>
      </c>
      <c r="H419" s="11">
        <v>1</v>
      </c>
      <c r="I419" s="3" t="s">
        <v>117</v>
      </c>
      <c r="J419" s="3" t="s">
        <v>1842</v>
      </c>
      <c r="K419" s="3">
        <v>62628</v>
      </c>
      <c r="L419" s="11">
        <v>1</v>
      </c>
      <c r="M419" s="11">
        <v>0</v>
      </c>
      <c r="N419" s="3" t="s">
        <v>920</v>
      </c>
      <c r="O419" s="3" t="s">
        <v>690</v>
      </c>
      <c r="P419" s="3" t="s">
        <v>921</v>
      </c>
      <c r="Q419" s="11">
        <v>322</v>
      </c>
      <c r="R419" s="11">
        <v>75</v>
      </c>
      <c r="S419" s="3" t="s">
        <v>47</v>
      </c>
      <c r="T419" s="4" t="s">
        <v>121</v>
      </c>
      <c r="U419" s="11">
        <f>World_Cup_Matches[[#This Row],[Home Team Goals]]+World_Cup_Matches[[#This Row],[Away Team Goals]]</f>
        <v>3</v>
      </c>
      <c r="V419" s="11">
        <f>World_Cup_Matches[[#This Row],[Home Team Goals]]-World_Cup_Matches[[#This Row],[Away Team Goals]]</f>
        <v>1</v>
      </c>
      <c r="W419" s="4" t="str">
        <f>IF(World_Cup_Matches[[#This Row],[Home Team Goals]]&gt;World_Cup_Matches[[#This Row],[Away Team Goals]],World_Cup_Matches[[#This Row],[Home Team Name]],IF(World_Cup_Matches[[#This Row],[Away Team Goals]]&gt;World_Cup_Matches[[#This Row],[Home Team Goals]], World_Cup_Matches[[#This Row],[Away Team Name]],"Draw"))</f>
        <v>Brazil</v>
      </c>
      <c r="X419" s="4" t="str">
        <f>IF(World_Cup_Matches[[#This Row],[Home Team Goals]]&gt;World_Cup_Matches[[#This Row],[Away Team Goals]],"Hime Win",IF(World_Cup_Matches[[#This Row],[Away Team Goals]]&gt;World_Cup_Matches[[#This Row],[Home Team Goals]],"Away win","Draw"))</f>
        <v>Hime Win</v>
      </c>
    </row>
    <row r="420" spans="1:24" x14ac:dyDescent="0.2">
      <c r="A420" s="19">
        <v>1990</v>
      </c>
      <c r="B420" s="15" t="s">
        <v>918</v>
      </c>
      <c r="C420" s="3" t="s">
        <v>811</v>
      </c>
      <c r="D420" s="3" t="s">
        <v>900</v>
      </c>
      <c r="E420" s="3" t="s">
        <v>107</v>
      </c>
      <c r="F420" s="3" t="s">
        <v>285</v>
      </c>
      <c r="G420" s="11">
        <v>4</v>
      </c>
      <c r="H420" s="11">
        <v>1</v>
      </c>
      <c r="I420" s="3" t="s">
        <v>41</v>
      </c>
      <c r="J420" s="3" t="s">
        <v>1842</v>
      </c>
      <c r="K420" s="3">
        <v>74765</v>
      </c>
      <c r="L420" s="11">
        <v>2</v>
      </c>
      <c r="M420" s="11">
        <v>0</v>
      </c>
      <c r="N420" s="3" t="s">
        <v>922</v>
      </c>
      <c r="O420" s="3" t="s">
        <v>923</v>
      </c>
      <c r="P420" s="3" t="s">
        <v>902</v>
      </c>
      <c r="Q420" s="11">
        <v>322</v>
      </c>
      <c r="R420" s="11">
        <v>201</v>
      </c>
      <c r="S420" s="3" t="s">
        <v>289</v>
      </c>
      <c r="T420" s="4" t="s">
        <v>46</v>
      </c>
      <c r="U420" s="11">
        <f>World_Cup_Matches[[#This Row],[Home Team Goals]]+World_Cup_Matches[[#This Row],[Away Team Goals]]</f>
        <v>5</v>
      </c>
      <c r="V420" s="11">
        <f>World_Cup_Matches[[#This Row],[Home Team Goals]]-World_Cup_Matches[[#This Row],[Away Team Goals]]</f>
        <v>3</v>
      </c>
      <c r="W420" s="4" t="str">
        <f>IF(World_Cup_Matches[[#This Row],[Home Team Goals]]&gt;World_Cup_Matches[[#This Row],[Away Team Goals]],World_Cup_Matches[[#This Row],[Home Team Name]],IF(World_Cup_Matches[[#This Row],[Away Team Goals]]&gt;World_Cup_Matches[[#This Row],[Home Team Goals]], World_Cup_Matches[[#This Row],[Away Team Name]],"Draw"))</f>
        <v>Germany FR</v>
      </c>
      <c r="X420" s="4" t="str">
        <f>IF(World_Cup_Matches[[#This Row],[Home Team Goals]]&gt;World_Cup_Matches[[#This Row],[Away Team Goals]],"Hime Win",IF(World_Cup_Matches[[#This Row],[Away Team Goals]]&gt;World_Cup_Matches[[#This Row],[Home Team Goals]],"Away win","Draw"))</f>
        <v>Hime Win</v>
      </c>
    </row>
    <row r="421" spans="1:24" x14ac:dyDescent="0.2">
      <c r="A421" s="19">
        <v>1990</v>
      </c>
      <c r="B421" s="15" t="s">
        <v>924</v>
      </c>
      <c r="C421" s="3" t="s">
        <v>805</v>
      </c>
      <c r="D421" s="3" t="s">
        <v>129</v>
      </c>
      <c r="E421" s="3" t="s">
        <v>130</v>
      </c>
      <c r="F421" s="3" t="s">
        <v>925</v>
      </c>
      <c r="G421" s="11">
        <v>1</v>
      </c>
      <c r="H421" s="11">
        <v>0</v>
      </c>
      <c r="I421" s="3" t="s">
        <v>272</v>
      </c>
      <c r="J421" s="3" t="s">
        <v>1842</v>
      </c>
      <c r="K421" s="3">
        <v>30867</v>
      </c>
      <c r="L421" s="11">
        <v>0</v>
      </c>
      <c r="M421" s="11">
        <v>0</v>
      </c>
      <c r="N421" s="3" t="s">
        <v>926</v>
      </c>
      <c r="O421" s="3" t="s">
        <v>927</v>
      </c>
      <c r="P421" s="3" t="s">
        <v>928</v>
      </c>
      <c r="Q421" s="11">
        <v>322</v>
      </c>
      <c r="R421" s="11">
        <v>127</v>
      </c>
      <c r="S421" s="3" t="s">
        <v>929</v>
      </c>
      <c r="T421" s="4" t="s">
        <v>275</v>
      </c>
      <c r="U421" s="11">
        <f>World_Cup_Matches[[#This Row],[Home Team Goals]]+World_Cup_Matches[[#This Row],[Away Team Goals]]</f>
        <v>1</v>
      </c>
      <c r="V421" s="11">
        <f>World_Cup_Matches[[#This Row],[Home Team Goals]]-World_Cup_Matches[[#This Row],[Away Team Goals]]</f>
        <v>1</v>
      </c>
      <c r="W421" s="4" t="str">
        <f>IF(World_Cup_Matches[[#This Row],[Home Team Goals]]&gt;World_Cup_Matches[[#This Row],[Away Team Goals]],World_Cup_Matches[[#This Row],[Home Team Name]],IF(World_Cup_Matches[[#This Row],[Away Team Goals]]&gt;World_Cup_Matches[[#This Row],[Home Team Goals]], World_Cup_Matches[[#This Row],[Away Team Name]],"Draw"))</f>
        <v>Costa Rica</v>
      </c>
      <c r="X421" s="4" t="str">
        <f>IF(World_Cup_Matches[[#This Row],[Home Team Goals]]&gt;World_Cup_Matches[[#This Row],[Away Team Goals]],"Hime Win",IF(World_Cup_Matches[[#This Row],[Away Team Goals]]&gt;World_Cup_Matches[[#This Row],[Home Team Goals]],"Away win","Draw"))</f>
        <v>Hime Win</v>
      </c>
    </row>
    <row r="422" spans="1:24" x14ac:dyDescent="0.2">
      <c r="A422" s="19">
        <v>1990</v>
      </c>
      <c r="B422" s="15" t="s">
        <v>930</v>
      </c>
      <c r="C422" s="3" t="s">
        <v>824</v>
      </c>
      <c r="D422" s="3" t="s">
        <v>931</v>
      </c>
      <c r="E422" s="3" t="s">
        <v>932</v>
      </c>
      <c r="F422" s="3" t="s">
        <v>223</v>
      </c>
      <c r="G422" s="11">
        <v>1</v>
      </c>
      <c r="H422" s="11">
        <v>1</v>
      </c>
      <c r="I422" s="3" t="s">
        <v>933</v>
      </c>
      <c r="J422" s="3" t="s">
        <v>1842</v>
      </c>
      <c r="K422" s="3">
        <v>35238</v>
      </c>
      <c r="L422" s="11">
        <v>1</v>
      </c>
      <c r="M422" s="11">
        <v>0</v>
      </c>
      <c r="N422" s="3" t="s">
        <v>917</v>
      </c>
      <c r="O422" s="3" t="s">
        <v>749</v>
      </c>
      <c r="P422" s="3" t="s">
        <v>915</v>
      </c>
      <c r="Q422" s="11">
        <v>322</v>
      </c>
      <c r="R422" s="11">
        <v>161</v>
      </c>
      <c r="S422" s="3" t="s">
        <v>227</v>
      </c>
      <c r="T422" s="4" t="s">
        <v>934</v>
      </c>
      <c r="U422" s="11">
        <f>World_Cup_Matches[[#This Row],[Home Team Goals]]+World_Cup_Matches[[#This Row],[Away Team Goals]]</f>
        <v>2</v>
      </c>
      <c r="V422" s="11">
        <f>World_Cup_Matches[[#This Row],[Home Team Goals]]-World_Cup_Matches[[#This Row],[Away Team Goals]]</f>
        <v>0</v>
      </c>
      <c r="W422" s="4" t="str">
        <f>IF(World_Cup_Matches[[#This Row],[Home Team Goals]]&gt;World_Cup_Matches[[#This Row],[Away Team Goals]],World_Cup_Matches[[#This Row],[Home Team Name]],IF(World_Cup_Matches[[#This Row],[Away Team Goals]]&gt;World_Cup_Matches[[#This Row],[Home Team Goals]], World_Cup_Matches[[#This Row],[Away Team Name]],"Draw"))</f>
        <v>Draw</v>
      </c>
      <c r="X422" s="4" t="str">
        <f>IF(World_Cup_Matches[[#This Row],[Home Team Goals]]&gt;World_Cup_Matches[[#This Row],[Away Team Goals]],"Hime Win",IF(World_Cup_Matches[[#This Row],[Away Team Goals]]&gt;World_Cup_Matches[[#This Row],[Home Team Goals]],"Away win","Draw"))</f>
        <v>Draw</v>
      </c>
    </row>
    <row r="423" spans="1:24" x14ac:dyDescent="0.2">
      <c r="A423" s="19">
        <v>1990</v>
      </c>
      <c r="B423" s="15" t="s">
        <v>935</v>
      </c>
      <c r="C423" s="3" t="s">
        <v>846</v>
      </c>
      <c r="D423" s="3" t="s">
        <v>936</v>
      </c>
      <c r="E423" s="3" t="s">
        <v>937</v>
      </c>
      <c r="F423" s="3" t="s">
        <v>34</v>
      </c>
      <c r="G423" s="11">
        <v>2</v>
      </c>
      <c r="H423" s="11">
        <v>0</v>
      </c>
      <c r="I423" s="3" t="s">
        <v>291</v>
      </c>
      <c r="J423" s="3" t="s">
        <v>1842</v>
      </c>
      <c r="K423" s="3">
        <v>32790</v>
      </c>
      <c r="L423" s="11">
        <v>0</v>
      </c>
      <c r="M423" s="11">
        <v>0</v>
      </c>
      <c r="N423" s="3" t="s">
        <v>901</v>
      </c>
      <c r="O423" s="3" t="s">
        <v>858</v>
      </c>
      <c r="P423" s="3" t="s">
        <v>818</v>
      </c>
      <c r="Q423" s="11">
        <v>322</v>
      </c>
      <c r="R423" s="11">
        <v>57</v>
      </c>
      <c r="S423" s="3" t="s">
        <v>38</v>
      </c>
      <c r="T423" s="4" t="s">
        <v>295</v>
      </c>
      <c r="U423" s="11">
        <f>World_Cup_Matches[[#This Row],[Home Team Goals]]+World_Cup_Matches[[#This Row],[Away Team Goals]]</f>
        <v>2</v>
      </c>
      <c r="V423" s="11">
        <f>World_Cup_Matches[[#This Row],[Home Team Goals]]-World_Cup_Matches[[#This Row],[Away Team Goals]]</f>
        <v>2</v>
      </c>
      <c r="W423" s="4" t="str">
        <f>IF(World_Cup_Matches[[#This Row],[Home Team Goals]]&gt;World_Cup_Matches[[#This Row],[Away Team Goals]],World_Cup_Matches[[#This Row],[Home Team Name]],IF(World_Cup_Matches[[#This Row],[Away Team Goals]]&gt;World_Cup_Matches[[#This Row],[Home Team Goals]], World_Cup_Matches[[#This Row],[Away Team Name]],"Draw"))</f>
        <v>Belgium</v>
      </c>
      <c r="X423" s="4" t="str">
        <f>IF(World_Cup_Matches[[#This Row],[Home Team Goals]]&gt;World_Cup_Matches[[#This Row],[Away Team Goals]],"Hime Win",IF(World_Cup_Matches[[#This Row],[Away Team Goals]]&gt;World_Cup_Matches[[#This Row],[Home Team Goals]],"Away win","Draw"))</f>
        <v>Hime Win</v>
      </c>
    </row>
    <row r="424" spans="1:24" x14ac:dyDescent="0.2">
      <c r="A424" s="19">
        <v>1990</v>
      </c>
      <c r="B424" s="15" t="s">
        <v>938</v>
      </c>
      <c r="C424" s="3" t="s">
        <v>824</v>
      </c>
      <c r="D424" s="3" t="s">
        <v>939</v>
      </c>
      <c r="E424" s="3" t="s">
        <v>940</v>
      </c>
      <c r="F424" s="3" t="s">
        <v>109</v>
      </c>
      <c r="G424" s="11">
        <v>1</v>
      </c>
      <c r="H424" s="11">
        <v>1</v>
      </c>
      <c r="I424" s="3" t="s">
        <v>100</v>
      </c>
      <c r="J424" s="3" t="s">
        <v>1842</v>
      </c>
      <c r="K424" s="3">
        <v>33288</v>
      </c>
      <c r="L424" s="11">
        <v>0</v>
      </c>
      <c r="M424" s="11">
        <v>0</v>
      </c>
      <c r="N424" s="3" t="s">
        <v>763</v>
      </c>
      <c r="O424" s="3" t="s">
        <v>802</v>
      </c>
      <c r="P424" s="3" t="s">
        <v>737</v>
      </c>
      <c r="Q424" s="11">
        <v>322</v>
      </c>
      <c r="R424" s="11">
        <v>151</v>
      </c>
      <c r="S424" s="3" t="s">
        <v>114</v>
      </c>
      <c r="T424" s="4" t="s">
        <v>105</v>
      </c>
      <c r="U424" s="11">
        <f>World_Cup_Matches[[#This Row],[Home Team Goals]]+World_Cup_Matches[[#This Row],[Away Team Goals]]</f>
        <v>2</v>
      </c>
      <c r="V424" s="11">
        <f>World_Cup_Matches[[#This Row],[Home Team Goals]]-World_Cup_Matches[[#This Row],[Away Team Goals]]</f>
        <v>0</v>
      </c>
      <c r="W424" s="4" t="str">
        <f>IF(World_Cup_Matches[[#This Row],[Home Team Goals]]&gt;World_Cup_Matches[[#This Row],[Away Team Goals]],World_Cup_Matches[[#This Row],[Home Team Name]],IF(World_Cup_Matches[[#This Row],[Away Team Goals]]&gt;World_Cup_Matches[[#This Row],[Home Team Goals]], World_Cup_Matches[[#This Row],[Away Team Name]],"Draw"))</f>
        <v>Draw</v>
      </c>
      <c r="X424" s="4" t="str">
        <f>IF(World_Cup_Matches[[#This Row],[Home Team Goals]]&gt;World_Cup_Matches[[#This Row],[Away Team Goals]],"Hime Win",IF(World_Cup_Matches[[#This Row],[Away Team Goals]]&gt;World_Cup_Matches[[#This Row],[Home Team Goals]],"Away win","Draw"))</f>
        <v>Draw</v>
      </c>
    </row>
    <row r="425" spans="1:24" x14ac:dyDescent="0.2">
      <c r="A425" s="19">
        <v>1990</v>
      </c>
      <c r="B425" s="15" t="s">
        <v>941</v>
      </c>
      <c r="C425" s="3" t="s">
        <v>846</v>
      </c>
      <c r="D425" s="3" t="s">
        <v>942</v>
      </c>
      <c r="E425" s="3" t="s">
        <v>943</v>
      </c>
      <c r="F425" s="3" t="s">
        <v>72</v>
      </c>
      <c r="G425" s="11">
        <v>0</v>
      </c>
      <c r="H425" s="11">
        <v>0</v>
      </c>
      <c r="I425" s="3" t="s">
        <v>131</v>
      </c>
      <c r="J425" s="3" t="s">
        <v>1842</v>
      </c>
      <c r="K425" s="3">
        <v>35713</v>
      </c>
      <c r="L425" s="11">
        <v>0</v>
      </c>
      <c r="M425" s="11">
        <v>0</v>
      </c>
      <c r="N425" s="3" t="s">
        <v>944</v>
      </c>
      <c r="O425" s="3" t="s">
        <v>945</v>
      </c>
      <c r="P425" s="3" t="s">
        <v>851</v>
      </c>
      <c r="Q425" s="11">
        <v>322</v>
      </c>
      <c r="R425" s="11">
        <v>180</v>
      </c>
      <c r="S425" s="3" t="s">
        <v>73</v>
      </c>
      <c r="T425" s="4" t="s">
        <v>135</v>
      </c>
      <c r="U425" s="11">
        <f>World_Cup_Matches[[#This Row],[Home Team Goals]]+World_Cup_Matches[[#This Row],[Away Team Goals]]</f>
        <v>0</v>
      </c>
      <c r="V425" s="11">
        <f>World_Cup_Matches[[#This Row],[Home Team Goals]]-World_Cup_Matches[[#This Row],[Away Team Goals]]</f>
        <v>0</v>
      </c>
      <c r="W425" s="4" t="str">
        <f>IF(World_Cup_Matches[[#This Row],[Home Team Goals]]&gt;World_Cup_Matches[[#This Row],[Away Team Goals]],World_Cup_Matches[[#This Row],[Home Team Name]],IF(World_Cup_Matches[[#This Row],[Away Team Goals]]&gt;World_Cup_Matches[[#This Row],[Home Team Goals]], World_Cup_Matches[[#This Row],[Away Team Name]],"Draw"))</f>
        <v>Draw</v>
      </c>
      <c r="X425" s="4" t="str">
        <f>IF(World_Cup_Matches[[#This Row],[Home Team Goals]]&gt;World_Cup_Matches[[#This Row],[Away Team Goals]],"Hime Win",IF(World_Cup_Matches[[#This Row],[Away Team Goals]]&gt;World_Cup_Matches[[#This Row],[Home Team Goals]],"Away win","Draw"))</f>
        <v>Draw</v>
      </c>
    </row>
    <row r="426" spans="1:24" x14ac:dyDescent="0.2">
      <c r="A426" s="19">
        <v>1990</v>
      </c>
      <c r="B426" s="15" t="s">
        <v>946</v>
      </c>
      <c r="C426" s="3" t="s">
        <v>607</v>
      </c>
      <c r="D426" s="3" t="s">
        <v>947</v>
      </c>
      <c r="E426" s="3" t="s">
        <v>98</v>
      </c>
      <c r="F426" s="3" t="s">
        <v>56</v>
      </c>
      <c r="G426" s="11">
        <v>2</v>
      </c>
      <c r="H426" s="11">
        <v>0</v>
      </c>
      <c r="I426" s="3" t="s">
        <v>332</v>
      </c>
      <c r="J426" s="3" t="s">
        <v>1842</v>
      </c>
      <c r="K426" s="3">
        <v>55759</v>
      </c>
      <c r="L426" s="11">
        <v>1</v>
      </c>
      <c r="M426" s="11">
        <v>0</v>
      </c>
      <c r="N426" s="3" t="s">
        <v>749</v>
      </c>
      <c r="O426" s="3" t="s">
        <v>911</v>
      </c>
      <c r="P426" s="3" t="s">
        <v>839</v>
      </c>
      <c r="Q426" s="11">
        <v>322</v>
      </c>
      <c r="R426" s="11">
        <v>30</v>
      </c>
      <c r="S426" s="3" t="s">
        <v>59</v>
      </c>
      <c r="T426" s="4" t="s">
        <v>335</v>
      </c>
      <c r="U426" s="11">
        <f>World_Cup_Matches[[#This Row],[Home Team Goals]]+World_Cup_Matches[[#This Row],[Away Team Goals]]</f>
        <v>2</v>
      </c>
      <c r="V426" s="11">
        <f>World_Cup_Matches[[#This Row],[Home Team Goals]]-World_Cup_Matches[[#This Row],[Away Team Goals]]</f>
        <v>2</v>
      </c>
      <c r="W426" s="4" t="str">
        <f>IF(World_Cup_Matches[[#This Row],[Home Team Goals]]&gt;World_Cup_Matches[[#This Row],[Away Team Goals]],World_Cup_Matches[[#This Row],[Home Team Name]],IF(World_Cup_Matches[[#This Row],[Away Team Goals]]&gt;World_Cup_Matches[[#This Row],[Home Team Goals]], World_Cup_Matches[[#This Row],[Away Team Name]],"Draw"))</f>
        <v>Argentina</v>
      </c>
      <c r="X426" s="4" t="str">
        <f>IF(World_Cup_Matches[[#This Row],[Home Team Goals]]&gt;World_Cup_Matches[[#This Row],[Away Team Goals]],"Hime Win",IF(World_Cup_Matches[[#This Row],[Away Team Goals]]&gt;World_Cup_Matches[[#This Row],[Home Team Goals]],"Away win","Draw"))</f>
        <v>Hime Win</v>
      </c>
    </row>
    <row r="427" spans="1:24" x14ac:dyDescent="0.2">
      <c r="A427" s="19">
        <v>1990</v>
      </c>
      <c r="B427" s="15" t="s">
        <v>948</v>
      </c>
      <c r="C427" s="3" t="s">
        <v>607</v>
      </c>
      <c r="D427" s="3" t="s">
        <v>904</v>
      </c>
      <c r="E427" s="3" t="s">
        <v>905</v>
      </c>
      <c r="F427" s="3" t="s">
        <v>700</v>
      </c>
      <c r="G427" s="11">
        <v>2</v>
      </c>
      <c r="H427" s="11">
        <v>1</v>
      </c>
      <c r="I427" s="3" t="s">
        <v>50</v>
      </c>
      <c r="J427" s="3" t="s">
        <v>1842</v>
      </c>
      <c r="K427" s="3">
        <v>38687</v>
      </c>
      <c r="L427" s="11">
        <v>0</v>
      </c>
      <c r="M427" s="11">
        <v>0</v>
      </c>
      <c r="N427" s="3" t="s">
        <v>807</v>
      </c>
      <c r="O427" s="3" t="s">
        <v>836</v>
      </c>
      <c r="P427" s="3" t="s">
        <v>912</v>
      </c>
      <c r="Q427" s="11">
        <v>322</v>
      </c>
      <c r="R427" s="11">
        <v>108</v>
      </c>
      <c r="S427" s="3" t="s">
        <v>702</v>
      </c>
      <c r="T427" s="4" t="s">
        <v>53</v>
      </c>
      <c r="U427" s="11">
        <f>World_Cup_Matches[[#This Row],[Home Team Goals]]+World_Cup_Matches[[#This Row],[Away Team Goals]]</f>
        <v>3</v>
      </c>
      <c r="V427" s="11">
        <f>World_Cup_Matches[[#This Row],[Home Team Goals]]-World_Cup_Matches[[#This Row],[Away Team Goals]]</f>
        <v>1</v>
      </c>
      <c r="W427" s="4" t="str">
        <f>IF(World_Cup_Matches[[#This Row],[Home Team Goals]]&gt;World_Cup_Matches[[#This Row],[Away Team Goals]],World_Cup_Matches[[#This Row],[Home Team Name]],IF(World_Cup_Matches[[#This Row],[Away Team Goals]]&gt;World_Cup_Matches[[#This Row],[Home Team Goals]], World_Cup_Matches[[#This Row],[Away Team Name]],"Draw"))</f>
        <v>Cameroon</v>
      </c>
      <c r="X427" s="4" t="str">
        <f>IF(World_Cup_Matches[[#This Row],[Home Team Goals]]&gt;World_Cup_Matches[[#This Row],[Away Team Goals]],"Hime Win",IF(World_Cup_Matches[[#This Row],[Away Team Goals]]&gt;World_Cup_Matches[[#This Row],[Home Team Goals]],"Away win","Draw"))</f>
        <v>Hime Win</v>
      </c>
    </row>
    <row r="428" spans="1:24" x14ac:dyDescent="0.2">
      <c r="A428" s="19">
        <v>1990</v>
      </c>
      <c r="B428" s="15" t="s">
        <v>948</v>
      </c>
      <c r="C428" s="3" t="s">
        <v>811</v>
      </c>
      <c r="D428" s="3" t="s">
        <v>906</v>
      </c>
      <c r="E428" s="3" t="s">
        <v>116</v>
      </c>
      <c r="F428" s="3" t="s">
        <v>41</v>
      </c>
      <c r="G428" s="11">
        <v>1</v>
      </c>
      <c r="H428" s="11">
        <v>0</v>
      </c>
      <c r="I428" s="3" t="s">
        <v>390</v>
      </c>
      <c r="J428" s="3" t="s">
        <v>1842</v>
      </c>
      <c r="K428" s="3">
        <v>32257</v>
      </c>
      <c r="L428" s="11">
        <v>0</v>
      </c>
      <c r="M428" s="11">
        <v>0</v>
      </c>
      <c r="N428" s="3" t="s">
        <v>817</v>
      </c>
      <c r="O428" s="3" t="s">
        <v>921</v>
      </c>
      <c r="P428" s="3" t="s">
        <v>949</v>
      </c>
      <c r="Q428" s="11">
        <v>322</v>
      </c>
      <c r="R428" s="11">
        <v>120</v>
      </c>
      <c r="S428" s="3" t="s">
        <v>46</v>
      </c>
      <c r="T428" s="4" t="s">
        <v>394</v>
      </c>
      <c r="U428" s="11">
        <f>World_Cup_Matches[[#This Row],[Home Team Goals]]+World_Cup_Matches[[#This Row],[Away Team Goals]]</f>
        <v>1</v>
      </c>
      <c r="V428" s="11">
        <f>World_Cup_Matches[[#This Row],[Home Team Goals]]-World_Cup_Matches[[#This Row],[Away Team Goals]]</f>
        <v>1</v>
      </c>
      <c r="W428" s="4" t="str">
        <f>IF(World_Cup_Matches[[#This Row],[Home Team Goals]]&gt;World_Cup_Matches[[#This Row],[Away Team Goals]],World_Cup_Matches[[#This Row],[Home Team Name]],IF(World_Cup_Matches[[#This Row],[Away Team Goals]]&gt;World_Cup_Matches[[#This Row],[Home Team Goals]], World_Cup_Matches[[#This Row],[Away Team Name]],"Draw"))</f>
        <v>Yugoslavia</v>
      </c>
      <c r="X428" s="4" t="str">
        <f>IF(World_Cup_Matches[[#This Row],[Home Team Goals]]&gt;World_Cup_Matches[[#This Row],[Away Team Goals]],"Hime Win",IF(World_Cup_Matches[[#This Row],[Away Team Goals]]&gt;World_Cup_Matches[[#This Row],[Home Team Goals]],"Away win","Draw"))</f>
        <v>Hime Win</v>
      </c>
    </row>
    <row r="429" spans="1:24" x14ac:dyDescent="0.2">
      <c r="A429" s="19">
        <v>1990</v>
      </c>
      <c r="B429" s="15" t="s">
        <v>950</v>
      </c>
      <c r="C429" s="3" t="s">
        <v>609</v>
      </c>
      <c r="D429" s="3" t="s">
        <v>910</v>
      </c>
      <c r="E429" s="3" t="s">
        <v>137</v>
      </c>
      <c r="F429" s="3" t="s">
        <v>138</v>
      </c>
      <c r="G429" s="11">
        <v>1</v>
      </c>
      <c r="H429" s="11">
        <v>0</v>
      </c>
      <c r="I429" s="3" t="s">
        <v>33</v>
      </c>
      <c r="J429" s="3" t="s">
        <v>1842</v>
      </c>
      <c r="K429" s="3">
        <v>73423</v>
      </c>
      <c r="L429" s="11">
        <v>1</v>
      </c>
      <c r="M429" s="11">
        <v>0</v>
      </c>
      <c r="N429" s="3" t="s">
        <v>802</v>
      </c>
      <c r="O429" s="3" t="s">
        <v>737</v>
      </c>
      <c r="P429" s="3" t="s">
        <v>808</v>
      </c>
      <c r="Q429" s="11">
        <v>322</v>
      </c>
      <c r="R429" s="11">
        <v>265</v>
      </c>
      <c r="S429" s="3" t="s">
        <v>142</v>
      </c>
      <c r="T429" s="4" t="s">
        <v>33</v>
      </c>
      <c r="U429" s="11">
        <f>World_Cup_Matches[[#This Row],[Home Team Goals]]+World_Cup_Matches[[#This Row],[Away Team Goals]]</f>
        <v>1</v>
      </c>
      <c r="V429" s="11">
        <f>World_Cup_Matches[[#This Row],[Home Team Goals]]-World_Cup_Matches[[#This Row],[Away Team Goals]]</f>
        <v>1</v>
      </c>
      <c r="W429" s="4" t="str">
        <f>IF(World_Cup_Matches[[#This Row],[Home Team Goals]]&gt;World_Cup_Matches[[#This Row],[Away Team Goals]],World_Cup_Matches[[#This Row],[Home Team Name]],IF(World_Cup_Matches[[#This Row],[Away Team Goals]]&gt;World_Cup_Matches[[#This Row],[Home Team Goals]], World_Cup_Matches[[#This Row],[Away Team Name]],"Draw"))</f>
        <v>Italy</v>
      </c>
      <c r="X429" s="4" t="str">
        <f>IF(World_Cup_Matches[[#This Row],[Home Team Goals]]&gt;World_Cup_Matches[[#This Row],[Away Team Goals]],"Hime Win",IF(World_Cup_Matches[[#This Row],[Away Team Goals]]&gt;World_Cup_Matches[[#This Row],[Home Team Goals]],"Away win","Draw"))</f>
        <v>Hime Win</v>
      </c>
    </row>
    <row r="430" spans="1:24" x14ac:dyDescent="0.2">
      <c r="A430" s="19">
        <v>1990</v>
      </c>
      <c r="B430" s="15" t="s">
        <v>951</v>
      </c>
      <c r="C430" s="3" t="s">
        <v>609</v>
      </c>
      <c r="D430" s="3" t="s">
        <v>914</v>
      </c>
      <c r="E430" s="3" t="s">
        <v>123</v>
      </c>
      <c r="F430" s="3" t="s">
        <v>91</v>
      </c>
      <c r="G430" s="11">
        <v>0</v>
      </c>
      <c r="H430" s="11">
        <v>1</v>
      </c>
      <c r="I430" s="3" t="s">
        <v>145</v>
      </c>
      <c r="J430" s="3" t="s">
        <v>1842</v>
      </c>
      <c r="K430" s="3">
        <v>38962</v>
      </c>
      <c r="L430" s="11">
        <v>0</v>
      </c>
      <c r="M430" s="11">
        <v>1</v>
      </c>
      <c r="N430" s="3" t="s">
        <v>952</v>
      </c>
      <c r="O430" s="3" t="s">
        <v>953</v>
      </c>
      <c r="P430" s="3" t="s">
        <v>839</v>
      </c>
      <c r="Q430" s="11">
        <v>322</v>
      </c>
      <c r="R430" s="11">
        <v>43</v>
      </c>
      <c r="S430" s="3" t="s">
        <v>96</v>
      </c>
      <c r="T430" s="4" t="s">
        <v>148</v>
      </c>
      <c r="U430" s="11">
        <f>World_Cup_Matches[[#This Row],[Home Team Goals]]+World_Cup_Matches[[#This Row],[Away Team Goals]]</f>
        <v>1</v>
      </c>
      <c r="V430" s="11">
        <f>World_Cup_Matches[[#This Row],[Home Team Goals]]-World_Cup_Matches[[#This Row],[Away Team Goals]]</f>
        <v>-1</v>
      </c>
      <c r="W430" s="4" t="str">
        <f>IF(World_Cup_Matches[[#This Row],[Home Team Goals]]&gt;World_Cup_Matches[[#This Row],[Away Team Goals]],World_Cup_Matches[[#This Row],[Home Team Name]],IF(World_Cup_Matches[[#This Row],[Away Team Goals]]&gt;World_Cup_Matches[[#This Row],[Home Team Goals]], World_Cup_Matches[[#This Row],[Away Team Name]],"Draw"))</f>
        <v>Czechoslovakia</v>
      </c>
      <c r="X430" s="4" t="str">
        <f>IF(World_Cup_Matches[[#This Row],[Home Team Goals]]&gt;World_Cup_Matches[[#This Row],[Away Team Goals]],"Hime Win",IF(World_Cup_Matches[[#This Row],[Away Team Goals]]&gt;World_Cup_Matches[[#This Row],[Home Team Goals]],"Away win","Draw"))</f>
        <v>Away win</v>
      </c>
    </row>
    <row r="431" spans="1:24" x14ac:dyDescent="0.2">
      <c r="A431" s="19">
        <v>1990</v>
      </c>
      <c r="B431" s="15" t="s">
        <v>954</v>
      </c>
      <c r="C431" s="3" t="s">
        <v>811</v>
      </c>
      <c r="D431" s="3" t="s">
        <v>900</v>
      </c>
      <c r="E431" s="3" t="s">
        <v>107</v>
      </c>
      <c r="F431" s="3" t="s">
        <v>285</v>
      </c>
      <c r="G431" s="11">
        <v>5</v>
      </c>
      <c r="H431" s="11">
        <v>1</v>
      </c>
      <c r="I431" s="3" t="s">
        <v>907</v>
      </c>
      <c r="J431" s="3" t="s">
        <v>1842</v>
      </c>
      <c r="K431" s="3">
        <v>71169</v>
      </c>
      <c r="L431" s="11">
        <v>2</v>
      </c>
      <c r="M431" s="11">
        <v>0</v>
      </c>
      <c r="N431" s="3" t="s">
        <v>945</v>
      </c>
      <c r="O431" s="3" t="s">
        <v>860</v>
      </c>
      <c r="P431" s="3" t="s">
        <v>955</v>
      </c>
      <c r="Q431" s="11">
        <v>322</v>
      </c>
      <c r="R431" s="11">
        <v>198</v>
      </c>
      <c r="S431" s="3" t="s">
        <v>289</v>
      </c>
      <c r="T431" s="4" t="s">
        <v>908</v>
      </c>
      <c r="U431" s="11">
        <f>World_Cup_Matches[[#This Row],[Home Team Goals]]+World_Cup_Matches[[#This Row],[Away Team Goals]]</f>
        <v>6</v>
      </c>
      <c r="V431" s="11">
        <f>World_Cup_Matches[[#This Row],[Home Team Goals]]-World_Cup_Matches[[#This Row],[Away Team Goals]]</f>
        <v>4</v>
      </c>
      <c r="W431" s="4" t="str">
        <f>IF(World_Cup_Matches[[#This Row],[Home Team Goals]]&gt;World_Cup_Matches[[#This Row],[Away Team Goals]],World_Cup_Matches[[#This Row],[Home Team Name]],IF(World_Cup_Matches[[#This Row],[Away Team Goals]]&gt;World_Cup_Matches[[#This Row],[Home Team Goals]], World_Cup_Matches[[#This Row],[Away Team Name]],"Draw"))</f>
        <v>Germany FR</v>
      </c>
      <c r="X431" s="4" t="str">
        <f>IF(World_Cup_Matches[[#This Row],[Home Team Goals]]&gt;World_Cup_Matches[[#This Row],[Away Team Goals]],"Hime Win",IF(World_Cup_Matches[[#This Row],[Away Team Goals]]&gt;World_Cup_Matches[[#This Row],[Home Team Goals]],"Away win","Draw"))</f>
        <v>Hime Win</v>
      </c>
    </row>
    <row r="432" spans="1:24" x14ac:dyDescent="0.2">
      <c r="A432" s="19">
        <v>1990</v>
      </c>
      <c r="B432" s="15" t="s">
        <v>956</v>
      </c>
      <c r="C432" s="3" t="s">
        <v>805</v>
      </c>
      <c r="D432" s="3" t="s">
        <v>919</v>
      </c>
      <c r="E432" s="3" t="s">
        <v>90</v>
      </c>
      <c r="F432" s="3" t="s">
        <v>42</v>
      </c>
      <c r="G432" s="11">
        <v>1</v>
      </c>
      <c r="H432" s="11">
        <v>0</v>
      </c>
      <c r="I432" s="3" t="s">
        <v>925</v>
      </c>
      <c r="J432" s="3" t="s">
        <v>1842</v>
      </c>
      <c r="K432" s="3">
        <v>58007</v>
      </c>
      <c r="L432" s="11">
        <v>1</v>
      </c>
      <c r="M432" s="11">
        <v>0</v>
      </c>
      <c r="N432" s="3" t="s">
        <v>921</v>
      </c>
      <c r="O432" s="3" t="s">
        <v>949</v>
      </c>
      <c r="P432" s="3" t="s">
        <v>923</v>
      </c>
      <c r="Q432" s="11">
        <v>322</v>
      </c>
      <c r="R432" s="11">
        <v>73</v>
      </c>
      <c r="S432" s="3" t="s">
        <v>47</v>
      </c>
      <c r="T432" s="4" t="s">
        <v>929</v>
      </c>
      <c r="U432" s="11">
        <f>World_Cup_Matches[[#This Row],[Home Team Goals]]+World_Cup_Matches[[#This Row],[Away Team Goals]]</f>
        <v>1</v>
      </c>
      <c r="V432" s="11">
        <f>World_Cup_Matches[[#This Row],[Home Team Goals]]-World_Cup_Matches[[#This Row],[Away Team Goals]]</f>
        <v>1</v>
      </c>
      <c r="W432" s="4" t="str">
        <f>IF(World_Cup_Matches[[#This Row],[Home Team Goals]]&gt;World_Cup_Matches[[#This Row],[Away Team Goals]],World_Cup_Matches[[#This Row],[Home Team Name]],IF(World_Cup_Matches[[#This Row],[Away Team Goals]]&gt;World_Cup_Matches[[#This Row],[Home Team Goals]], World_Cup_Matches[[#This Row],[Away Team Name]],"Draw"))</f>
        <v>Brazil</v>
      </c>
      <c r="X432" s="4" t="str">
        <f>IF(World_Cup_Matches[[#This Row],[Home Team Goals]]&gt;World_Cup_Matches[[#This Row],[Away Team Goals]],"Hime Win",IF(World_Cup_Matches[[#This Row],[Away Team Goals]]&gt;World_Cup_Matches[[#This Row],[Home Team Goals]],"Away win","Draw"))</f>
        <v>Hime Win</v>
      </c>
    </row>
    <row r="433" spans="1:24" x14ac:dyDescent="0.2">
      <c r="A433" s="19">
        <v>1990</v>
      </c>
      <c r="B433" s="15" t="s">
        <v>957</v>
      </c>
      <c r="C433" s="3" t="s">
        <v>805</v>
      </c>
      <c r="D433" s="3" t="s">
        <v>129</v>
      </c>
      <c r="E433" s="3" t="s">
        <v>130</v>
      </c>
      <c r="F433" s="3" t="s">
        <v>117</v>
      </c>
      <c r="G433" s="11">
        <v>1</v>
      </c>
      <c r="H433" s="11">
        <v>2</v>
      </c>
      <c r="I433" s="3" t="s">
        <v>272</v>
      </c>
      <c r="J433" s="3" t="s">
        <v>1842</v>
      </c>
      <c r="K433" s="3">
        <v>31823</v>
      </c>
      <c r="L433" s="11">
        <v>0</v>
      </c>
      <c r="M433" s="11">
        <v>1</v>
      </c>
      <c r="N433" s="3" t="s">
        <v>927</v>
      </c>
      <c r="O433" s="3" t="s">
        <v>901</v>
      </c>
      <c r="P433" s="3" t="s">
        <v>902</v>
      </c>
      <c r="Q433" s="11">
        <v>322</v>
      </c>
      <c r="R433" s="11">
        <v>348</v>
      </c>
      <c r="S433" s="3" t="s">
        <v>121</v>
      </c>
      <c r="T433" s="4" t="s">
        <v>275</v>
      </c>
      <c r="U433" s="11">
        <f>World_Cup_Matches[[#This Row],[Home Team Goals]]+World_Cup_Matches[[#This Row],[Away Team Goals]]</f>
        <v>3</v>
      </c>
      <c r="V433" s="11">
        <f>World_Cup_Matches[[#This Row],[Home Team Goals]]-World_Cup_Matches[[#This Row],[Away Team Goals]]</f>
        <v>-1</v>
      </c>
      <c r="W433" s="4" t="str">
        <f>IF(World_Cup_Matches[[#This Row],[Home Team Goals]]&gt;World_Cup_Matches[[#This Row],[Away Team Goals]],World_Cup_Matches[[#This Row],[Home Team Name]],IF(World_Cup_Matches[[#This Row],[Away Team Goals]]&gt;World_Cup_Matches[[#This Row],[Home Team Goals]], World_Cup_Matches[[#This Row],[Away Team Name]],"Draw"))</f>
        <v>Scotland</v>
      </c>
      <c r="X433" s="4" t="str">
        <f>IF(World_Cup_Matches[[#This Row],[Home Team Goals]]&gt;World_Cup_Matches[[#This Row],[Away Team Goals]],"Hime Win",IF(World_Cup_Matches[[#This Row],[Away Team Goals]]&gt;World_Cup_Matches[[#This Row],[Home Team Goals]],"Away win","Draw"))</f>
        <v>Away win</v>
      </c>
    </row>
    <row r="434" spans="1:24" x14ac:dyDescent="0.2">
      <c r="A434" s="19">
        <v>1990</v>
      </c>
      <c r="B434" s="15" t="s">
        <v>957</v>
      </c>
      <c r="C434" s="3" t="s">
        <v>824</v>
      </c>
      <c r="D434" s="3" t="s">
        <v>931</v>
      </c>
      <c r="E434" s="3" t="s">
        <v>932</v>
      </c>
      <c r="F434" s="3" t="s">
        <v>223</v>
      </c>
      <c r="G434" s="11">
        <v>0</v>
      </c>
      <c r="H434" s="11">
        <v>0</v>
      </c>
      <c r="I434" s="3" t="s">
        <v>109</v>
      </c>
      <c r="J434" s="3" t="s">
        <v>1842</v>
      </c>
      <c r="K434" s="3">
        <v>35267</v>
      </c>
      <c r="L434" s="11">
        <v>0</v>
      </c>
      <c r="M434" s="11">
        <v>0</v>
      </c>
      <c r="N434" s="3" t="s">
        <v>834</v>
      </c>
      <c r="O434" s="3" t="s">
        <v>958</v>
      </c>
      <c r="P434" s="3" t="s">
        <v>802</v>
      </c>
      <c r="Q434" s="11">
        <v>322</v>
      </c>
      <c r="R434" s="11">
        <v>160</v>
      </c>
      <c r="S434" s="3" t="s">
        <v>227</v>
      </c>
      <c r="T434" s="4" t="s">
        <v>114</v>
      </c>
      <c r="U434" s="11">
        <f>World_Cup_Matches[[#This Row],[Home Team Goals]]+World_Cup_Matches[[#This Row],[Away Team Goals]]</f>
        <v>0</v>
      </c>
      <c r="V434" s="11">
        <f>World_Cup_Matches[[#This Row],[Home Team Goals]]-World_Cup_Matches[[#This Row],[Away Team Goals]]</f>
        <v>0</v>
      </c>
      <c r="W434" s="4" t="str">
        <f>IF(World_Cup_Matches[[#This Row],[Home Team Goals]]&gt;World_Cup_Matches[[#This Row],[Away Team Goals]],World_Cup_Matches[[#This Row],[Home Team Name]],IF(World_Cup_Matches[[#This Row],[Away Team Goals]]&gt;World_Cup_Matches[[#This Row],[Home Team Goals]], World_Cup_Matches[[#This Row],[Away Team Name]],"Draw"))</f>
        <v>Draw</v>
      </c>
      <c r="X434" s="4" t="str">
        <f>IF(World_Cup_Matches[[#This Row],[Home Team Goals]]&gt;World_Cup_Matches[[#This Row],[Away Team Goals]],"Hime Win",IF(World_Cup_Matches[[#This Row],[Away Team Goals]]&gt;World_Cup_Matches[[#This Row],[Home Team Goals]],"Away win","Draw"))</f>
        <v>Draw</v>
      </c>
    </row>
    <row r="435" spans="1:24" x14ac:dyDescent="0.2">
      <c r="A435" s="19">
        <v>1990</v>
      </c>
      <c r="B435" s="15" t="s">
        <v>959</v>
      </c>
      <c r="C435" s="3" t="s">
        <v>824</v>
      </c>
      <c r="D435" s="3" t="s">
        <v>939</v>
      </c>
      <c r="E435" s="3" t="s">
        <v>940</v>
      </c>
      <c r="F435" s="3" t="s">
        <v>933</v>
      </c>
      <c r="G435" s="11">
        <v>0</v>
      </c>
      <c r="H435" s="11">
        <v>0</v>
      </c>
      <c r="I435" s="3" t="s">
        <v>100</v>
      </c>
      <c r="J435" s="3" t="s">
        <v>1842</v>
      </c>
      <c r="K435" s="3">
        <v>33288</v>
      </c>
      <c r="L435" s="11">
        <v>0</v>
      </c>
      <c r="M435" s="11">
        <v>0</v>
      </c>
      <c r="N435" s="3" t="s">
        <v>916</v>
      </c>
      <c r="O435" s="3" t="s">
        <v>828</v>
      </c>
      <c r="P435" s="3" t="s">
        <v>960</v>
      </c>
      <c r="Q435" s="11">
        <v>322</v>
      </c>
      <c r="R435" s="11">
        <v>152</v>
      </c>
      <c r="S435" s="3" t="s">
        <v>934</v>
      </c>
      <c r="T435" s="4" t="s">
        <v>105</v>
      </c>
      <c r="U435" s="11">
        <f>World_Cup_Matches[[#This Row],[Home Team Goals]]+World_Cup_Matches[[#This Row],[Away Team Goals]]</f>
        <v>0</v>
      </c>
      <c r="V435" s="11">
        <f>World_Cup_Matches[[#This Row],[Home Team Goals]]-World_Cup_Matches[[#This Row],[Away Team Goals]]</f>
        <v>0</v>
      </c>
      <c r="W435" s="4" t="str">
        <f>IF(World_Cup_Matches[[#This Row],[Home Team Goals]]&gt;World_Cup_Matches[[#This Row],[Away Team Goals]],World_Cup_Matches[[#This Row],[Home Team Name]],IF(World_Cup_Matches[[#This Row],[Away Team Goals]]&gt;World_Cup_Matches[[#This Row],[Home Team Goals]], World_Cup_Matches[[#This Row],[Away Team Name]],"Draw"))</f>
        <v>Draw</v>
      </c>
      <c r="X435" s="4" t="str">
        <f>IF(World_Cup_Matches[[#This Row],[Home Team Goals]]&gt;World_Cup_Matches[[#This Row],[Away Team Goals]],"Hime Win",IF(World_Cup_Matches[[#This Row],[Away Team Goals]]&gt;World_Cup_Matches[[#This Row],[Home Team Goals]],"Away win","Draw"))</f>
        <v>Draw</v>
      </c>
    </row>
    <row r="436" spans="1:24" x14ac:dyDescent="0.2">
      <c r="A436" s="19">
        <v>1990</v>
      </c>
      <c r="B436" s="15" t="s">
        <v>961</v>
      </c>
      <c r="C436" s="3" t="s">
        <v>846</v>
      </c>
      <c r="D436" s="3" t="s">
        <v>942</v>
      </c>
      <c r="E436" s="3" t="s">
        <v>943</v>
      </c>
      <c r="F436" s="3" t="s">
        <v>291</v>
      </c>
      <c r="G436" s="11">
        <v>1</v>
      </c>
      <c r="H436" s="11">
        <v>3</v>
      </c>
      <c r="I436" s="3" t="s">
        <v>131</v>
      </c>
      <c r="J436" s="3" t="s">
        <v>1842</v>
      </c>
      <c r="K436" s="3">
        <v>32733</v>
      </c>
      <c r="L436" s="11">
        <v>1</v>
      </c>
      <c r="M436" s="11">
        <v>1</v>
      </c>
      <c r="N436" s="3" t="s">
        <v>928</v>
      </c>
      <c r="O436" s="3" t="s">
        <v>962</v>
      </c>
      <c r="P436" s="3" t="s">
        <v>926</v>
      </c>
      <c r="Q436" s="11">
        <v>322</v>
      </c>
      <c r="R436" s="11">
        <v>175</v>
      </c>
      <c r="S436" s="3" t="s">
        <v>295</v>
      </c>
      <c r="T436" s="4" t="s">
        <v>135</v>
      </c>
      <c r="U436" s="11">
        <f>World_Cup_Matches[[#This Row],[Home Team Goals]]+World_Cup_Matches[[#This Row],[Away Team Goals]]</f>
        <v>4</v>
      </c>
      <c r="V436" s="11">
        <f>World_Cup_Matches[[#This Row],[Home Team Goals]]-World_Cup_Matches[[#This Row],[Away Team Goals]]</f>
        <v>-2</v>
      </c>
      <c r="W436" s="4" t="str">
        <f>IF(World_Cup_Matches[[#This Row],[Home Team Goals]]&gt;World_Cup_Matches[[#This Row],[Away Team Goals]],World_Cup_Matches[[#This Row],[Home Team Name]],IF(World_Cup_Matches[[#This Row],[Away Team Goals]]&gt;World_Cup_Matches[[#This Row],[Home Team Goals]], World_Cup_Matches[[#This Row],[Away Team Name]],"Draw"))</f>
        <v>Spain</v>
      </c>
      <c r="X436" s="4" t="str">
        <f>IF(World_Cup_Matches[[#This Row],[Home Team Goals]]&gt;World_Cup_Matches[[#This Row],[Away Team Goals]],"Hime Win",IF(World_Cup_Matches[[#This Row],[Away Team Goals]]&gt;World_Cup_Matches[[#This Row],[Home Team Goals]],"Away win","Draw"))</f>
        <v>Away win</v>
      </c>
    </row>
    <row r="437" spans="1:24" x14ac:dyDescent="0.2">
      <c r="A437" s="19">
        <v>1990</v>
      </c>
      <c r="B437" s="15" t="s">
        <v>961</v>
      </c>
      <c r="C437" s="3" t="s">
        <v>846</v>
      </c>
      <c r="D437" s="3" t="s">
        <v>936</v>
      </c>
      <c r="E437" s="3" t="s">
        <v>937</v>
      </c>
      <c r="F437" s="3" t="s">
        <v>34</v>
      </c>
      <c r="G437" s="11">
        <v>3</v>
      </c>
      <c r="H437" s="11">
        <v>1</v>
      </c>
      <c r="I437" s="3" t="s">
        <v>72</v>
      </c>
      <c r="J437" s="3" t="s">
        <v>1842</v>
      </c>
      <c r="K437" s="3">
        <v>33759</v>
      </c>
      <c r="L437" s="11">
        <v>2</v>
      </c>
      <c r="M437" s="11">
        <v>0</v>
      </c>
      <c r="N437" s="3" t="s">
        <v>851</v>
      </c>
      <c r="O437" s="3" t="s">
        <v>922</v>
      </c>
      <c r="P437" s="3" t="s">
        <v>945</v>
      </c>
      <c r="Q437" s="11">
        <v>322</v>
      </c>
      <c r="R437" s="11">
        <v>66</v>
      </c>
      <c r="S437" s="3" t="s">
        <v>38</v>
      </c>
      <c r="T437" s="4" t="s">
        <v>73</v>
      </c>
      <c r="U437" s="11">
        <f>World_Cup_Matches[[#This Row],[Home Team Goals]]+World_Cup_Matches[[#This Row],[Away Team Goals]]</f>
        <v>4</v>
      </c>
      <c r="V437" s="11">
        <f>World_Cup_Matches[[#This Row],[Home Team Goals]]-World_Cup_Matches[[#This Row],[Away Team Goals]]</f>
        <v>2</v>
      </c>
      <c r="W437" s="4" t="str">
        <f>IF(World_Cup_Matches[[#This Row],[Home Team Goals]]&gt;World_Cup_Matches[[#This Row],[Away Team Goals]],World_Cup_Matches[[#This Row],[Home Team Name]],IF(World_Cup_Matches[[#This Row],[Away Team Goals]]&gt;World_Cup_Matches[[#This Row],[Home Team Goals]], World_Cup_Matches[[#This Row],[Away Team Name]],"Draw"))</f>
        <v>Belgium</v>
      </c>
      <c r="X437" s="4" t="str">
        <f>IF(World_Cup_Matches[[#This Row],[Home Team Goals]]&gt;World_Cup_Matches[[#This Row],[Away Team Goals]],"Hime Win",IF(World_Cup_Matches[[#This Row],[Away Team Goals]]&gt;World_Cup_Matches[[#This Row],[Home Team Goals]],"Away win","Draw"))</f>
        <v>Hime Win</v>
      </c>
    </row>
    <row r="438" spans="1:24" x14ac:dyDescent="0.2">
      <c r="A438" s="19">
        <v>1990</v>
      </c>
      <c r="B438" s="15" t="s">
        <v>963</v>
      </c>
      <c r="C438" s="3" t="s">
        <v>607</v>
      </c>
      <c r="D438" s="3" t="s">
        <v>947</v>
      </c>
      <c r="E438" s="3" t="s">
        <v>98</v>
      </c>
      <c r="F438" s="3" t="s">
        <v>56</v>
      </c>
      <c r="G438" s="11">
        <v>1</v>
      </c>
      <c r="H438" s="11">
        <v>1</v>
      </c>
      <c r="I438" s="3" t="s">
        <v>50</v>
      </c>
      <c r="J438" s="3" t="s">
        <v>1842</v>
      </c>
      <c r="K438" s="3">
        <v>52733</v>
      </c>
      <c r="L438" s="11">
        <v>0</v>
      </c>
      <c r="M438" s="11">
        <v>0</v>
      </c>
      <c r="N438" s="3" t="s">
        <v>836</v>
      </c>
      <c r="O438" s="3" t="s">
        <v>808</v>
      </c>
      <c r="P438" s="3" t="s">
        <v>964</v>
      </c>
      <c r="Q438" s="11">
        <v>322</v>
      </c>
      <c r="R438" s="11">
        <v>29</v>
      </c>
      <c r="S438" s="3" t="s">
        <v>59</v>
      </c>
      <c r="T438" s="4" t="s">
        <v>53</v>
      </c>
      <c r="U438" s="11">
        <f>World_Cup_Matches[[#This Row],[Home Team Goals]]+World_Cup_Matches[[#This Row],[Away Team Goals]]</f>
        <v>2</v>
      </c>
      <c r="V438" s="11">
        <f>World_Cup_Matches[[#This Row],[Home Team Goals]]-World_Cup_Matches[[#This Row],[Away Team Goals]]</f>
        <v>0</v>
      </c>
      <c r="W438" s="4" t="str">
        <f>IF(World_Cup_Matches[[#This Row],[Home Team Goals]]&gt;World_Cup_Matches[[#This Row],[Away Team Goals]],World_Cup_Matches[[#This Row],[Home Team Name]],IF(World_Cup_Matches[[#This Row],[Away Team Goals]]&gt;World_Cup_Matches[[#This Row],[Home Team Goals]], World_Cup_Matches[[#This Row],[Away Team Name]],"Draw"))</f>
        <v>Draw</v>
      </c>
      <c r="X438" s="4" t="str">
        <f>IF(World_Cup_Matches[[#This Row],[Home Team Goals]]&gt;World_Cup_Matches[[#This Row],[Away Team Goals]],"Hime Win",IF(World_Cup_Matches[[#This Row],[Away Team Goals]]&gt;World_Cup_Matches[[#This Row],[Home Team Goals]],"Away win","Draw"))</f>
        <v>Draw</v>
      </c>
    </row>
    <row r="439" spans="1:24" x14ac:dyDescent="0.2">
      <c r="A439" s="19">
        <v>1990</v>
      </c>
      <c r="B439" s="15" t="s">
        <v>963</v>
      </c>
      <c r="C439" s="3" t="s">
        <v>607</v>
      </c>
      <c r="D439" s="3" t="s">
        <v>904</v>
      </c>
      <c r="E439" s="3" t="s">
        <v>905</v>
      </c>
      <c r="F439" s="3" t="s">
        <v>700</v>
      </c>
      <c r="G439" s="11">
        <v>0</v>
      </c>
      <c r="H439" s="11">
        <v>4</v>
      </c>
      <c r="I439" s="3" t="s">
        <v>332</v>
      </c>
      <c r="J439" s="3" t="s">
        <v>1842</v>
      </c>
      <c r="K439" s="3">
        <v>37307</v>
      </c>
      <c r="L439" s="11">
        <v>0</v>
      </c>
      <c r="M439" s="11">
        <v>2</v>
      </c>
      <c r="N439" s="3" t="s">
        <v>911</v>
      </c>
      <c r="O439" s="3" t="s">
        <v>965</v>
      </c>
      <c r="P439" s="3" t="s">
        <v>915</v>
      </c>
      <c r="Q439" s="11">
        <v>322</v>
      </c>
      <c r="R439" s="11">
        <v>111</v>
      </c>
      <c r="S439" s="3" t="s">
        <v>702</v>
      </c>
      <c r="T439" s="4" t="s">
        <v>335</v>
      </c>
      <c r="U439" s="11">
        <f>World_Cup_Matches[[#This Row],[Home Team Goals]]+World_Cup_Matches[[#This Row],[Away Team Goals]]</f>
        <v>4</v>
      </c>
      <c r="V439" s="11">
        <f>World_Cup_Matches[[#This Row],[Home Team Goals]]-World_Cup_Matches[[#This Row],[Away Team Goals]]</f>
        <v>-4</v>
      </c>
      <c r="W439" s="4" t="str">
        <f>IF(World_Cup_Matches[[#This Row],[Home Team Goals]]&gt;World_Cup_Matches[[#This Row],[Away Team Goals]],World_Cup_Matches[[#This Row],[Home Team Name]],IF(World_Cup_Matches[[#This Row],[Away Team Goals]]&gt;World_Cup_Matches[[#This Row],[Home Team Goals]], World_Cup_Matches[[#This Row],[Away Team Name]],"Draw"))</f>
        <v>Soviet Union</v>
      </c>
      <c r="X439" s="4" t="str">
        <f>IF(World_Cup_Matches[[#This Row],[Home Team Goals]]&gt;World_Cup_Matches[[#This Row],[Away Team Goals]],"Hime Win",IF(World_Cup_Matches[[#This Row],[Away Team Goals]]&gt;World_Cup_Matches[[#This Row],[Home Team Goals]],"Away win","Draw"))</f>
        <v>Away win</v>
      </c>
    </row>
    <row r="440" spans="1:24" x14ac:dyDescent="0.2">
      <c r="A440" s="19">
        <v>1990</v>
      </c>
      <c r="B440" s="15" t="s">
        <v>966</v>
      </c>
      <c r="C440" s="3" t="s">
        <v>811</v>
      </c>
      <c r="D440" s="3" t="s">
        <v>900</v>
      </c>
      <c r="E440" s="3" t="s">
        <v>107</v>
      </c>
      <c r="F440" s="3" t="s">
        <v>285</v>
      </c>
      <c r="G440" s="11">
        <v>1</v>
      </c>
      <c r="H440" s="11">
        <v>1</v>
      </c>
      <c r="I440" s="3" t="s">
        <v>390</v>
      </c>
      <c r="J440" s="3" t="s">
        <v>1842</v>
      </c>
      <c r="K440" s="3">
        <v>72510</v>
      </c>
      <c r="L440" s="11">
        <v>0</v>
      </c>
      <c r="M440" s="11">
        <v>0</v>
      </c>
      <c r="N440" s="3" t="s">
        <v>858</v>
      </c>
      <c r="O440" s="3" t="s">
        <v>923</v>
      </c>
      <c r="P440" s="3" t="s">
        <v>920</v>
      </c>
      <c r="Q440" s="11">
        <v>322</v>
      </c>
      <c r="R440" s="11">
        <v>114</v>
      </c>
      <c r="S440" s="3" t="s">
        <v>289</v>
      </c>
      <c r="T440" s="4" t="s">
        <v>394</v>
      </c>
      <c r="U440" s="11">
        <f>World_Cup_Matches[[#This Row],[Home Team Goals]]+World_Cup_Matches[[#This Row],[Away Team Goals]]</f>
        <v>2</v>
      </c>
      <c r="V440" s="11">
        <f>World_Cup_Matches[[#This Row],[Home Team Goals]]-World_Cup_Matches[[#This Row],[Away Team Goals]]</f>
        <v>0</v>
      </c>
      <c r="W440" s="4" t="str">
        <f>IF(World_Cup_Matches[[#This Row],[Home Team Goals]]&gt;World_Cup_Matches[[#This Row],[Away Team Goals]],World_Cup_Matches[[#This Row],[Home Team Name]],IF(World_Cup_Matches[[#This Row],[Away Team Goals]]&gt;World_Cup_Matches[[#This Row],[Home Team Goals]], World_Cup_Matches[[#This Row],[Away Team Name]],"Draw"))</f>
        <v>Draw</v>
      </c>
      <c r="X440" s="4" t="str">
        <f>IF(World_Cup_Matches[[#This Row],[Home Team Goals]]&gt;World_Cup_Matches[[#This Row],[Away Team Goals]],"Hime Win",IF(World_Cup_Matches[[#This Row],[Away Team Goals]]&gt;World_Cup_Matches[[#This Row],[Home Team Goals]],"Away win","Draw"))</f>
        <v>Draw</v>
      </c>
    </row>
    <row r="441" spans="1:24" x14ac:dyDescent="0.2">
      <c r="A441" s="19">
        <v>1990</v>
      </c>
      <c r="B441" s="15" t="s">
        <v>966</v>
      </c>
      <c r="C441" s="3" t="s">
        <v>811</v>
      </c>
      <c r="D441" s="3" t="s">
        <v>906</v>
      </c>
      <c r="E441" s="3" t="s">
        <v>116</v>
      </c>
      <c r="F441" s="3" t="s">
        <v>41</v>
      </c>
      <c r="G441" s="11">
        <v>4</v>
      </c>
      <c r="H441" s="11">
        <v>1</v>
      </c>
      <c r="I441" s="3" t="s">
        <v>907</v>
      </c>
      <c r="J441" s="3" t="s">
        <v>1842</v>
      </c>
      <c r="K441" s="3">
        <v>27833</v>
      </c>
      <c r="L441" s="11">
        <v>2</v>
      </c>
      <c r="M441" s="11">
        <v>1</v>
      </c>
      <c r="N441" s="3" t="s">
        <v>860</v>
      </c>
      <c r="O441" s="3" t="s">
        <v>922</v>
      </c>
      <c r="P441" s="3" t="s">
        <v>690</v>
      </c>
      <c r="Q441" s="11">
        <v>322</v>
      </c>
      <c r="R441" s="11">
        <v>364</v>
      </c>
      <c r="S441" s="3" t="s">
        <v>46</v>
      </c>
      <c r="T441" s="4" t="s">
        <v>908</v>
      </c>
      <c r="U441" s="11">
        <f>World_Cup_Matches[[#This Row],[Home Team Goals]]+World_Cup_Matches[[#This Row],[Away Team Goals]]</f>
        <v>5</v>
      </c>
      <c r="V441" s="11">
        <f>World_Cup_Matches[[#This Row],[Home Team Goals]]-World_Cup_Matches[[#This Row],[Away Team Goals]]</f>
        <v>3</v>
      </c>
      <c r="W441" s="4" t="str">
        <f>IF(World_Cup_Matches[[#This Row],[Home Team Goals]]&gt;World_Cup_Matches[[#This Row],[Away Team Goals]],World_Cup_Matches[[#This Row],[Home Team Name]],IF(World_Cup_Matches[[#This Row],[Away Team Goals]]&gt;World_Cup_Matches[[#This Row],[Home Team Goals]], World_Cup_Matches[[#This Row],[Away Team Name]],"Draw"))</f>
        <v>Yugoslavia</v>
      </c>
      <c r="X441" s="4" t="str">
        <f>IF(World_Cup_Matches[[#This Row],[Home Team Goals]]&gt;World_Cup_Matches[[#This Row],[Away Team Goals]],"Hime Win",IF(World_Cup_Matches[[#This Row],[Away Team Goals]]&gt;World_Cup_Matches[[#This Row],[Home Team Goals]],"Away win","Draw"))</f>
        <v>Hime Win</v>
      </c>
    </row>
    <row r="442" spans="1:24" x14ac:dyDescent="0.2">
      <c r="A442" s="19">
        <v>1990</v>
      </c>
      <c r="B442" s="15" t="s">
        <v>967</v>
      </c>
      <c r="C442" s="3" t="s">
        <v>609</v>
      </c>
      <c r="D442" s="3" t="s">
        <v>910</v>
      </c>
      <c r="E442" s="3" t="s">
        <v>137</v>
      </c>
      <c r="F442" s="3" t="s">
        <v>138</v>
      </c>
      <c r="G442" s="11">
        <v>2</v>
      </c>
      <c r="H442" s="11">
        <v>0</v>
      </c>
      <c r="I442" s="3" t="s">
        <v>145</v>
      </c>
      <c r="J442" s="3" t="s">
        <v>1842</v>
      </c>
      <c r="K442" s="3">
        <v>73303</v>
      </c>
      <c r="L442" s="11">
        <v>1</v>
      </c>
      <c r="M442" s="11">
        <v>0</v>
      </c>
      <c r="N442" s="3" t="s">
        <v>828</v>
      </c>
      <c r="O442" s="3" t="s">
        <v>916</v>
      </c>
      <c r="P442" s="3" t="s">
        <v>952</v>
      </c>
      <c r="Q442" s="11">
        <v>322</v>
      </c>
      <c r="R442" s="11">
        <v>263</v>
      </c>
      <c r="S442" s="3" t="s">
        <v>142</v>
      </c>
      <c r="T442" s="4" t="s">
        <v>148</v>
      </c>
      <c r="U442" s="11">
        <f>World_Cup_Matches[[#This Row],[Home Team Goals]]+World_Cup_Matches[[#This Row],[Away Team Goals]]</f>
        <v>2</v>
      </c>
      <c r="V442" s="11">
        <f>World_Cup_Matches[[#This Row],[Home Team Goals]]-World_Cup_Matches[[#This Row],[Away Team Goals]]</f>
        <v>2</v>
      </c>
      <c r="W442" s="4" t="str">
        <f>IF(World_Cup_Matches[[#This Row],[Home Team Goals]]&gt;World_Cup_Matches[[#This Row],[Away Team Goals]],World_Cup_Matches[[#This Row],[Home Team Name]],IF(World_Cup_Matches[[#This Row],[Away Team Goals]]&gt;World_Cup_Matches[[#This Row],[Home Team Goals]], World_Cup_Matches[[#This Row],[Away Team Name]],"Draw"))</f>
        <v>Italy</v>
      </c>
      <c r="X442" s="4" t="str">
        <f>IF(World_Cup_Matches[[#This Row],[Home Team Goals]]&gt;World_Cup_Matches[[#This Row],[Away Team Goals]],"Hime Win",IF(World_Cup_Matches[[#This Row],[Away Team Goals]]&gt;World_Cup_Matches[[#This Row],[Home Team Goals]],"Away win","Draw"))</f>
        <v>Hime Win</v>
      </c>
    </row>
    <row r="443" spans="1:24" x14ac:dyDescent="0.2">
      <c r="A443" s="19">
        <v>1990</v>
      </c>
      <c r="B443" s="15" t="s">
        <v>967</v>
      </c>
      <c r="C443" s="3" t="s">
        <v>609</v>
      </c>
      <c r="D443" s="3" t="s">
        <v>914</v>
      </c>
      <c r="E443" s="3" t="s">
        <v>123</v>
      </c>
      <c r="F443" s="3" t="s">
        <v>91</v>
      </c>
      <c r="G443" s="11">
        <v>2</v>
      </c>
      <c r="H443" s="11">
        <v>1</v>
      </c>
      <c r="I443" s="3" t="s">
        <v>33</v>
      </c>
      <c r="J443" s="3" t="s">
        <v>1842</v>
      </c>
      <c r="K443" s="3">
        <v>34857</v>
      </c>
      <c r="L443" s="11">
        <v>0</v>
      </c>
      <c r="M443" s="11">
        <v>0</v>
      </c>
      <c r="N443" s="3" t="s">
        <v>839</v>
      </c>
      <c r="O443" s="3" t="s">
        <v>953</v>
      </c>
      <c r="P443" s="3" t="s">
        <v>834</v>
      </c>
      <c r="Q443" s="11">
        <v>322</v>
      </c>
      <c r="R443" s="11">
        <v>48</v>
      </c>
      <c r="S443" s="3" t="s">
        <v>96</v>
      </c>
      <c r="T443" s="4" t="s">
        <v>33</v>
      </c>
      <c r="U443" s="11">
        <f>World_Cup_Matches[[#This Row],[Home Team Goals]]+World_Cup_Matches[[#This Row],[Away Team Goals]]</f>
        <v>3</v>
      </c>
      <c r="V443" s="11">
        <f>World_Cup_Matches[[#This Row],[Home Team Goals]]-World_Cup_Matches[[#This Row],[Away Team Goals]]</f>
        <v>1</v>
      </c>
      <c r="W443" s="4" t="str">
        <f>IF(World_Cup_Matches[[#This Row],[Home Team Goals]]&gt;World_Cup_Matches[[#This Row],[Away Team Goals]],World_Cup_Matches[[#This Row],[Home Team Name]],IF(World_Cup_Matches[[#This Row],[Away Team Goals]]&gt;World_Cup_Matches[[#This Row],[Home Team Goals]], World_Cup_Matches[[#This Row],[Away Team Name]],"Draw"))</f>
        <v>Austria</v>
      </c>
      <c r="X443" s="4" t="str">
        <f>IF(World_Cup_Matches[[#This Row],[Home Team Goals]]&gt;World_Cup_Matches[[#This Row],[Away Team Goals]],"Hime Win",IF(World_Cup_Matches[[#This Row],[Away Team Goals]]&gt;World_Cup_Matches[[#This Row],[Home Team Goals]],"Away win","Draw"))</f>
        <v>Hime Win</v>
      </c>
    </row>
    <row r="444" spans="1:24" x14ac:dyDescent="0.2">
      <c r="A444" s="19">
        <v>1990</v>
      </c>
      <c r="B444" s="15" t="s">
        <v>968</v>
      </c>
      <c r="C444" s="3" t="s">
        <v>805</v>
      </c>
      <c r="D444" s="3" t="s">
        <v>919</v>
      </c>
      <c r="E444" s="3" t="s">
        <v>90</v>
      </c>
      <c r="F444" s="3" t="s">
        <v>42</v>
      </c>
      <c r="G444" s="11">
        <v>1</v>
      </c>
      <c r="H444" s="11">
        <v>0</v>
      </c>
      <c r="I444" s="3" t="s">
        <v>272</v>
      </c>
      <c r="J444" s="3" t="s">
        <v>1842</v>
      </c>
      <c r="K444" s="3">
        <v>62502</v>
      </c>
      <c r="L444" s="11">
        <v>0</v>
      </c>
      <c r="M444" s="11">
        <v>0</v>
      </c>
      <c r="N444" s="3" t="s">
        <v>944</v>
      </c>
      <c r="O444" s="3" t="s">
        <v>902</v>
      </c>
      <c r="P444" s="3" t="s">
        <v>851</v>
      </c>
      <c r="Q444" s="11">
        <v>322</v>
      </c>
      <c r="R444" s="11">
        <v>74</v>
      </c>
      <c r="S444" s="3" t="s">
        <v>47</v>
      </c>
      <c r="T444" s="4" t="s">
        <v>275</v>
      </c>
      <c r="U444" s="11">
        <f>World_Cup_Matches[[#This Row],[Home Team Goals]]+World_Cup_Matches[[#This Row],[Away Team Goals]]</f>
        <v>1</v>
      </c>
      <c r="V444" s="11">
        <f>World_Cup_Matches[[#This Row],[Home Team Goals]]-World_Cup_Matches[[#This Row],[Away Team Goals]]</f>
        <v>1</v>
      </c>
      <c r="W444" s="4" t="str">
        <f>IF(World_Cup_Matches[[#This Row],[Home Team Goals]]&gt;World_Cup_Matches[[#This Row],[Away Team Goals]],World_Cup_Matches[[#This Row],[Home Team Name]],IF(World_Cup_Matches[[#This Row],[Away Team Goals]]&gt;World_Cup_Matches[[#This Row],[Home Team Goals]], World_Cup_Matches[[#This Row],[Away Team Name]],"Draw"))</f>
        <v>Brazil</v>
      </c>
      <c r="X444" s="4" t="str">
        <f>IF(World_Cup_Matches[[#This Row],[Home Team Goals]]&gt;World_Cup_Matches[[#This Row],[Away Team Goals]],"Hime Win",IF(World_Cup_Matches[[#This Row],[Away Team Goals]]&gt;World_Cup_Matches[[#This Row],[Home Team Goals]],"Away win","Draw"))</f>
        <v>Hime Win</v>
      </c>
    </row>
    <row r="445" spans="1:24" x14ac:dyDescent="0.2">
      <c r="A445" s="19">
        <v>1990</v>
      </c>
      <c r="B445" s="15" t="s">
        <v>968</v>
      </c>
      <c r="C445" s="3" t="s">
        <v>805</v>
      </c>
      <c r="D445" s="3" t="s">
        <v>129</v>
      </c>
      <c r="E445" s="3" t="s">
        <v>130</v>
      </c>
      <c r="F445" s="3" t="s">
        <v>117</v>
      </c>
      <c r="G445" s="11">
        <v>1</v>
      </c>
      <c r="H445" s="11">
        <v>2</v>
      </c>
      <c r="I445" s="3" t="s">
        <v>925</v>
      </c>
      <c r="J445" s="3" t="s">
        <v>1842</v>
      </c>
      <c r="K445" s="3">
        <v>30223</v>
      </c>
      <c r="L445" s="11">
        <v>1</v>
      </c>
      <c r="M445" s="11">
        <v>0</v>
      </c>
      <c r="N445" s="3" t="s">
        <v>834</v>
      </c>
      <c r="O445" s="3" t="s">
        <v>858</v>
      </c>
      <c r="P445" s="3" t="s">
        <v>818</v>
      </c>
      <c r="Q445" s="11">
        <v>322</v>
      </c>
      <c r="R445" s="11">
        <v>128</v>
      </c>
      <c r="S445" s="3" t="s">
        <v>121</v>
      </c>
      <c r="T445" s="4" t="s">
        <v>929</v>
      </c>
      <c r="U445" s="11">
        <f>World_Cup_Matches[[#This Row],[Home Team Goals]]+World_Cup_Matches[[#This Row],[Away Team Goals]]</f>
        <v>3</v>
      </c>
      <c r="V445" s="11">
        <f>World_Cup_Matches[[#This Row],[Home Team Goals]]-World_Cup_Matches[[#This Row],[Away Team Goals]]</f>
        <v>-1</v>
      </c>
      <c r="W445" s="4" t="str">
        <f>IF(World_Cup_Matches[[#This Row],[Home Team Goals]]&gt;World_Cup_Matches[[#This Row],[Away Team Goals]],World_Cup_Matches[[#This Row],[Home Team Name]],IF(World_Cup_Matches[[#This Row],[Away Team Goals]]&gt;World_Cup_Matches[[#This Row],[Home Team Goals]], World_Cup_Matches[[#This Row],[Away Team Name]],"Draw"))</f>
        <v>Costa Rica</v>
      </c>
      <c r="X445" s="4" t="str">
        <f>IF(World_Cup_Matches[[#This Row],[Home Team Goals]]&gt;World_Cup_Matches[[#This Row],[Away Team Goals]],"Hime Win",IF(World_Cup_Matches[[#This Row],[Away Team Goals]]&gt;World_Cup_Matches[[#This Row],[Home Team Goals]],"Away win","Draw"))</f>
        <v>Away win</v>
      </c>
    </row>
    <row r="446" spans="1:24" x14ac:dyDescent="0.2">
      <c r="A446" s="19">
        <v>1990</v>
      </c>
      <c r="B446" s="15" t="s">
        <v>969</v>
      </c>
      <c r="C446" s="3" t="s">
        <v>846</v>
      </c>
      <c r="D446" s="3" t="s">
        <v>970</v>
      </c>
      <c r="E446" s="3" t="s">
        <v>943</v>
      </c>
      <c r="F446" s="3" t="s">
        <v>291</v>
      </c>
      <c r="G446" s="11">
        <v>0</v>
      </c>
      <c r="H446" s="11">
        <v>1</v>
      </c>
      <c r="I446" s="3" t="s">
        <v>72</v>
      </c>
      <c r="J446" s="3" t="s">
        <v>1842</v>
      </c>
      <c r="K446" s="3">
        <v>29039</v>
      </c>
      <c r="L446" s="11">
        <v>0</v>
      </c>
      <c r="M446" s="11">
        <v>0</v>
      </c>
      <c r="N446" s="3" t="s">
        <v>920</v>
      </c>
      <c r="O446" s="3" t="s">
        <v>949</v>
      </c>
      <c r="P446" s="3" t="s">
        <v>921</v>
      </c>
      <c r="Q446" s="11">
        <v>322</v>
      </c>
      <c r="R446" s="11">
        <v>290</v>
      </c>
      <c r="S446" s="3" t="s">
        <v>295</v>
      </c>
      <c r="T446" s="4" t="s">
        <v>73</v>
      </c>
      <c r="U446" s="11">
        <f>World_Cup_Matches[[#This Row],[Home Team Goals]]+World_Cup_Matches[[#This Row],[Away Team Goals]]</f>
        <v>1</v>
      </c>
      <c r="V446" s="11">
        <f>World_Cup_Matches[[#This Row],[Home Team Goals]]-World_Cup_Matches[[#This Row],[Away Team Goals]]</f>
        <v>-1</v>
      </c>
      <c r="W446" s="4" t="str">
        <f>IF(World_Cup_Matches[[#This Row],[Home Team Goals]]&gt;World_Cup_Matches[[#This Row],[Away Team Goals]],World_Cup_Matches[[#This Row],[Home Team Name]],IF(World_Cup_Matches[[#This Row],[Away Team Goals]]&gt;World_Cup_Matches[[#This Row],[Home Team Goals]], World_Cup_Matches[[#This Row],[Away Team Name]],"Draw"))</f>
        <v>Uruguay</v>
      </c>
      <c r="X446" s="4" t="str">
        <f>IF(World_Cup_Matches[[#This Row],[Home Team Goals]]&gt;World_Cup_Matches[[#This Row],[Away Team Goals]],"Hime Win",IF(World_Cup_Matches[[#This Row],[Away Team Goals]]&gt;World_Cup_Matches[[#This Row],[Home Team Goals]],"Away win","Draw"))</f>
        <v>Away win</v>
      </c>
    </row>
    <row r="447" spans="1:24" x14ac:dyDescent="0.2">
      <c r="A447" s="19">
        <v>1990</v>
      </c>
      <c r="B447" s="15" t="s">
        <v>969</v>
      </c>
      <c r="C447" s="3" t="s">
        <v>846</v>
      </c>
      <c r="D447" s="3" t="s">
        <v>936</v>
      </c>
      <c r="E447" s="3" t="s">
        <v>937</v>
      </c>
      <c r="F447" s="3" t="s">
        <v>34</v>
      </c>
      <c r="G447" s="11">
        <v>1</v>
      </c>
      <c r="H447" s="11">
        <v>2</v>
      </c>
      <c r="I447" s="3" t="s">
        <v>131</v>
      </c>
      <c r="J447" s="3" t="s">
        <v>1842</v>
      </c>
      <c r="K447" s="3">
        <v>35950</v>
      </c>
      <c r="L447" s="11">
        <v>1</v>
      </c>
      <c r="M447" s="11">
        <v>2</v>
      </c>
      <c r="N447" s="3" t="s">
        <v>926</v>
      </c>
      <c r="O447" s="3" t="s">
        <v>927</v>
      </c>
      <c r="P447" s="3" t="s">
        <v>901</v>
      </c>
      <c r="Q447" s="11">
        <v>322</v>
      </c>
      <c r="R447" s="11">
        <v>56</v>
      </c>
      <c r="S447" s="3" t="s">
        <v>38</v>
      </c>
      <c r="T447" s="4" t="s">
        <v>135</v>
      </c>
      <c r="U447" s="11">
        <f>World_Cup_Matches[[#This Row],[Home Team Goals]]+World_Cup_Matches[[#This Row],[Away Team Goals]]</f>
        <v>3</v>
      </c>
      <c r="V447" s="11">
        <f>World_Cup_Matches[[#This Row],[Home Team Goals]]-World_Cup_Matches[[#This Row],[Away Team Goals]]</f>
        <v>-1</v>
      </c>
      <c r="W447" s="4" t="str">
        <f>IF(World_Cup_Matches[[#This Row],[Home Team Goals]]&gt;World_Cup_Matches[[#This Row],[Away Team Goals]],World_Cup_Matches[[#This Row],[Home Team Name]],IF(World_Cup_Matches[[#This Row],[Away Team Goals]]&gt;World_Cup_Matches[[#This Row],[Home Team Goals]], World_Cup_Matches[[#This Row],[Away Team Name]],"Draw"))</f>
        <v>Spain</v>
      </c>
      <c r="X447" s="4" t="str">
        <f>IF(World_Cup_Matches[[#This Row],[Home Team Goals]]&gt;World_Cup_Matches[[#This Row],[Away Team Goals]],"Hime Win",IF(World_Cup_Matches[[#This Row],[Away Team Goals]]&gt;World_Cup_Matches[[#This Row],[Home Team Goals]],"Away win","Draw"))</f>
        <v>Away win</v>
      </c>
    </row>
    <row r="448" spans="1:24" x14ac:dyDescent="0.2">
      <c r="A448" s="19">
        <v>1990</v>
      </c>
      <c r="B448" s="15" t="s">
        <v>971</v>
      </c>
      <c r="C448" s="3" t="s">
        <v>824</v>
      </c>
      <c r="D448" s="3" t="s">
        <v>939</v>
      </c>
      <c r="E448" s="3" t="s">
        <v>940</v>
      </c>
      <c r="F448" s="3" t="s">
        <v>933</v>
      </c>
      <c r="G448" s="11">
        <v>1</v>
      </c>
      <c r="H448" s="11">
        <v>1</v>
      </c>
      <c r="I448" s="3" t="s">
        <v>109</v>
      </c>
      <c r="J448" s="3" t="s">
        <v>1842</v>
      </c>
      <c r="K448" s="3">
        <v>33288</v>
      </c>
      <c r="L448" s="11">
        <v>0</v>
      </c>
      <c r="M448" s="11">
        <v>1</v>
      </c>
      <c r="N448" s="3" t="s">
        <v>690</v>
      </c>
      <c r="O448" s="3" t="s">
        <v>953</v>
      </c>
      <c r="P448" s="3" t="s">
        <v>958</v>
      </c>
      <c r="Q448" s="11">
        <v>322</v>
      </c>
      <c r="R448" s="11">
        <v>228</v>
      </c>
      <c r="S448" s="3" t="s">
        <v>934</v>
      </c>
      <c r="T448" s="4" t="s">
        <v>114</v>
      </c>
      <c r="U448" s="11">
        <f>World_Cup_Matches[[#This Row],[Home Team Goals]]+World_Cup_Matches[[#This Row],[Away Team Goals]]</f>
        <v>2</v>
      </c>
      <c r="V448" s="11">
        <f>World_Cup_Matches[[#This Row],[Home Team Goals]]-World_Cup_Matches[[#This Row],[Away Team Goals]]</f>
        <v>0</v>
      </c>
      <c r="W448" s="4" t="str">
        <f>IF(World_Cup_Matches[[#This Row],[Home Team Goals]]&gt;World_Cup_Matches[[#This Row],[Away Team Goals]],World_Cup_Matches[[#This Row],[Home Team Name]],IF(World_Cup_Matches[[#This Row],[Away Team Goals]]&gt;World_Cup_Matches[[#This Row],[Home Team Goals]], World_Cup_Matches[[#This Row],[Away Team Name]],"Draw"))</f>
        <v>Draw</v>
      </c>
      <c r="X448" s="4" t="str">
        <f>IF(World_Cup_Matches[[#This Row],[Home Team Goals]]&gt;World_Cup_Matches[[#This Row],[Away Team Goals]],"Hime Win",IF(World_Cup_Matches[[#This Row],[Away Team Goals]]&gt;World_Cup_Matches[[#This Row],[Home Team Goals]],"Away win","Draw"))</f>
        <v>Draw</v>
      </c>
    </row>
    <row r="449" spans="1:24" x14ac:dyDescent="0.2">
      <c r="A449" s="19">
        <v>1990</v>
      </c>
      <c r="B449" s="15" t="s">
        <v>971</v>
      </c>
      <c r="C449" s="3" t="s">
        <v>824</v>
      </c>
      <c r="D449" s="3" t="s">
        <v>931</v>
      </c>
      <c r="E449" s="3" t="s">
        <v>932</v>
      </c>
      <c r="F449" s="3" t="s">
        <v>223</v>
      </c>
      <c r="G449" s="11">
        <v>1</v>
      </c>
      <c r="H449" s="11">
        <v>0</v>
      </c>
      <c r="I449" s="3" t="s">
        <v>100</v>
      </c>
      <c r="J449" s="3" t="s">
        <v>1842</v>
      </c>
      <c r="K449" s="3">
        <v>34959</v>
      </c>
      <c r="L449" s="11">
        <v>0</v>
      </c>
      <c r="M449" s="11">
        <v>0</v>
      </c>
      <c r="N449" s="3" t="s">
        <v>915</v>
      </c>
      <c r="O449" s="3" t="s">
        <v>808</v>
      </c>
      <c r="P449" s="3" t="s">
        <v>802</v>
      </c>
      <c r="Q449" s="11">
        <v>322</v>
      </c>
      <c r="R449" s="11">
        <v>150</v>
      </c>
      <c r="S449" s="3" t="s">
        <v>227</v>
      </c>
      <c r="T449" s="4" t="s">
        <v>105</v>
      </c>
      <c r="U449" s="11">
        <f>World_Cup_Matches[[#This Row],[Home Team Goals]]+World_Cup_Matches[[#This Row],[Away Team Goals]]</f>
        <v>1</v>
      </c>
      <c r="V449" s="11">
        <f>World_Cup_Matches[[#This Row],[Home Team Goals]]-World_Cup_Matches[[#This Row],[Away Team Goals]]</f>
        <v>1</v>
      </c>
      <c r="W449" s="4" t="str">
        <f>IF(World_Cup_Matches[[#This Row],[Home Team Goals]]&gt;World_Cup_Matches[[#This Row],[Away Team Goals]],World_Cup_Matches[[#This Row],[Home Team Name]],IF(World_Cup_Matches[[#This Row],[Away Team Goals]]&gt;World_Cup_Matches[[#This Row],[Home Team Goals]], World_Cup_Matches[[#This Row],[Away Team Name]],"Draw"))</f>
        <v>England</v>
      </c>
      <c r="X449" s="4" t="str">
        <f>IF(World_Cup_Matches[[#This Row],[Home Team Goals]]&gt;World_Cup_Matches[[#This Row],[Away Team Goals]],"Hime Win",IF(World_Cup_Matches[[#This Row],[Away Team Goals]]&gt;World_Cup_Matches[[#This Row],[Home Team Goals]],"Away win","Draw"))</f>
        <v>Hime Win</v>
      </c>
    </row>
    <row r="450" spans="1:24" x14ac:dyDescent="0.2">
      <c r="A450" s="19">
        <v>1990</v>
      </c>
      <c r="B450" s="15" t="s">
        <v>972</v>
      </c>
      <c r="C450" s="3" t="s">
        <v>878</v>
      </c>
      <c r="D450" s="3" t="s">
        <v>947</v>
      </c>
      <c r="E450" s="3" t="s">
        <v>98</v>
      </c>
      <c r="F450" s="3" t="s">
        <v>700</v>
      </c>
      <c r="G450" s="11">
        <v>2</v>
      </c>
      <c r="H450" s="11">
        <v>1</v>
      </c>
      <c r="I450" s="3" t="s">
        <v>390</v>
      </c>
      <c r="J450" s="3" t="s">
        <v>973</v>
      </c>
      <c r="K450" s="3">
        <v>50026</v>
      </c>
      <c r="L450" s="11">
        <v>0</v>
      </c>
      <c r="M450" s="11">
        <v>0</v>
      </c>
      <c r="N450" s="3" t="s">
        <v>920</v>
      </c>
      <c r="O450" s="3" t="s">
        <v>839</v>
      </c>
      <c r="P450" s="3" t="s">
        <v>808</v>
      </c>
      <c r="Q450" s="11">
        <v>323</v>
      </c>
      <c r="R450" s="11">
        <v>102</v>
      </c>
      <c r="S450" s="3" t="s">
        <v>702</v>
      </c>
      <c r="T450" s="4" t="s">
        <v>394</v>
      </c>
      <c r="U450" s="11">
        <f>World_Cup_Matches[[#This Row],[Home Team Goals]]+World_Cup_Matches[[#This Row],[Away Team Goals]]</f>
        <v>3</v>
      </c>
      <c r="V450" s="11">
        <f>World_Cup_Matches[[#This Row],[Home Team Goals]]-World_Cup_Matches[[#This Row],[Away Team Goals]]</f>
        <v>1</v>
      </c>
      <c r="W450" s="4" t="str">
        <f>IF(World_Cup_Matches[[#This Row],[Home Team Goals]]&gt;World_Cup_Matches[[#This Row],[Away Team Goals]],World_Cup_Matches[[#This Row],[Home Team Name]],IF(World_Cup_Matches[[#This Row],[Away Team Goals]]&gt;World_Cup_Matches[[#This Row],[Home Team Goals]], World_Cup_Matches[[#This Row],[Away Team Name]],"Draw"))</f>
        <v>Cameroon</v>
      </c>
      <c r="X450" s="4" t="str">
        <f>IF(World_Cup_Matches[[#This Row],[Home Team Goals]]&gt;World_Cup_Matches[[#This Row],[Away Team Goals]],"Hime Win",IF(World_Cup_Matches[[#This Row],[Away Team Goals]]&gt;World_Cup_Matches[[#This Row],[Home Team Goals]],"Away win","Draw"))</f>
        <v>Hime Win</v>
      </c>
    </row>
    <row r="451" spans="1:24" x14ac:dyDescent="0.2">
      <c r="A451" s="19">
        <v>1990</v>
      </c>
      <c r="B451" s="15" t="s">
        <v>974</v>
      </c>
      <c r="C451" s="3" t="s">
        <v>878</v>
      </c>
      <c r="D451" s="3" t="s">
        <v>904</v>
      </c>
      <c r="E451" s="3" t="s">
        <v>905</v>
      </c>
      <c r="F451" s="3" t="s">
        <v>145</v>
      </c>
      <c r="G451" s="11">
        <v>4</v>
      </c>
      <c r="H451" s="11">
        <v>1</v>
      </c>
      <c r="I451" s="3" t="s">
        <v>925</v>
      </c>
      <c r="J451" s="3" t="s">
        <v>1842</v>
      </c>
      <c r="K451" s="3">
        <v>47673</v>
      </c>
      <c r="L451" s="11">
        <v>1</v>
      </c>
      <c r="M451" s="11">
        <v>0</v>
      </c>
      <c r="N451" s="3" t="s">
        <v>851</v>
      </c>
      <c r="O451" s="3" t="s">
        <v>912</v>
      </c>
      <c r="P451" s="3" t="s">
        <v>965</v>
      </c>
      <c r="Q451" s="11">
        <v>323</v>
      </c>
      <c r="R451" s="11">
        <v>129</v>
      </c>
      <c r="S451" s="3" t="s">
        <v>148</v>
      </c>
      <c r="T451" s="4" t="s">
        <v>929</v>
      </c>
      <c r="U451" s="11">
        <f>World_Cup_Matches[[#This Row],[Home Team Goals]]+World_Cup_Matches[[#This Row],[Away Team Goals]]</f>
        <v>5</v>
      </c>
      <c r="V451" s="11">
        <f>World_Cup_Matches[[#This Row],[Home Team Goals]]-World_Cup_Matches[[#This Row],[Away Team Goals]]</f>
        <v>3</v>
      </c>
      <c r="W451" s="4" t="str">
        <f>IF(World_Cup_Matches[[#This Row],[Home Team Goals]]&gt;World_Cup_Matches[[#This Row],[Away Team Goals]],World_Cup_Matches[[#This Row],[Home Team Name]],IF(World_Cup_Matches[[#This Row],[Away Team Goals]]&gt;World_Cup_Matches[[#This Row],[Home Team Goals]], World_Cup_Matches[[#This Row],[Away Team Name]],"Draw"))</f>
        <v>Czechoslovakia</v>
      </c>
      <c r="X451" s="4" t="str">
        <f>IF(World_Cup_Matches[[#This Row],[Home Team Goals]]&gt;World_Cup_Matches[[#This Row],[Away Team Goals]],"Hime Win",IF(World_Cup_Matches[[#This Row],[Away Team Goals]]&gt;World_Cup_Matches[[#This Row],[Home Team Goals]],"Away win","Draw"))</f>
        <v>Hime Win</v>
      </c>
    </row>
    <row r="452" spans="1:24" x14ac:dyDescent="0.2">
      <c r="A452" s="19">
        <v>1990</v>
      </c>
      <c r="B452" s="15" t="s">
        <v>975</v>
      </c>
      <c r="C452" s="3" t="s">
        <v>878</v>
      </c>
      <c r="D452" s="3" t="s">
        <v>919</v>
      </c>
      <c r="E452" s="3" t="s">
        <v>90</v>
      </c>
      <c r="F452" s="3" t="s">
        <v>42</v>
      </c>
      <c r="G452" s="11">
        <v>0</v>
      </c>
      <c r="H452" s="11">
        <v>1</v>
      </c>
      <c r="I452" s="3" t="s">
        <v>56</v>
      </c>
      <c r="J452" s="3" t="s">
        <v>1842</v>
      </c>
      <c r="K452" s="3">
        <v>61381</v>
      </c>
      <c r="L452" s="11">
        <v>0</v>
      </c>
      <c r="M452" s="11">
        <v>0</v>
      </c>
      <c r="N452" s="3" t="s">
        <v>828</v>
      </c>
      <c r="O452" s="3" t="s">
        <v>945</v>
      </c>
      <c r="P452" s="3" t="s">
        <v>955</v>
      </c>
      <c r="Q452" s="11">
        <v>323</v>
      </c>
      <c r="R452" s="11">
        <v>25</v>
      </c>
      <c r="S452" s="3" t="s">
        <v>47</v>
      </c>
      <c r="T452" s="4" t="s">
        <v>59</v>
      </c>
      <c r="U452" s="11">
        <f>World_Cup_Matches[[#This Row],[Home Team Goals]]+World_Cup_Matches[[#This Row],[Away Team Goals]]</f>
        <v>1</v>
      </c>
      <c r="V452" s="11">
        <f>World_Cup_Matches[[#This Row],[Home Team Goals]]-World_Cup_Matches[[#This Row],[Away Team Goals]]</f>
        <v>-1</v>
      </c>
      <c r="W452" s="4" t="str">
        <f>IF(World_Cup_Matches[[#This Row],[Home Team Goals]]&gt;World_Cup_Matches[[#This Row],[Away Team Goals]],World_Cup_Matches[[#This Row],[Home Team Name]],IF(World_Cup_Matches[[#This Row],[Away Team Goals]]&gt;World_Cup_Matches[[#This Row],[Home Team Goals]], World_Cup_Matches[[#This Row],[Away Team Name]],"Draw"))</f>
        <v>Argentina</v>
      </c>
      <c r="X452" s="4" t="str">
        <f>IF(World_Cup_Matches[[#This Row],[Home Team Goals]]&gt;World_Cup_Matches[[#This Row],[Away Team Goals]],"Hime Win",IF(World_Cup_Matches[[#This Row],[Away Team Goals]]&gt;World_Cup_Matches[[#This Row],[Home Team Goals]],"Away win","Draw"))</f>
        <v>Away win</v>
      </c>
    </row>
    <row r="453" spans="1:24" x14ac:dyDescent="0.2">
      <c r="A453" s="19">
        <v>1990</v>
      </c>
      <c r="B453" s="15" t="s">
        <v>976</v>
      </c>
      <c r="C453" s="3" t="s">
        <v>878</v>
      </c>
      <c r="D453" s="3" t="s">
        <v>900</v>
      </c>
      <c r="E453" s="3" t="s">
        <v>107</v>
      </c>
      <c r="F453" s="3" t="s">
        <v>285</v>
      </c>
      <c r="G453" s="11">
        <v>2</v>
      </c>
      <c r="H453" s="11">
        <v>1</v>
      </c>
      <c r="I453" s="3" t="s">
        <v>109</v>
      </c>
      <c r="J453" s="3" t="s">
        <v>1842</v>
      </c>
      <c r="K453" s="3">
        <v>74559</v>
      </c>
      <c r="L453" s="11">
        <v>0</v>
      </c>
      <c r="M453" s="11">
        <v>0</v>
      </c>
      <c r="N453" s="3" t="s">
        <v>926</v>
      </c>
      <c r="O453" s="3" t="s">
        <v>928</v>
      </c>
      <c r="P453" s="3" t="s">
        <v>901</v>
      </c>
      <c r="Q453" s="11">
        <v>323</v>
      </c>
      <c r="R453" s="11">
        <v>196</v>
      </c>
      <c r="S453" s="3" t="s">
        <v>289</v>
      </c>
      <c r="T453" s="4" t="s">
        <v>114</v>
      </c>
      <c r="U453" s="11">
        <f>World_Cup_Matches[[#This Row],[Home Team Goals]]+World_Cup_Matches[[#This Row],[Away Team Goals]]</f>
        <v>3</v>
      </c>
      <c r="V453" s="11">
        <f>World_Cup_Matches[[#This Row],[Home Team Goals]]-World_Cup_Matches[[#This Row],[Away Team Goals]]</f>
        <v>1</v>
      </c>
      <c r="W453" s="4" t="str">
        <f>IF(World_Cup_Matches[[#This Row],[Home Team Goals]]&gt;World_Cup_Matches[[#This Row],[Away Team Goals]],World_Cup_Matches[[#This Row],[Home Team Name]],IF(World_Cup_Matches[[#This Row],[Away Team Goals]]&gt;World_Cup_Matches[[#This Row],[Home Team Goals]], World_Cup_Matches[[#This Row],[Away Team Name]],"Draw"))</f>
        <v>Germany FR</v>
      </c>
      <c r="X453" s="4" t="str">
        <f>IF(World_Cup_Matches[[#This Row],[Home Team Goals]]&gt;World_Cup_Matches[[#This Row],[Away Team Goals]],"Hime Win",IF(World_Cup_Matches[[#This Row],[Away Team Goals]]&gt;World_Cup_Matches[[#This Row],[Home Team Goals]],"Away win","Draw"))</f>
        <v>Hime Win</v>
      </c>
    </row>
    <row r="454" spans="1:24" x14ac:dyDescent="0.2">
      <c r="A454" s="19">
        <v>1990</v>
      </c>
      <c r="B454" s="15" t="s">
        <v>977</v>
      </c>
      <c r="C454" s="3" t="s">
        <v>878</v>
      </c>
      <c r="D454" s="3" t="s">
        <v>129</v>
      </c>
      <c r="E454" s="3" t="s">
        <v>130</v>
      </c>
      <c r="F454" s="3" t="s">
        <v>933</v>
      </c>
      <c r="G454" s="11">
        <v>0</v>
      </c>
      <c r="H454" s="11">
        <v>0</v>
      </c>
      <c r="I454" s="3" t="s">
        <v>50</v>
      </c>
      <c r="J454" s="3" t="s">
        <v>978</v>
      </c>
      <c r="K454" s="3">
        <v>31818</v>
      </c>
      <c r="L454" s="11">
        <v>0</v>
      </c>
      <c r="M454" s="11">
        <v>0</v>
      </c>
      <c r="N454" s="3" t="s">
        <v>911</v>
      </c>
      <c r="O454" s="3" t="s">
        <v>927</v>
      </c>
      <c r="P454" s="3" t="s">
        <v>923</v>
      </c>
      <c r="Q454" s="11">
        <v>323</v>
      </c>
      <c r="R454" s="11">
        <v>248</v>
      </c>
      <c r="S454" s="3" t="s">
        <v>934</v>
      </c>
      <c r="T454" s="4" t="s">
        <v>53</v>
      </c>
      <c r="U454" s="11">
        <f>World_Cup_Matches[[#This Row],[Home Team Goals]]+World_Cup_Matches[[#This Row],[Away Team Goals]]</f>
        <v>0</v>
      </c>
      <c r="V454" s="11">
        <f>World_Cup_Matches[[#This Row],[Home Team Goals]]-World_Cup_Matches[[#This Row],[Away Team Goals]]</f>
        <v>0</v>
      </c>
      <c r="W454" s="4" t="str">
        <f>IF(World_Cup_Matches[[#This Row],[Home Team Goals]]&gt;World_Cup_Matches[[#This Row],[Away Team Goals]],World_Cup_Matches[[#This Row],[Home Team Name]],IF(World_Cup_Matches[[#This Row],[Away Team Goals]]&gt;World_Cup_Matches[[#This Row],[Home Team Goals]], World_Cup_Matches[[#This Row],[Away Team Name]],"Draw"))</f>
        <v>Draw</v>
      </c>
      <c r="X454" s="4" t="str">
        <f>IF(World_Cup_Matches[[#This Row],[Home Team Goals]]&gt;World_Cup_Matches[[#This Row],[Away Team Goals]],"Hime Win",IF(World_Cup_Matches[[#This Row],[Away Team Goals]]&gt;World_Cup_Matches[[#This Row],[Home Team Goals]],"Away win","Draw"))</f>
        <v>Draw</v>
      </c>
    </row>
    <row r="455" spans="1:24" x14ac:dyDescent="0.2">
      <c r="A455" s="19">
        <v>1990</v>
      </c>
      <c r="B455" s="15" t="s">
        <v>979</v>
      </c>
      <c r="C455" s="3" t="s">
        <v>878</v>
      </c>
      <c r="D455" s="3" t="s">
        <v>910</v>
      </c>
      <c r="E455" s="3" t="s">
        <v>137</v>
      </c>
      <c r="F455" s="3" t="s">
        <v>138</v>
      </c>
      <c r="G455" s="11">
        <v>2</v>
      </c>
      <c r="H455" s="11">
        <v>0</v>
      </c>
      <c r="I455" s="3" t="s">
        <v>72</v>
      </c>
      <c r="J455" s="3" t="s">
        <v>1842</v>
      </c>
      <c r="K455" s="3">
        <v>73303</v>
      </c>
      <c r="L455" s="11">
        <v>0</v>
      </c>
      <c r="M455" s="11">
        <v>0</v>
      </c>
      <c r="N455" s="3" t="s">
        <v>818</v>
      </c>
      <c r="O455" s="3" t="s">
        <v>915</v>
      </c>
      <c r="P455" s="3" t="s">
        <v>834</v>
      </c>
      <c r="Q455" s="11">
        <v>323</v>
      </c>
      <c r="R455" s="11">
        <v>264</v>
      </c>
      <c r="S455" s="3" t="s">
        <v>142</v>
      </c>
      <c r="T455" s="4" t="s">
        <v>73</v>
      </c>
      <c r="U455" s="11">
        <f>World_Cup_Matches[[#This Row],[Home Team Goals]]+World_Cup_Matches[[#This Row],[Away Team Goals]]</f>
        <v>2</v>
      </c>
      <c r="V455" s="11">
        <f>World_Cup_Matches[[#This Row],[Home Team Goals]]-World_Cup_Matches[[#This Row],[Away Team Goals]]</f>
        <v>2</v>
      </c>
      <c r="W455" s="4" t="str">
        <f>IF(World_Cup_Matches[[#This Row],[Home Team Goals]]&gt;World_Cup_Matches[[#This Row],[Away Team Goals]],World_Cup_Matches[[#This Row],[Home Team Name]],IF(World_Cup_Matches[[#This Row],[Away Team Goals]]&gt;World_Cup_Matches[[#This Row],[Home Team Goals]], World_Cup_Matches[[#This Row],[Away Team Name]],"Draw"))</f>
        <v>Italy</v>
      </c>
      <c r="X455" s="4" t="str">
        <f>IF(World_Cup_Matches[[#This Row],[Home Team Goals]]&gt;World_Cup_Matches[[#This Row],[Away Team Goals]],"Hime Win",IF(World_Cup_Matches[[#This Row],[Away Team Goals]]&gt;World_Cup_Matches[[#This Row],[Home Team Goals]],"Away win","Draw"))</f>
        <v>Hime Win</v>
      </c>
    </row>
    <row r="456" spans="1:24" x14ac:dyDescent="0.2">
      <c r="A456" s="19">
        <v>1990</v>
      </c>
      <c r="B456" s="15" t="s">
        <v>980</v>
      </c>
      <c r="C456" s="3" t="s">
        <v>878</v>
      </c>
      <c r="D456" s="3" t="s">
        <v>936</v>
      </c>
      <c r="E456" s="3" t="s">
        <v>937</v>
      </c>
      <c r="F456" s="3" t="s">
        <v>131</v>
      </c>
      <c r="G456" s="11">
        <v>1</v>
      </c>
      <c r="H456" s="11">
        <v>2</v>
      </c>
      <c r="I456" s="3" t="s">
        <v>41</v>
      </c>
      <c r="J456" s="3" t="s">
        <v>981</v>
      </c>
      <c r="K456" s="3">
        <v>35500</v>
      </c>
      <c r="L456" s="11">
        <v>0</v>
      </c>
      <c r="M456" s="11">
        <v>0</v>
      </c>
      <c r="N456" s="3" t="s">
        <v>917</v>
      </c>
      <c r="O456" s="3" t="s">
        <v>858</v>
      </c>
      <c r="P456" s="3" t="s">
        <v>902</v>
      </c>
      <c r="Q456" s="11">
        <v>323</v>
      </c>
      <c r="R456" s="11">
        <v>181</v>
      </c>
      <c r="S456" s="3" t="s">
        <v>135</v>
      </c>
      <c r="T456" s="4" t="s">
        <v>46</v>
      </c>
      <c r="U456" s="11">
        <f>World_Cup_Matches[[#This Row],[Home Team Goals]]+World_Cup_Matches[[#This Row],[Away Team Goals]]</f>
        <v>3</v>
      </c>
      <c r="V456" s="11">
        <f>World_Cup_Matches[[#This Row],[Home Team Goals]]-World_Cup_Matches[[#This Row],[Away Team Goals]]</f>
        <v>-1</v>
      </c>
      <c r="W456" s="4" t="str">
        <f>IF(World_Cup_Matches[[#This Row],[Home Team Goals]]&gt;World_Cup_Matches[[#This Row],[Away Team Goals]],World_Cup_Matches[[#This Row],[Home Team Name]],IF(World_Cup_Matches[[#This Row],[Away Team Goals]]&gt;World_Cup_Matches[[#This Row],[Home Team Goals]], World_Cup_Matches[[#This Row],[Away Team Name]],"Draw"))</f>
        <v>Yugoslavia</v>
      </c>
      <c r="X456" s="4" t="str">
        <f>IF(World_Cup_Matches[[#This Row],[Home Team Goals]]&gt;World_Cup_Matches[[#This Row],[Away Team Goals]],"Hime Win",IF(World_Cup_Matches[[#This Row],[Away Team Goals]]&gt;World_Cup_Matches[[#This Row],[Home Team Goals]],"Away win","Draw"))</f>
        <v>Away win</v>
      </c>
    </row>
    <row r="457" spans="1:24" x14ac:dyDescent="0.2">
      <c r="A457" s="19">
        <v>1990</v>
      </c>
      <c r="B457" s="15" t="s">
        <v>982</v>
      </c>
      <c r="C457" s="3" t="s">
        <v>878</v>
      </c>
      <c r="D457" s="3" t="s">
        <v>906</v>
      </c>
      <c r="E457" s="3" t="s">
        <v>116</v>
      </c>
      <c r="F457" s="3" t="s">
        <v>223</v>
      </c>
      <c r="G457" s="11">
        <v>1</v>
      </c>
      <c r="H457" s="11">
        <v>0</v>
      </c>
      <c r="I457" s="3" t="s">
        <v>34</v>
      </c>
      <c r="J457" s="3" t="s">
        <v>488</v>
      </c>
      <c r="K457" s="3">
        <v>34520</v>
      </c>
      <c r="L457" s="11">
        <v>0</v>
      </c>
      <c r="M457" s="11">
        <v>0</v>
      </c>
      <c r="N457" s="3" t="s">
        <v>922</v>
      </c>
      <c r="O457" s="3" t="s">
        <v>944</v>
      </c>
      <c r="P457" s="3" t="s">
        <v>860</v>
      </c>
      <c r="Q457" s="11">
        <v>323</v>
      </c>
      <c r="R457" s="11">
        <v>55</v>
      </c>
      <c r="S457" s="3" t="s">
        <v>227</v>
      </c>
      <c r="T457" s="4" t="s">
        <v>38</v>
      </c>
      <c r="U457" s="11">
        <f>World_Cup_Matches[[#This Row],[Home Team Goals]]+World_Cup_Matches[[#This Row],[Away Team Goals]]</f>
        <v>1</v>
      </c>
      <c r="V457" s="11">
        <f>World_Cup_Matches[[#This Row],[Home Team Goals]]-World_Cup_Matches[[#This Row],[Away Team Goals]]</f>
        <v>1</v>
      </c>
      <c r="W457" s="4" t="str">
        <f>IF(World_Cup_Matches[[#This Row],[Home Team Goals]]&gt;World_Cup_Matches[[#This Row],[Away Team Goals]],World_Cup_Matches[[#This Row],[Home Team Name]],IF(World_Cup_Matches[[#This Row],[Away Team Goals]]&gt;World_Cup_Matches[[#This Row],[Home Team Goals]], World_Cup_Matches[[#This Row],[Away Team Name]],"Draw"))</f>
        <v>England</v>
      </c>
      <c r="X457" s="4" t="str">
        <f>IF(World_Cup_Matches[[#This Row],[Home Team Goals]]&gt;World_Cup_Matches[[#This Row],[Away Team Goals]],"Hime Win",IF(World_Cup_Matches[[#This Row],[Away Team Goals]]&gt;World_Cup_Matches[[#This Row],[Home Team Goals]],"Away win","Draw"))</f>
        <v>Hime Win</v>
      </c>
    </row>
    <row r="458" spans="1:24" x14ac:dyDescent="0.2">
      <c r="A458" s="19">
        <v>1990</v>
      </c>
      <c r="B458" s="15" t="s">
        <v>983</v>
      </c>
      <c r="C458" s="3" t="s">
        <v>150</v>
      </c>
      <c r="D458" s="3" t="s">
        <v>914</v>
      </c>
      <c r="E458" s="3" t="s">
        <v>123</v>
      </c>
      <c r="F458" s="3" t="s">
        <v>41</v>
      </c>
      <c r="G458" s="11">
        <v>0</v>
      </c>
      <c r="H458" s="11">
        <v>0</v>
      </c>
      <c r="I458" s="3" t="s">
        <v>56</v>
      </c>
      <c r="J458" s="3" t="s">
        <v>984</v>
      </c>
      <c r="K458" s="3">
        <v>38971</v>
      </c>
      <c r="L458" s="11">
        <v>0</v>
      </c>
      <c r="M458" s="11">
        <v>0</v>
      </c>
      <c r="N458" s="3" t="s">
        <v>915</v>
      </c>
      <c r="O458" s="3" t="s">
        <v>921</v>
      </c>
      <c r="P458" s="3" t="s">
        <v>958</v>
      </c>
      <c r="Q458" s="11">
        <v>751</v>
      </c>
      <c r="R458" s="11">
        <v>31</v>
      </c>
      <c r="S458" s="3" t="s">
        <v>46</v>
      </c>
      <c r="T458" s="4" t="s">
        <v>59</v>
      </c>
      <c r="U458" s="11">
        <f>World_Cup_Matches[[#This Row],[Home Team Goals]]+World_Cup_Matches[[#This Row],[Away Team Goals]]</f>
        <v>0</v>
      </c>
      <c r="V458" s="11">
        <f>World_Cup_Matches[[#This Row],[Home Team Goals]]-World_Cup_Matches[[#This Row],[Away Team Goals]]</f>
        <v>0</v>
      </c>
      <c r="W458" s="4" t="str">
        <f>IF(World_Cup_Matches[[#This Row],[Home Team Goals]]&gt;World_Cup_Matches[[#This Row],[Away Team Goals]],World_Cup_Matches[[#This Row],[Home Team Name]],IF(World_Cup_Matches[[#This Row],[Away Team Goals]]&gt;World_Cup_Matches[[#This Row],[Home Team Goals]], World_Cup_Matches[[#This Row],[Away Team Name]],"Draw"))</f>
        <v>Draw</v>
      </c>
      <c r="X458" s="4" t="str">
        <f>IF(World_Cup_Matches[[#This Row],[Home Team Goals]]&gt;World_Cup_Matches[[#This Row],[Away Team Goals]],"Hime Win",IF(World_Cup_Matches[[#This Row],[Away Team Goals]]&gt;World_Cup_Matches[[#This Row],[Home Team Goals]],"Away win","Draw"))</f>
        <v>Draw</v>
      </c>
    </row>
    <row r="459" spans="1:24" x14ac:dyDescent="0.2">
      <c r="A459" s="19">
        <v>1990</v>
      </c>
      <c r="B459" s="15" t="s">
        <v>985</v>
      </c>
      <c r="C459" s="3" t="s">
        <v>150</v>
      </c>
      <c r="D459" s="3" t="s">
        <v>910</v>
      </c>
      <c r="E459" s="3" t="s">
        <v>137</v>
      </c>
      <c r="F459" s="3" t="s">
        <v>138</v>
      </c>
      <c r="G459" s="11">
        <v>1</v>
      </c>
      <c r="H459" s="11">
        <v>0</v>
      </c>
      <c r="I459" s="3" t="s">
        <v>933</v>
      </c>
      <c r="J459" s="3" t="s">
        <v>1842</v>
      </c>
      <c r="K459" s="3">
        <v>73303</v>
      </c>
      <c r="L459" s="11">
        <v>1</v>
      </c>
      <c r="M459" s="11">
        <v>0</v>
      </c>
      <c r="N459" s="3" t="s">
        <v>836</v>
      </c>
      <c r="O459" s="3" t="s">
        <v>912</v>
      </c>
      <c r="P459" s="3" t="s">
        <v>808</v>
      </c>
      <c r="Q459" s="11">
        <v>751</v>
      </c>
      <c r="R459" s="11">
        <v>243</v>
      </c>
      <c r="S459" s="3" t="s">
        <v>142</v>
      </c>
      <c r="T459" s="4" t="s">
        <v>934</v>
      </c>
      <c r="U459" s="11">
        <f>World_Cup_Matches[[#This Row],[Home Team Goals]]+World_Cup_Matches[[#This Row],[Away Team Goals]]</f>
        <v>1</v>
      </c>
      <c r="V459" s="11">
        <f>World_Cup_Matches[[#This Row],[Home Team Goals]]-World_Cup_Matches[[#This Row],[Away Team Goals]]</f>
        <v>1</v>
      </c>
      <c r="W459" s="4" t="str">
        <f>IF(World_Cup_Matches[[#This Row],[Home Team Goals]]&gt;World_Cup_Matches[[#This Row],[Away Team Goals]],World_Cup_Matches[[#This Row],[Home Team Name]],IF(World_Cup_Matches[[#This Row],[Away Team Goals]]&gt;World_Cup_Matches[[#This Row],[Home Team Goals]], World_Cup_Matches[[#This Row],[Away Team Name]],"Draw"))</f>
        <v>Italy</v>
      </c>
      <c r="X459" s="4" t="str">
        <f>IF(World_Cup_Matches[[#This Row],[Home Team Goals]]&gt;World_Cup_Matches[[#This Row],[Away Team Goals]],"Hime Win",IF(World_Cup_Matches[[#This Row],[Away Team Goals]]&gt;World_Cup_Matches[[#This Row],[Home Team Goals]],"Away win","Draw"))</f>
        <v>Hime Win</v>
      </c>
    </row>
    <row r="460" spans="1:24" x14ac:dyDescent="0.2">
      <c r="A460" s="19">
        <v>1990</v>
      </c>
      <c r="B460" s="15" t="s">
        <v>986</v>
      </c>
      <c r="C460" s="3" t="s">
        <v>150</v>
      </c>
      <c r="D460" s="3" t="s">
        <v>900</v>
      </c>
      <c r="E460" s="3" t="s">
        <v>107</v>
      </c>
      <c r="F460" s="3" t="s">
        <v>285</v>
      </c>
      <c r="G460" s="11">
        <v>1</v>
      </c>
      <c r="H460" s="11">
        <v>0</v>
      </c>
      <c r="I460" s="3" t="s">
        <v>145</v>
      </c>
      <c r="J460" s="3" t="s">
        <v>1842</v>
      </c>
      <c r="K460" s="3">
        <v>73347</v>
      </c>
      <c r="L460" s="11">
        <v>1</v>
      </c>
      <c r="M460" s="11">
        <v>0</v>
      </c>
      <c r="N460" s="3" t="s">
        <v>944</v>
      </c>
      <c r="O460" s="3" t="s">
        <v>922</v>
      </c>
      <c r="P460" s="3" t="s">
        <v>902</v>
      </c>
      <c r="Q460" s="11">
        <v>751</v>
      </c>
      <c r="R460" s="11">
        <v>197</v>
      </c>
      <c r="S460" s="3" t="s">
        <v>289</v>
      </c>
      <c r="T460" s="4" t="s">
        <v>148</v>
      </c>
      <c r="U460" s="11">
        <f>World_Cup_Matches[[#This Row],[Home Team Goals]]+World_Cup_Matches[[#This Row],[Away Team Goals]]</f>
        <v>1</v>
      </c>
      <c r="V460" s="11">
        <f>World_Cup_Matches[[#This Row],[Home Team Goals]]-World_Cup_Matches[[#This Row],[Away Team Goals]]</f>
        <v>1</v>
      </c>
      <c r="W460" s="4" t="str">
        <f>IF(World_Cup_Matches[[#This Row],[Home Team Goals]]&gt;World_Cup_Matches[[#This Row],[Away Team Goals]],World_Cup_Matches[[#This Row],[Home Team Name]],IF(World_Cup_Matches[[#This Row],[Away Team Goals]]&gt;World_Cup_Matches[[#This Row],[Home Team Goals]], World_Cup_Matches[[#This Row],[Away Team Name]],"Draw"))</f>
        <v>Germany FR</v>
      </c>
      <c r="X460" s="4" t="str">
        <f>IF(World_Cup_Matches[[#This Row],[Home Team Goals]]&gt;World_Cup_Matches[[#This Row],[Away Team Goals]],"Hime Win",IF(World_Cup_Matches[[#This Row],[Away Team Goals]]&gt;World_Cup_Matches[[#This Row],[Home Team Goals]],"Away win","Draw"))</f>
        <v>Hime Win</v>
      </c>
    </row>
    <row r="461" spans="1:24" x14ac:dyDescent="0.2">
      <c r="A461" s="19">
        <v>1990</v>
      </c>
      <c r="B461" s="15" t="s">
        <v>987</v>
      </c>
      <c r="C461" s="3" t="s">
        <v>150</v>
      </c>
      <c r="D461" s="3" t="s">
        <v>947</v>
      </c>
      <c r="E461" s="3" t="s">
        <v>98</v>
      </c>
      <c r="F461" s="3" t="s">
        <v>223</v>
      </c>
      <c r="G461" s="11">
        <v>3</v>
      </c>
      <c r="H461" s="11">
        <v>2</v>
      </c>
      <c r="I461" s="3" t="s">
        <v>700</v>
      </c>
      <c r="J461" s="3" t="s">
        <v>488</v>
      </c>
      <c r="K461" s="3">
        <v>55205</v>
      </c>
      <c r="L461" s="11">
        <v>0</v>
      </c>
      <c r="M461" s="11">
        <v>0</v>
      </c>
      <c r="N461" s="3" t="s">
        <v>802</v>
      </c>
      <c r="O461" s="3" t="s">
        <v>901</v>
      </c>
      <c r="P461" s="3" t="s">
        <v>923</v>
      </c>
      <c r="Q461" s="11">
        <v>751</v>
      </c>
      <c r="R461" s="11">
        <v>103</v>
      </c>
      <c r="S461" s="3" t="s">
        <v>227</v>
      </c>
      <c r="T461" s="4" t="s">
        <v>702</v>
      </c>
      <c r="U461" s="11">
        <f>World_Cup_Matches[[#This Row],[Home Team Goals]]+World_Cup_Matches[[#This Row],[Away Team Goals]]</f>
        <v>5</v>
      </c>
      <c r="V461" s="11">
        <f>World_Cup_Matches[[#This Row],[Home Team Goals]]-World_Cup_Matches[[#This Row],[Away Team Goals]]</f>
        <v>1</v>
      </c>
      <c r="W461" s="4" t="str">
        <f>IF(World_Cup_Matches[[#This Row],[Home Team Goals]]&gt;World_Cup_Matches[[#This Row],[Away Team Goals]],World_Cup_Matches[[#This Row],[Home Team Name]],IF(World_Cup_Matches[[#This Row],[Away Team Goals]]&gt;World_Cup_Matches[[#This Row],[Home Team Goals]], World_Cup_Matches[[#This Row],[Away Team Name]],"Draw"))</f>
        <v>England</v>
      </c>
      <c r="X461" s="4" t="str">
        <f>IF(World_Cup_Matches[[#This Row],[Home Team Goals]]&gt;World_Cup_Matches[[#This Row],[Away Team Goals]],"Hime Win",IF(World_Cup_Matches[[#This Row],[Away Team Goals]]&gt;World_Cup_Matches[[#This Row],[Home Team Goals]],"Away win","Draw"))</f>
        <v>Hime Win</v>
      </c>
    </row>
    <row r="462" spans="1:24" x14ac:dyDescent="0.2">
      <c r="A462" s="19">
        <v>1990</v>
      </c>
      <c r="B462" s="15" t="s">
        <v>988</v>
      </c>
      <c r="C462" s="3" t="s">
        <v>83</v>
      </c>
      <c r="D462" s="3" t="s">
        <v>947</v>
      </c>
      <c r="E462" s="3" t="s">
        <v>98</v>
      </c>
      <c r="F462" s="3" t="s">
        <v>138</v>
      </c>
      <c r="G462" s="11">
        <v>1</v>
      </c>
      <c r="H462" s="11">
        <v>1</v>
      </c>
      <c r="I462" s="3" t="s">
        <v>56</v>
      </c>
      <c r="J462" s="3" t="s">
        <v>989</v>
      </c>
      <c r="K462" s="3">
        <v>59978</v>
      </c>
      <c r="L462" s="11">
        <v>0</v>
      </c>
      <c r="M462" s="11">
        <v>0</v>
      </c>
      <c r="N462" s="3" t="s">
        <v>690</v>
      </c>
      <c r="O462" s="3" t="s">
        <v>902</v>
      </c>
      <c r="P462" s="3" t="s">
        <v>922</v>
      </c>
      <c r="Q462" s="11">
        <v>3464</v>
      </c>
      <c r="R462" s="11">
        <v>28</v>
      </c>
      <c r="S462" s="3" t="s">
        <v>142</v>
      </c>
      <c r="T462" s="4" t="s">
        <v>59</v>
      </c>
      <c r="U462" s="11">
        <f>World_Cup_Matches[[#This Row],[Home Team Goals]]+World_Cup_Matches[[#This Row],[Away Team Goals]]</f>
        <v>2</v>
      </c>
      <c r="V462" s="11">
        <f>World_Cup_Matches[[#This Row],[Home Team Goals]]-World_Cup_Matches[[#This Row],[Away Team Goals]]</f>
        <v>0</v>
      </c>
      <c r="W462" s="4" t="str">
        <f>IF(World_Cup_Matches[[#This Row],[Home Team Goals]]&gt;World_Cup_Matches[[#This Row],[Away Team Goals]],World_Cup_Matches[[#This Row],[Home Team Name]],IF(World_Cup_Matches[[#This Row],[Away Team Goals]]&gt;World_Cup_Matches[[#This Row],[Home Team Goals]], World_Cup_Matches[[#This Row],[Away Team Name]],"Draw"))</f>
        <v>Draw</v>
      </c>
      <c r="X462" s="4" t="str">
        <f>IF(World_Cup_Matches[[#This Row],[Home Team Goals]]&gt;World_Cup_Matches[[#This Row],[Away Team Goals]],"Hime Win",IF(World_Cup_Matches[[#This Row],[Away Team Goals]]&gt;World_Cup_Matches[[#This Row],[Home Team Goals]],"Away win","Draw"))</f>
        <v>Draw</v>
      </c>
    </row>
    <row r="463" spans="1:24" x14ac:dyDescent="0.2">
      <c r="A463" s="19">
        <v>1990</v>
      </c>
      <c r="B463" s="15" t="s">
        <v>990</v>
      </c>
      <c r="C463" s="3" t="s">
        <v>83</v>
      </c>
      <c r="D463" s="3" t="s">
        <v>919</v>
      </c>
      <c r="E463" s="3" t="s">
        <v>90</v>
      </c>
      <c r="F463" s="3" t="s">
        <v>285</v>
      </c>
      <c r="G463" s="11">
        <v>1</v>
      </c>
      <c r="H463" s="11">
        <v>1</v>
      </c>
      <c r="I463" s="3" t="s">
        <v>223</v>
      </c>
      <c r="J463" s="3" t="s">
        <v>991</v>
      </c>
      <c r="K463" s="3">
        <v>62628</v>
      </c>
      <c r="L463" s="11">
        <v>0</v>
      </c>
      <c r="M463" s="11">
        <v>0</v>
      </c>
      <c r="N463" s="3" t="s">
        <v>911</v>
      </c>
      <c r="O463" s="3" t="s">
        <v>828</v>
      </c>
      <c r="P463" s="3" t="s">
        <v>912</v>
      </c>
      <c r="Q463" s="11">
        <v>3464</v>
      </c>
      <c r="R463" s="11">
        <v>159</v>
      </c>
      <c r="S463" s="3" t="s">
        <v>289</v>
      </c>
      <c r="T463" s="4" t="s">
        <v>227</v>
      </c>
      <c r="U463" s="11">
        <f>World_Cup_Matches[[#This Row],[Home Team Goals]]+World_Cup_Matches[[#This Row],[Away Team Goals]]</f>
        <v>2</v>
      </c>
      <c r="V463" s="11">
        <f>World_Cup_Matches[[#This Row],[Home Team Goals]]-World_Cup_Matches[[#This Row],[Away Team Goals]]</f>
        <v>0</v>
      </c>
      <c r="W463" s="4" t="str">
        <f>IF(World_Cup_Matches[[#This Row],[Home Team Goals]]&gt;World_Cup_Matches[[#This Row],[Away Team Goals]],World_Cup_Matches[[#This Row],[Home Team Name]],IF(World_Cup_Matches[[#This Row],[Away Team Goals]]&gt;World_Cup_Matches[[#This Row],[Home Team Goals]], World_Cup_Matches[[#This Row],[Away Team Name]],"Draw"))</f>
        <v>Draw</v>
      </c>
      <c r="X463" s="4" t="str">
        <f>IF(World_Cup_Matches[[#This Row],[Home Team Goals]]&gt;World_Cup_Matches[[#This Row],[Away Team Goals]],"Hime Win",IF(World_Cup_Matches[[#This Row],[Away Team Goals]]&gt;World_Cup_Matches[[#This Row],[Home Team Goals]],"Away win","Draw"))</f>
        <v>Draw</v>
      </c>
    </row>
    <row r="464" spans="1:24" x14ac:dyDescent="0.2">
      <c r="A464" s="19">
        <v>1990</v>
      </c>
      <c r="B464" s="15" t="s">
        <v>992</v>
      </c>
      <c r="C464" s="3" t="s">
        <v>155</v>
      </c>
      <c r="D464" s="3" t="s">
        <v>904</v>
      </c>
      <c r="E464" s="3" t="s">
        <v>905</v>
      </c>
      <c r="F464" s="3" t="s">
        <v>138</v>
      </c>
      <c r="G464" s="11">
        <v>2</v>
      </c>
      <c r="H464" s="11">
        <v>1</v>
      </c>
      <c r="I464" s="3" t="s">
        <v>223</v>
      </c>
      <c r="J464" s="3" t="s">
        <v>1842</v>
      </c>
      <c r="K464" s="3">
        <v>51426</v>
      </c>
      <c r="L464" s="11">
        <v>0</v>
      </c>
      <c r="M464" s="11">
        <v>0</v>
      </c>
      <c r="N464" s="3" t="s">
        <v>828</v>
      </c>
      <c r="O464" s="3" t="s">
        <v>958</v>
      </c>
      <c r="P464" s="3" t="s">
        <v>915</v>
      </c>
      <c r="Q464" s="11">
        <v>3463</v>
      </c>
      <c r="R464" s="11">
        <v>162</v>
      </c>
      <c r="S464" s="3" t="s">
        <v>142</v>
      </c>
      <c r="T464" s="4" t="s">
        <v>227</v>
      </c>
      <c r="U464" s="11">
        <f>World_Cup_Matches[[#This Row],[Home Team Goals]]+World_Cup_Matches[[#This Row],[Away Team Goals]]</f>
        <v>3</v>
      </c>
      <c r="V464" s="11">
        <f>World_Cup_Matches[[#This Row],[Home Team Goals]]-World_Cup_Matches[[#This Row],[Away Team Goals]]</f>
        <v>1</v>
      </c>
      <c r="W464" s="4" t="str">
        <f>IF(World_Cup_Matches[[#This Row],[Home Team Goals]]&gt;World_Cup_Matches[[#This Row],[Away Team Goals]],World_Cup_Matches[[#This Row],[Home Team Name]],IF(World_Cup_Matches[[#This Row],[Away Team Goals]]&gt;World_Cup_Matches[[#This Row],[Home Team Goals]], World_Cup_Matches[[#This Row],[Away Team Name]],"Draw"))</f>
        <v>Italy</v>
      </c>
      <c r="X464" s="4" t="str">
        <f>IF(World_Cup_Matches[[#This Row],[Home Team Goals]]&gt;World_Cup_Matches[[#This Row],[Away Team Goals]],"Hime Win",IF(World_Cup_Matches[[#This Row],[Away Team Goals]]&gt;World_Cup_Matches[[#This Row],[Home Team Goals]],"Away win","Draw"))</f>
        <v>Hime Win</v>
      </c>
    </row>
    <row r="465" spans="1:24" x14ac:dyDescent="0.2">
      <c r="A465" s="19">
        <v>1990</v>
      </c>
      <c r="B465" s="15" t="s">
        <v>993</v>
      </c>
      <c r="C465" s="3" t="s">
        <v>86</v>
      </c>
      <c r="D465" s="3" t="s">
        <v>910</v>
      </c>
      <c r="E465" s="3" t="s">
        <v>137</v>
      </c>
      <c r="F465" s="3" t="s">
        <v>285</v>
      </c>
      <c r="G465" s="11">
        <v>1</v>
      </c>
      <c r="H465" s="11">
        <v>0</v>
      </c>
      <c r="I465" s="3" t="s">
        <v>56</v>
      </c>
      <c r="J465" s="3" t="s">
        <v>1842</v>
      </c>
      <c r="K465" s="3">
        <v>73603</v>
      </c>
      <c r="L465" s="11">
        <v>0</v>
      </c>
      <c r="M465" s="11">
        <v>0</v>
      </c>
      <c r="N465" s="3" t="s">
        <v>802</v>
      </c>
      <c r="O465" s="3" t="s">
        <v>912</v>
      </c>
      <c r="P465" s="3" t="s">
        <v>902</v>
      </c>
      <c r="Q465" s="11">
        <v>3462</v>
      </c>
      <c r="R465" s="11">
        <v>27</v>
      </c>
      <c r="S465" s="3" t="s">
        <v>289</v>
      </c>
      <c r="T465" s="4" t="s">
        <v>59</v>
      </c>
      <c r="U465" s="11">
        <f>World_Cup_Matches[[#This Row],[Home Team Goals]]+World_Cup_Matches[[#This Row],[Away Team Goals]]</f>
        <v>1</v>
      </c>
      <c r="V465" s="11">
        <f>World_Cup_Matches[[#This Row],[Home Team Goals]]-World_Cup_Matches[[#This Row],[Away Team Goals]]</f>
        <v>1</v>
      </c>
      <c r="W465" s="4" t="str">
        <f>IF(World_Cup_Matches[[#This Row],[Home Team Goals]]&gt;World_Cup_Matches[[#This Row],[Away Team Goals]],World_Cup_Matches[[#This Row],[Home Team Name]],IF(World_Cup_Matches[[#This Row],[Away Team Goals]]&gt;World_Cup_Matches[[#This Row],[Home Team Goals]], World_Cup_Matches[[#This Row],[Away Team Name]],"Draw"))</f>
        <v>Germany FR</v>
      </c>
      <c r="X465" s="4" t="str">
        <f>IF(World_Cup_Matches[[#This Row],[Home Team Goals]]&gt;World_Cup_Matches[[#This Row],[Away Team Goals]],"Hime Win",IF(World_Cup_Matches[[#This Row],[Away Team Goals]]&gt;World_Cup_Matches[[#This Row],[Home Team Goals]],"Away win","Draw"))</f>
        <v>Hime Win</v>
      </c>
    </row>
    <row r="466" spans="1:24" x14ac:dyDescent="0.2">
      <c r="A466" s="19">
        <v>1994</v>
      </c>
      <c r="B466" s="15" t="s">
        <v>994</v>
      </c>
      <c r="C466" s="3" t="s">
        <v>805</v>
      </c>
      <c r="D466" s="3" t="s">
        <v>995</v>
      </c>
      <c r="E466" s="3" t="s">
        <v>996</v>
      </c>
      <c r="F466" s="3" t="s">
        <v>131</v>
      </c>
      <c r="G466" s="11">
        <v>2</v>
      </c>
      <c r="H466" s="11">
        <v>2</v>
      </c>
      <c r="I466" s="3" t="s">
        <v>291</v>
      </c>
      <c r="J466" s="3" t="s">
        <v>1842</v>
      </c>
      <c r="K466" s="3">
        <v>56247</v>
      </c>
      <c r="L466" s="11">
        <v>0</v>
      </c>
      <c r="M466" s="11">
        <v>0</v>
      </c>
      <c r="N466" s="3" t="s">
        <v>922</v>
      </c>
      <c r="O466" s="3" t="s">
        <v>997</v>
      </c>
      <c r="P466" s="3" t="s">
        <v>998</v>
      </c>
      <c r="Q466" s="11">
        <v>337</v>
      </c>
      <c r="R466" s="11">
        <v>3050</v>
      </c>
      <c r="S466" s="3" t="s">
        <v>135</v>
      </c>
      <c r="T466" s="4" t="s">
        <v>295</v>
      </c>
      <c r="U466" s="11">
        <f>World_Cup_Matches[[#This Row],[Home Team Goals]]+World_Cup_Matches[[#This Row],[Away Team Goals]]</f>
        <v>4</v>
      </c>
      <c r="V466" s="11">
        <f>World_Cup_Matches[[#This Row],[Home Team Goals]]-World_Cup_Matches[[#This Row],[Away Team Goals]]</f>
        <v>0</v>
      </c>
      <c r="W466" s="4" t="str">
        <f>IF(World_Cup_Matches[[#This Row],[Home Team Goals]]&gt;World_Cup_Matches[[#This Row],[Away Team Goals]],World_Cup_Matches[[#This Row],[Home Team Name]],IF(World_Cup_Matches[[#This Row],[Away Team Goals]]&gt;World_Cup_Matches[[#This Row],[Home Team Goals]], World_Cup_Matches[[#This Row],[Away Team Name]],"Draw"))</f>
        <v>Draw</v>
      </c>
      <c r="X466" s="4" t="str">
        <f>IF(World_Cup_Matches[[#This Row],[Home Team Goals]]&gt;World_Cup_Matches[[#This Row],[Away Team Goals]],"Hime Win",IF(World_Cup_Matches[[#This Row],[Away Team Goals]]&gt;World_Cup_Matches[[#This Row],[Home Team Goals]],"Away win","Draw"))</f>
        <v>Draw</v>
      </c>
    </row>
    <row r="467" spans="1:24" x14ac:dyDescent="0.2">
      <c r="A467" s="19">
        <v>1994</v>
      </c>
      <c r="B467" s="15" t="s">
        <v>999</v>
      </c>
      <c r="C467" s="3" t="s">
        <v>805</v>
      </c>
      <c r="D467" s="3" t="s">
        <v>1000</v>
      </c>
      <c r="E467" s="3" t="s">
        <v>1001</v>
      </c>
      <c r="F467" s="3" t="s">
        <v>124</v>
      </c>
      <c r="G467" s="11">
        <v>1</v>
      </c>
      <c r="H467" s="11">
        <v>0</v>
      </c>
      <c r="I467" s="3" t="s">
        <v>65</v>
      </c>
      <c r="J467" s="3" t="s">
        <v>1842</v>
      </c>
      <c r="K467" s="3">
        <v>63117</v>
      </c>
      <c r="L467" s="11">
        <v>0</v>
      </c>
      <c r="M467" s="11">
        <v>0</v>
      </c>
      <c r="N467" s="3" t="s">
        <v>1002</v>
      </c>
      <c r="O467" s="3" t="s">
        <v>1003</v>
      </c>
      <c r="P467" s="3" t="s">
        <v>1004</v>
      </c>
      <c r="Q467" s="11">
        <v>337</v>
      </c>
      <c r="R467" s="11">
        <v>3049</v>
      </c>
      <c r="S467" s="3" t="s">
        <v>128</v>
      </c>
      <c r="T467" s="4" t="s">
        <v>66</v>
      </c>
      <c r="U467" s="11">
        <f>World_Cup_Matches[[#This Row],[Home Team Goals]]+World_Cup_Matches[[#This Row],[Away Team Goals]]</f>
        <v>1</v>
      </c>
      <c r="V467" s="11">
        <f>World_Cup_Matches[[#This Row],[Home Team Goals]]-World_Cup_Matches[[#This Row],[Away Team Goals]]</f>
        <v>1</v>
      </c>
      <c r="W467" s="4" t="str">
        <f>IF(World_Cup_Matches[[#This Row],[Home Team Goals]]&gt;World_Cup_Matches[[#This Row],[Away Team Goals]],World_Cup_Matches[[#This Row],[Home Team Name]],IF(World_Cup_Matches[[#This Row],[Away Team Goals]]&gt;World_Cup_Matches[[#This Row],[Home Team Goals]], World_Cup_Matches[[#This Row],[Away Team Name]],"Draw"))</f>
        <v>Germany</v>
      </c>
      <c r="X467" s="4" t="str">
        <f>IF(World_Cup_Matches[[#This Row],[Home Team Goals]]&gt;World_Cup_Matches[[#This Row],[Away Team Goals]],"Hime Win",IF(World_Cup_Matches[[#This Row],[Away Team Goals]]&gt;World_Cup_Matches[[#This Row],[Home Team Goals]],"Away win","Draw"))</f>
        <v>Hime Win</v>
      </c>
    </row>
    <row r="468" spans="1:24" x14ac:dyDescent="0.2">
      <c r="A468" s="19">
        <v>1994</v>
      </c>
      <c r="B468" s="15" t="s">
        <v>1005</v>
      </c>
      <c r="C468" s="3" t="s">
        <v>609</v>
      </c>
      <c r="D468" s="3" t="s">
        <v>1006</v>
      </c>
      <c r="E468" s="3" t="s">
        <v>1007</v>
      </c>
      <c r="F468" s="3" t="s">
        <v>33</v>
      </c>
      <c r="G468" s="11">
        <v>1</v>
      </c>
      <c r="H468" s="11">
        <v>1</v>
      </c>
      <c r="I468" s="3" t="s">
        <v>108</v>
      </c>
      <c r="J468" s="3" t="s">
        <v>1842</v>
      </c>
      <c r="K468" s="3">
        <v>73425</v>
      </c>
      <c r="L468" s="11">
        <v>1</v>
      </c>
      <c r="M468" s="11">
        <v>1</v>
      </c>
      <c r="N468" s="3" t="s">
        <v>1008</v>
      </c>
      <c r="O468" s="3" t="s">
        <v>1009</v>
      </c>
      <c r="P468" s="3" t="s">
        <v>1010</v>
      </c>
      <c r="Q468" s="11">
        <v>337</v>
      </c>
      <c r="R468" s="11">
        <v>3051</v>
      </c>
      <c r="S468" s="3" t="s">
        <v>33</v>
      </c>
      <c r="T468" s="4" t="s">
        <v>113</v>
      </c>
      <c r="U468" s="11">
        <f>World_Cup_Matches[[#This Row],[Home Team Goals]]+World_Cup_Matches[[#This Row],[Away Team Goals]]</f>
        <v>2</v>
      </c>
      <c r="V468" s="11">
        <f>World_Cup_Matches[[#This Row],[Home Team Goals]]-World_Cup_Matches[[#This Row],[Away Team Goals]]</f>
        <v>0</v>
      </c>
      <c r="W468" s="4" t="str">
        <f>IF(World_Cup_Matches[[#This Row],[Home Team Goals]]&gt;World_Cup_Matches[[#This Row],[Away Team Goals]],World_Cup_Matches[[#This Row],[Home Team Name]],IF(World_Cup_Matches[[#This Row],[Away Team Goals]]&gt;World_Cup_Matches[[#This Row],[Home Team Goals]], World_Cup_Matches[[#This Row],[Away Team Name]],"Draw"))</f>
        <v>Draw</v>
      </c>
      <c r="X468" s="4" t="str">
        <f>IF(World_Cup_Matches[[#This Row],[Home Team Goals]]&gt;World_Cup_Matches[[#This Row],[Away Team Goals]],"Hime Win",IF(World_Cup_Matches[[#This Row],[Away Team Goals]]&gt;World_Cup_Matches[[#This Row],[Home Team Goals]],"Away win","Draw"))</f>
        <v>Draw</v>
      </c>
    </row>
    <row r="469" spans="1:24" x14ac:dyDescent="0.2">
      <c r="A469" s="19">
        <v>1994</v>
      </c>
      <c r="B469" s="15" t="s">
        <v>1011</v>
      </c>
      <c r="C469" s="3" t="s">
        <v>846</v>
      </c>
      <c r="D469" s="3" t="s">
        <v>1012</v>
      </c>
      <c r="E469" s="3" t="s">
        <v>1013</v>
      </c>
      <c r="F469" s="3" t="s">
        <v>138</v>
      </c>
      <c r="G469" s="11">
        <v>0</v>
      </c>
      <c r="H469" s="11">
        <v>1</v>
      </c>
      <c r="I469" s="3" t="s">
        <v>933</v>
      </c>
      <c r="J469" s="3" t="s">
        <v>1842</v>
      </c>
      <c r="K469" s="3">
        <v>75338</v>
      </c>
      <c r="L469" s="11">
        <v>0</v>
      </c>
      <c r="M469" s="11">
        <v>1</v>
      </c>
      <c r="N469" s="3" t="s">
        <v>1014</v>
      </c>
      <c r="O469" s="3" t="s">
        <v>1015</v>
      </c>
      <c r="P469" s="3" t="s">
        <v>1016</v>
      </c>
      <c r="Q469" s="11">
        <v>337</v>
      </c>
      <c r="R469" s="11">
        <v>3052</v>
      </c>
      <c r="S469" s="3" t="s">
        <v>142</v>
      </c>
      <c r="T469" s="4" t="s">
        <v>934</v>
      </c>
      <c r="U469" s="11">
        <f>World_Cup_Matches[[#This Row],[Home Team Goals]]+World_Cup_Matches[[#This Row],[Away Team Goals]]</f>
        <v>1</v>
      </c>
      <c r="V469" s="11">
        <f>World_Cup_Matches[[#This Row],[Home Team Goals]]-World_Cup_Matches[[#This Row],[Away Team Goals]]</f>
        <v>-1</v>
      </c>
      <c r="W469" s="4" t="str">
        <f>IF(World_Cup_Matches[[#This Row],[Home Team Goals]]&gt;World_Cup_Matches[[#This Row],[Away Team Goals]],World_Cup_Matches[[#This Row],[Home Team Name]],IF(World_Cup_Matches[[#This Row],[Away Team Goals]]&gt;World_Cup_Matches[[#This Row],[Home Team Goals]], World_Cup_Matches[[#This Row],[Away Team Name]],"Draw"))</f>
        <v>rn"&gt;Republic of Ireland</v>
      </c>
      <c r="X469" s="4" t="str">
        <f>IF(World_Cup_Matches[[#This Row],[Home Team Goals]]&gt;World_Cup_Matches[[#This Row],[Away Team Goals]],"Hime Win",IF(World_Cup_Matches[[#This Row],[Away Team Goals]]&gt;World_Cup_Matches[[#This Row],[Home Team Goals]],"Away win","Draw"))</f>
        <v>Away win</v>
      </c>
    </row>
    <row r="470" spans="1:24" x14ac:dyDescent="0.2">
      <c r="A470" s="19">
        <v>1994</v>
      </c>
      <c r="B470" s="15" t="s">
        <v>1017</v>
      </c>
      <c r="C470" s="3" t="s">
        <v>609</v>
      </c>
      <c r="D470" s="3" t="s">
        <v>1018</v>
      </c>
      <c r="E470" s="3" t="s">
        <v>1019</v>
      </c>
      <c r="F470" s="3" t="s">
        <v>390</v>
      </c>
      <c r="G470" s="11">
        <v>1</v>
      </c>
      <c r="H470" s="11">
        <v>3</v>
      </c>
      <c r="I470" s="3" t="s">
        <v>50</v>
      </c>
      <c r="J470" s="3" t="s">
        <v>1842</v>
      </c>
      <c r="K470" s="3">
        <v>91856</v>
      </c>
      <c r="L470" s="11">
        <v>1</v>
      </c>
      <c r="M470" s="11">
        <v>2</v>
      </c>
      <c r="N470" s="3" t="s">
        <v>839</v>
      </c>
      <c r="O470" s="3" t="s">
        <v>1020</v>
      </c>
      <c r="P470" s="3" t="s">
        <v>1021</v>
      </c>
      <c r="Q470" s="11">
        <v>337</v>
      </c>
      <c r="R470" s="11">
        <v>3053</v>
      </c>
      <c r="S470" s="3" t="s">
        <v>394</v>
      </c>
      <c r="T470" s="4" t="s">
        <v>53</v>
      </c>
      <c r="U470" s="11">
        <f>World_Cup_Matches[[#This Row],[Home Team Goals]]+World_Cup_Matches[[#This Row],[Away Team Goals]]</f>
        <v>4</v>
      </c>
      <c r="V470" s="11">
        <f>World_Cup_Matches[[#This Row],[Home Team Goals]]-World_Cup_Matches[[#This Row],[Away Team Goals]]</f>
        <v>-2</v>
      </c>
      <c r="W470" s="4" t="str">
        <f>IF(World_Cup_Matches[[#This Row],[Home Team Goals]]&gt;World_Cup_Matches[[#This Row],[Away Team Goals]],World_Cup_Matches[[#This Row],[Home Team Name]],IF(World_Cup_Matches[[#This Row],[Away Team Goals]]&gt;World_Cup_Matches[[#This Row],[Home Team Goals]], World_Cup_Matches[[#This Row],[Away Team Name]],"Draw"))</f>
        <v>Romania</v>
      </c>
      <c r="X470" s="4" t="str">
        <f>IF(World_Cup_Matches[[#This Row],[Home Team Goals]]&gt;World_Cup_Matches[[#This Row],[Away Team Goals]],"Hime Win",IF(World_Cup_Matches[[#This Row],[Away Team Goals]]&gt;World_Cup_Matches[[#This Row],[Home Team Goals]],"Away win","Draw"))</f>
        <v>Away win</v>
      </c>
    </row>
    <row r="471" spans="1:24" x14ac:dyDescent="0.2">
      <c r="A471" s="19">
        <v>1994</v>
      </c>
      <c r="B471" s="15" t="s">
        <v>1022</v>
      </c>
      <c r="C471" s="3" t="s">
        <v>824</v>
      </c>
      <c r="D471" s="3" t="s">
        <v>1023</v>
      </c>
      <c r="E471" s="3" t="s">
        <v>1024</v>
      </c>
      <c r="F471" s="3" t="s">
        <v>34</v>
      </c>
      <c r="G471" s="11">
        <v>1</v>
      </c>
      <c r="H471" s="11">
        <v>0</v>
      </c>
      <c r="I471" s="3" t="s">
        <v>513</v>
      </c>
      <c r="J471" s="3" t="s">
        <v>1842</v>
      </c>
      <c r="K471" s="3">
        <v>61219</v>
      </c>
      <c r="L471" s="11">
        <v>1</v>
      </c>
      <c r="M471" s="11">
        <v>0</v>
      </c>
      <c r="N471" s="3" t="s">
        <v>1025</v>
      </c>
      <c r="O471" s="3" t="s">
        <v>1026</v>
      </c>
      <c r="P471" s="3" t="s">
        <v>1027</v>
      </c>
      <c r="Q471" s="11">
        <v>337</v>
      </c>
      <c r="R471" s="11">
        <v>3054</v>
      </c>
      <c r="S471" s="3" t="s">
        <v>38</v>
      </c>
      <c r="T471" s="4" t="s">
        <v>517</v>
      </c>
      <c r="U471" s="11">
        <f>World_Cup_Matches[[#This Row],[Home Team Goals]]+World_Cup_Matches[[#This Row],[Away Team Goals]]</f>
        <v>1</v>
      </c>
      <c r="V471" s="11">
        <f>World_Cup_Matches[[#This Row],[Home Team Goals]]-World_Cup_Matches[[#This Row],[Away Team Goals]]</f>
        <v>1</v>
      </c>
      <c r="W471" s="4" t="str">
        <f>IF(World_Cup_Matches[[#This Row],[Home Team Goals]]&gt;World_Cup_Matches[[#This Row],[Away Team Goals]],World_Cup_Matches[[#This Row],[Home Team Name]],IF(World_Cup_Matches[[#This Row],[Away Team Goals]]&gt;World_Cup_Matches[[#This Row],[Home Team Goals]], World_Cup_Matches[[#This Row],[Away Team Name]],"Draw"))</f>
        <v>Belgium</v>
      </c>
      <c r="X471" s="4" t="str">
        <f>IF(World_Cup_Matches[[#This Row],[Home Team Goals]]&gt;World_Cup_Matches[[#This Row],[Away Team Goals]],"Hime Win",IF(World_Cup_Matches[[#This Row],[Away Team Goals]]&gt;World_Cup_Matches[[#This Row],[Home Team Goals]],"Away win","Draw"))</f>
        <v>Hime Win</v>
      </c>
    </row>
    <row r="472" spans="1:24" x14ac:dyDescent="0.2">
      <c r="A472" s="19">
        <v>1994</v>
      </c>
      <c r="B472" s="15" t="s">
        <v>1028</v>
      </c>
      <c r="C472" s="3" t="s">
        <v>846</v>
      </c>
      <c r="D472" s="3" t="s">
        <v>1029</v>
      </c>
      <c r="E472" s="3" t="s">
        <v>1030</v>
      </c>
      <c r="F472" s="3" t="s">
        <v>183</v>
      </c>
      <c r="G472" s="11">
        <v>1</v>
      </c>
      <c r="H472" s="11">
        <v>0</v>
      </c>
      <c r="I472" s="3" t="s">
        <v>25</v>
      </c>
      <c r="J472" s="3" t="s">
        <v>1842</v>
      </c>
      <c r="K472" s="3">
        <v>52395</v>
      </c>
      <c r="L472" s="11">
        <v>0</v>
      </c>
      <c r="M472" s="11">
        <v>0</v>
      </c>
      <c r="N472" s="3" t="s">
        <v>1031</v>
      </c>
      <c r="O472" s="3" t="s">
        <v>1032</v>
      </c>
      <c r="P472" s="3" t="s">
        <v>1033</v>
      </c>
      <c r="Q472" s="11">
        <v>337</v>
      </c>
      <c r="R472" s="11">
        <v>3055</v>
      </c>
      <c r="S472" s="3" t="s">
        <v>186</v>
      </c>
      <c r="T472" s="4" t="s">
        <v>30</v>
      </c>
      <c r="U472" s="11">
        <f>World_Cup_Matches[[#This Row],[Home Team Goals]]+World_Cup_Matches[[#This Row],[Away Team Goals]]</f>
        <v>1</v>
      </c>
      <c r="V472" s="11">
        <f>World_Cup_Matches[[#This Row],[Home Team Goals]]-World_Cup_Matches[[#This Row],[Away Team Goals]]</f>
        <v>1</v>
      </c>
      <c r="W472" s="4" t="str">
        <f>IF(World_Cup_Matches[[#This Row],[Home Team Goals]]&gt;World_Cup_Matches[[#This Row],[Away Team Goals]],World_Cup_Matches[[#This Row],[Home Team Name]],IF(World_Cup_Matches[[#This Row],[Away Team Goals]]&gt;World_Cup_Matches[[#This Row],[Home Team Goals]], World_Cup_Matches[[#This Row],[Away Team Name]],"Draw"))</f>
        <v>Norway</v>
      </c>
      <c r="X472" s="4" t="str">
        <f>IF(World_Cup_Matches[[#This Row],[Home Team Goals]]&gt;World_Cup_Matches[[#This Row],[Away Team Goals]],"Hime Win",IF(World_Cup_Matches[[#This Row],[Away Team Goals]]&gt;World_Cup_Matches[[#This Row],[Home Team Goals]],"Away win","Draw"))</f>
        <v>Hime Win</v>
      </c>
    </row>
    <row r="473" spans="1:24" x14ac:dyDescent="0.2">
      <c r="A473" s="19">
        <v>1994</v>
      </c>
      <c r="B473" s="15" t="s">
        <v>1034</v>
      </c>
      <c r="C473" s="3" t="s">
        <v>607</v>
      </c>
      <c r="D473" s="3" t="s">
        <v>1018</v>
      </c>
      <c r="E473" s="3" t="s">
        <v>1019</v>
      </c>
      <c r="F473" s="3" t="s">
        <v>700</v>
      </c>
      <c r="G473" s="11">
        <v>2</v>
      </c>
      <c r="H473" s="11">
        <v>2</v>
      </c>
      <c r="I473" s="3" t="s">
        <v>117</v>
      </c>
      <c r="J473" s="3" t="s">
        <v>1842</v>
      </c>
      <c r="K473" s="3">
        <v>93194</v>
      </c>
      <c r="L473" s="11">
        <v>1</v>
      </c>
      <c r="M473" s="11">
        <v>1</v>
      </c>
      <c r="N473" s="3" t="s">
        <v>1035</v>
      </c>
      <c r="O473" s="3" t="s">
        <v>1021</v>
      </c>
      <c r="P473" s="3" t="s">
        <v>1020</v>
      </c>
      <c r="Q473" s="11">
        <v>337</v>
      </c>
      <c r="R473" s="11">
        <v>3056</v>
      </c>
      <c r="S473" s="3" t="s">
        <v>702</v>
      </c>
      <c r="T473" s="4" t="s">
        <v>121</v>
      </c>
      <c r="U473" s="11">
        <f>World_Cup_Matches[[#This Row],[Home Team Goals]]+World_Cup_Matches[[#This Row],[Away Team Goals]]</f>
        <v>4</v>
      </c>
      <c r="V473" s="11">
        <f>World_Cup_Matches[[#This Row],[Home Team Goals]]-World_Cup_Matches[[#This Row],[Away Team Goals]]</f>
        <v>0</v>
      </c>
      <c r="W473" s="4" t="str">
        <f>IF(World_Cup_Matches[[#This Row],[Home Team Goals]]&gt;World_Cup_Matches[[#This Row],[Away Team Goals]],World_Cup_Matches[[#This Row],[Home Team Name]],IF(World_Cup_Matches[[#This Row],[Away Team Goals]]&gt;World_Cup_Matches[[#This Row],[Home Team Goals]], World_Cup_Matches[[#This Row],[Away Team Name]],"Draw"))</f>
        <v>Draw</v>
      </c>
      <c r="X473" s="4" t="str">
        <f>IF(World_Cup_Matches[[#This Row],[Home Team Goals]]&gt;World_Cup_Matches[[#This Row],[Away Team Goals]],"Hime Win",IF(World_Cup_Matches[[#This Row],[Away Team Goals]]&gt;World_Cup_Matches[[#This Row],[Home Team Goals]],"Away win","Draw"))</f>
        <v>Draw</v>
      </c>
    </row>
    <row r="474" spans="1:24" x14ac:dyDescent="0.2">
      <c r="A474" s="19">
        <v>1994</v>
      </c>
      <c r="B474" s="15" t="s">
        <v>1036</v>
      </c>
      <c r="C474" s="3" t="s">
        <v>824</v>
      </c>
      <c r="D474" s="3" t="s">
        <v>1029</v>
      </c>
      <c r="E474" s="3" t="s">
        <v>1030</v>
      </c>
      <c r="F474" s="3" t="s">
        <v>109</v>
      </c>
      <c r="G474" s="11">
        <v>2</v>
      </c>
      <c r="H474" s="11">
        <v>1</v>
      </c>
      <c r="I474" s="3" t="s">
        <v>1037</v>
      </c>
      <c r="J474" s="3" t="s">
        <v>1842</v>
      </c>
      <c r="K474" s="3">
        <v>50535</v>
      </c>
      <c r="L474" s="11">
        <v>0</v>
      </c>
      <c r="M474" s="11">
        <v>1</v>
      </c>
      <c r="N474" s="3" t="s">
        <v>1038</v>
      </c>
      <c r="O474" s="3" t="s">
        <v>1033</v>
      </c>
      <c r="P474" s="3" t="s">
        <v>1032</v>
      </c>
      <c r="Q474" s="11">
        <v>337</v>
      </c>
      <c r="R474" s="11">
        <v>3058</v>
      </c>
      <c r="S474" s="3" t="s">
        <v>114</v>
      </c>
      <c r="T474" s="4" t="s">
        <v>1039</v>
      </c>
      <c r="U474" s="11">
        <f>World_Cup_Matches[[#This Row],[Home Team Goals]]+World_Cup_Matches[[#This Row],[Away Team Goals]]</f>
        <v>3</v>
      </c>
      <c r="V474" s="11">
        <f>World_Cup_Matches[[#This Row],[Home Team Goals]]-World_Cup_Matches[[#This Row],[Away Team Goals]]</f>
        <v>1</v>
      </c>
      <c r="W474" s="4" t="str">
        <f>IF(World_Cup_Matches[[#This Row],[Home Team Goals]]&gt;World_Cup_Matches[[#This Row],[Away Team Goals]],World_Cup_Matches[[#This Row],[Home Team Name]],IF(World_Cup_Matches[[#This Row],[Away Team Goals]]&gt;World_Cup_Matches[[#This Row],[Home Team Goals]], World_Cup_Matches[[#This Row],[Away Team Name]],"Draw"))</f>
        <v>Netherlands</v>
      </c>
      <c r="X474" s="4" t="str">
        <f>IF(World_Cup_Matches[[#This Row],[Home Team Goals]]&gt;World_Cup_Matches[[#This Row],[Away Team Goals]],"Hime Win",IF(World_Cup_Matches[[#This Row],[Away Team Goals]]&gt;World_Cup_Matches[[#This Row],[Home Team Goals]],"Away win","Draw"))</f>
        <v>Hime Win</v>
      </c>
    </row>
    <row r="475" spans="1:24" x14ac:dyDescent="0.2">
      <c r="A475" s="19">
        <v>1994</v>
      </c>
      <c r="B475" s="15" t="s">
        <v>1040</v>
      </c>
      <c r="C475" s="3" t="s">
        <v>607</v>
      </c>
      <c r="D475" s="3" t="s">
        <v>1041</v>
      </c>
      <c r="E475" s="3" t="s">
        <v>1042</v>
      </c>
      <c r="F475" s="3" t="s">
        <v>42</v>
      </c>
      <c r="G475" s="11">
        <v>2</v>
      </c>
      <c r="H475" s="11">
        <v>0</v>
      </c>
      <c r="I475" s="3" t="s">
        <v>1043</v>
      </c>
      <c r="J475" s="3" t="s">
        <v>1842</v>
      </c>
      <c r="K475" s="3">
        <v>81061</v>
      </c>
      <c r="L475" s="11">
        <v>1</v>
      </c>
      <c r="M475" s="11">
        <v>0</v>
      </c>
      <c r="N475" s="3" t="s">
        <v>1044</v>
      </c>
      <c r="O475" s="3" t="s">
        <v>1045</v>
      </c>
      <c r="P475" s="3" t="s">
        <v>1046</v>
      </c>
      <c r="Q475" s="11">
        <v>337</v>
      </c>
      <c r="R475" s="11">
        <v>3057</v>
      </c>
      <c r="S475" s="3" t="s">
        <v>47</v>
      </c>
      <c r="T475" s="4" t="s">
        <v>1047</v>
      </c>
      <c r="U475" s="11">
        <f>World_Cup_Matches[[#This Row],[Home Team Goals]]+World_Cup_Matches[[#This Row],[Away Team Goals]]</f>
        <v>2</v>
      </c>
      <c r="V475" s="11">
        <f>World_Cup_Matches[[#This Row],[Home Team Goals]]-World_Cup_Matches[[#This Row],[Away Team Goals]]</f>
        <v>2</v>
      </c>
      <c r="W475" s="4" t="str">
        <f>IF(World_Cup_Matches[[#This Row],[Home Team Goals]]&gt;World_Cup_Matches[[#This Row],[Away Team Goals]],World_Cup_Matches[[#This Row],[Home Team Name]],IF(World_Cup_Matches[[#This Row],[Away Team Goals]]&gt;World_Cup_Matches[[#This Row],[Home Team Goals]], World_Cup_Matches[[#This Row],[Away Team Name]],"Draw"))</f>
        <v>Brazil</v>
      </c>
      <c r="X475" s="4" t="str">
        <f>IF(World_Cup_Matches[[#This Row],[Home Team Goals]]&gt;World_Cup_Matches[[#This Row],[Away Team Goals]],"Hime Win",IF(World_Cup_Matches[[#This Row],[Away Team Goals]]&gt;World_Cup_Matches[[#This Row],[Home Team Goals]],"Away win","Draw"))</f>
        <v>Hime Win</v>
      </c>
    </row>
    <row r="476" spans="1:24" x14ac:dyDescent="0.2">
      <c r="A476" s="19">
        <v>1994</v>
      </c>
      <c r="B476" s="15" t="s">
        <v>1048</v>
      </c>
      <c r="C476" s="3" t="s">
        <v>811</v>
      </c>
      <c r="D476" s="3" t="s">
        <v>1049</v>
      </c>
      <c r="E476" s="3" t="s">
        <v>1050</v>
      </c>
      <c r="F476" s="3" t="s">
        <v>56</v>
      </c>
      <c r="G476" s="11">
        <v>4</v>
      </c>
      <c r="H476" s="11">
        <v>0</v>
      </c>
      <c r="I476" s="3" t="s">
        <v>1051</v>
      </c>
      <c r="J476" s="3" t="s">
        <v>1842</v>
      </c>
      <c r="K476" s="3">
        <v>54456</v>
      </c>
      <c r="L476" s="11">
        <v>2</v>
      </c>
      <c r="M476" s="11">
        <v>0</v>
      </c>
      <c r="N476" s="3" t="s">
        <v>1052</v>
      </c>
      <c r="O476" s="3" t="s">
        <v>1016</v>
      </c>
      <c r="P476" s="3" t="s">
        <v>1015</v>
      </c>
      <c r="Q476" s="11">
        <v>337</v>
      </c>
      <c r="R476" s="11">
        <v>3059</v>
      </c>
      <c r="S476" s="3" t="s">
        <v>59</v>
      </c>
      <c r="T476" s="4" t="s">
        <v>1053</v>
      </c>
      <c r="U476" s="11">
        <f>World_Cup_Matches[[#This Row],[Home Team Goals]]+World_Cup_Matches[[#This Row],[Away Team Goals]]</f>
        <v>4</v>
      </c>
      <c r="V476" s="11">
        <f>World_Cup_Matches[[#This Row],[Home Team Goals]]-World_Cup_Matches[[#This Row],[Away Team Goals]]</f>
        <v>4</v>
      </c>
      <c r="W476" s="4" t="str">
        <f>IF(World_Cup_Matches[[#This Row],[Home Team Goals]]&gt;World_Cup_Matches[[#This Row],[Away Team Goals]],World_Cup_Matches[[#This Row],[Home Team Name]],IF(World_Cup_Matches[[#This Row],[Away Team Goals]]&gt;World_Cup_Matches[[#This Row],[Home Team Goals]], World_Cup_Matches[[#This Row],[Away Team Name]],"Draw"))</f>
        <v>Argentina</v>
      </c>
      <c r="X476" s="4" t="str">
        <f>IF(World_Cup_Matches[[#This Row],[Home Team Goals]]&gt;World_Cup_Matches[[#This Row],[Away Team Goals]],"Hime Win",IF(World_Cup_Matches[[#This Row],[Away Team Goals]]&gt;World_Cup_Matches[[#This Row],[Home Team Goals]],"Away win","Draw"))</f>
        <v>Hime Win</v>
      </c>
    </row>
    <row r="477" spans="1:24" x14ac:dyDescent="0.2">
      <c r="A477" s="19">
        <v>1994</v>
      </c>
      <c r="B477" s="15" t="s">
        <v>1054</v>
      </c>
      <c r="C477" s="3" t="s">
        <v>811</v>
      </c>
      <c r="D477" s="3" t="s">
        <v>995</v>
      </c>
      <c r="E477" s="3" t="s">
        <v>996</v>
      </c>
      <c r="F477" s="3" t="s">
        <v>1055</v>
      </c>
      <c r="G477" s="11">
        <v>3</v>
      </c>
      <c r="H477" s="11">
        <v>0</v>
      </c>
      <c r="I477" s="3" t="s">
        <v>401</v>
      </c>
      <c r="J477" s="3" t="s">
        <v>1842</v>
      </c>
      <c r="K477" s="3">
        <v>44132</v>
      </c>
      <c r="L477" s="11">
        <v>2</v>
      </c>
      <c r="M477" s="11">
        <v>0</v>
      </c>
      <c r="N477" s="3" t="s">
        <v>1056</v>
      </c>
      <c r="O477" s="3" t="s">
        <v>1004</v>
      </c>
      <c r="P477" s="3" t="s">
        <v>1003</v>
      </c>
      <c r="Q477" s="11">
        <v>337</v>
      </c>
      <c r="R477" s="11">
        <v>3061</v>
      </c>
      <c r="S477" s="3" t="s">
        <v>1057</v>
      </c>
      <c r="T477" s="4" t="s">
        <v>404</v>
      </c>
      <c r="U477" s="11">
        <f>World_Cup_Matches[[#This Row],[Home Team Goals]]+World_Cup_Matches[[#This Row],[Away Team Goals]]</f>
        <v>3</v>
      </c>
      <c r="V477" s="11">
        <f>World_Cup_Matches[[#This Row],[Home Team Goals]]-World_Cup_Matches[[#This Row],[Away Team Goals]]</f>
        <v>3</v>
      </c>
      <c r="W477" s="4" t="str">
        <f>IF(World_Cup_Matches[[#This Row],[Home Team Goals]]&gt;World_Cup_Matches[[#This Row],[Away Team Goals]],World_Cup_Matches[[#This Row],[Home Team Name]],IF(World_Cup_Matches[[#This Row],[Away Team Goals]]&gt;World_Cup_Matches[[#This Row],[Home Team Goals]], World_Cup_Matches[[#This Row],[Away Team Name]],"Draw"))</f>
        <v>Nigeria</v>
      </c>
      <c r="X477" s="4" t="str">
        <f>IF(World_Cup_Matches[[#This Row],[Home Team Goals]]&gt;World_Cup_Matches[[#This Row],[Away Team Goals]],"Hime Win",IF(World_Cup_Matches[[#This Row],[Away Team Goals]]&gt;World_Cup_Matches[[#This Row],[Home Team Goals]],"Away win","Draw"))</f>
        <v>Hime Win</v>
      </c>
    </row>
    <row r="478" spans="1:24" x14ac:dyDescent="0.2">
      <c r="A478" s="19">
        <v>1994</v>
      </c>
      <c r="B478" s="15" t="s">
        <v>1058</v>
      </c>
      <c r="C478" s="3" t="s">
        <v>805</v>
      </c>
      <c r="D478" s="3" t="s">
        <v>1000</v>
      </c>
      <c r="E478" s="3" t="s">
        <v>1001</v>
      </c>
      <c r="F478" s="3" t="s">
        <v>124</v>
      </c>
      <c r="G478" s="11">
        <v>1</v>
      </c>
      <c r="H478" s="11">
        <v>1</v>
      </c>
      <c r="I478" s="3" t="s">
        <v>131</v>
      </c>
      <c r="J478" s="3" t="s">
        <v>1842</v>
      </c>
      <c r="K478" s="3">
        <v>63113</v>
      </c>
      <c r="L478" s="11">
        <v>0</v>
      </c>
      <c r="M478" s="11">
        <v>1</v>
      </c>
      <c r="N478" s="3" t="s">
        <v>1059</v>
      </c>
      <c r="O478" s="3" t="s">
        <v>1010</v>
      </c>
      <c r="P478" s="3" t="s">
        <v>1009</v>
      </c>
      <c r="Q478" s="11">
        <v>337</v>
      </c>
      <c r="R478" s="11">
        <v>3060</v>
      </c>
      <c r="S478" s="3" t="s">
        <v>128</v>
      </c>
      <c r="T478" s="4" t="s">
        <v>135</v>
      </c>
      <c r="U478" s="11">
        <f>World_Cup_Matches[[#This Row],[Home Team Goals]]+World_Cup_Matches[[#This Row],[Away Team Goals]]</f>
        <v>2</v>
      </c>
      <c r="V478" s="11">
        <f>World_Cup_Matches[[#This Row],[Home Team Goals]]-World_Cup_Matches[[#This Row],[Away Team Goals]]</f>
        <v>0</v>
      </c>
      <c r="W478" s="4" t="str">
        <f>IF(World_Cup_Matches[[#This Row],[Home Team Goals]]&gt;World_Cup_Matches[[#This Row],[Away Team Goals]],World_Cup_Matches[[#This Row],[Home Team Name]],IF(World_Cup_Matches[[#This Row],[Away Team Goals]]&gt;World_Cup_Matches[[#This Row],[Home Team Goals]], World_Cup_Matches[[#This Row],[Away Team Name]],"Draw"))</f>
        <v>Draw</v>
      </c>
      <c r="X478" s="4" t="str">
        <f>IF(World_Cup_Matches[[#This Row],[Home Team Goals]]&gt;World_Cup_Matches[[#This Row],[Away Team Goals]],"Hime Win",IF(World_Cup_Matches[[#This Row],[Away Team Goals]]&gt;World_Cup_Matches[[#This Row],[Home Team Goals]],"Away win","Draw"))</f>
        <v>Draw</v>
      </c>
    </row>
    <row r="479" spans="1:24" x14ac:dyDescent="0.2">
      <c r="A479" s="19">
        <v>1994</v>
      </c>
      <c r="B479" s="15" t="s">
        <v>1060</v>
      </c>
      <c r="C479" s="3" t="s">
        <v>609</v>
      </c>
      <c r="D479" s="3" t="s">
        <v>1006</v>
      </c>
      <c r="E479" s="3" t="s">
        <v>1007</v>
      </c>
      <c r="F479" s="3" t="s">
        <v>50</v>
      </c>
      <c r="G479" s="11">
        <v>1</v>
      </c>
      <c r="H479" s="11">
        <v>4</v>
      </c>
      <c r="I479" s="3" t="s">
        <v>108</v>
      </c>
      <c r="J479" s="3" t="s">
        <v>1842</v>
      </c>
      <c r="K479" s="3">
        <v>61428</v>
      </c>
      <c r="L479" s="11">
        <v>1</v>
      </c>
      <c r="M479" s="11">
        <v>1</v>
      </c>
      <c r="N479" s="3" t="s">
        <v>921</v>
      </c>
      <c r="O479" s="3" t="s">
        <v>1061</v>
      </c>
      <c r="P479" s="3" t="s">
        <v>1062</v>
      </c>
      <c r="Q479" s="11">
        <v>337</v>
      </c>
      <c r="R479" s="11">
        <v>3062</v>
      </c>
      <c r="S479" s="3" t="s">
        <v>53</v>
      </c>
      <c r="T479" s="4" t="s">
        <v>113</v>
      </c>
      <c r="U479" s="11">
        <f>World_Cup_Matches[[#This Row],[Home Team Goals]]+World_Cup_Matches[[#This Row],[Away Team Goals]]</f>
        <v>5</v>
      </c>
      <c r="V479" s="11">
        <f>World_Cup_Matches[[#This Row],[Home Team Goals]]-World_Cup_Matches[[#This Row],[Away Team Goals]]</f>
        <v>-3</v>
      </c>
      <c r="W479" s="4" t="str">
        <f>IF(World_Cup_Matches[[#This Row],[Home Team Goals]]&gt;World_Cup_Matches[[#This Row],[Away Team Goals]],World_Cup_Matches[[#This Row],[Home Team Name]],IF(World_Cup_Matches[[#This Row],[Away Team Goals]]&gt;World_Cup_Matches[[#This Row],[Home Team Goals]], World_Cup_Matches[[#This Row],[Away Team Name]],"Draw"))</f>
        <v>Switzerland</v>
      </c>
      <c r="X479" s="4" t="str">
        <f>IF(World_Cup_Matches[[#This Row],[Home Team Goals]]&gt;World_Cup_Matches[[#This Row],[Away Team Goals]],"Hime Win",IF(World_Cup_Matches[[#This Row],[Away Team Goals]]&gt;World_Cup_Matches[[#This Row],[Home Team Goals]],"Away win","Draw"))</f>
        <v>Away win</v>
      </c>
    </row>
    <row r="480" spans="1:24" x14ac:dyDescent="0.2">
      <c r="A480" s="19">
        <v>1994</v>
      </c>
      <c r="B480" s="15" t="s">
        <v>1063</v>
      </c>
      <c r="C480" s="3" t="s">
        <v>609</v>
      </c>
      <c r="D480" s="3" t="s">
        <v>1018</v>
      </c>
      <c r="E480" s="3" t="s">
        <v>1019</v>
      </c>
      <c r="F480" s="3" t="s">
        <v>33</v>
      </c>
      <c r="G480" s="11">
        <v>2</v>
      </c>
      <c r="H480" s="11">
        <v>1</v>
      </c>
      <c r="I480" s="3" t="s">
        <v>390</v>
      </c>
      <c r="J480" s="3" t="s">
        <v>1842</v>
      </c>
      <c r="K480" s="3">
        <v>93869</v>
      </c>
      <c r="L480" s="11">
        <v>1</v>
      </c>
      <c r="M480" s="11">
        <v>0</v>
      </c>
      <c r="N480" s="3" t="s">
        <v>1064</v>
      </c>
      <c r="O480" s="3" t="s">
        <v>1046</v>
      </c>
      <c r="P480" s="3" t="s">
        <v>1045</v>
      </c>
      <c r="Q480" s="11">
        <v>337</v>
      </c>
      <c r="R480" s="11">
        <v>3063</v>
      </c>
      <c r="S480" s="3" t="s">
        <v>33</v>
      </c>
      <c r="T480" s="4" t="s">
        <v>394</v>
      </c>
      <c r="U480" s="11">
        <f>World_Cup_Matches[[#This Row],[Home Team Goals]]+World_Cup_Matches[[#This Row],[Away Team Goals]]</f>
        <v>3</v>
      </c>
      <c r="V480" s="11">
        <f>World_Cup_Matches[[#This Row],[Home Team Goals]]-World_Cup_Matches[[#This Row],[Away Team Goals]]</f>
        <v>1</v>
      </c>
      <c r="W480" s="4" t="str">
        <f>IF(World_Cup_Matches[[#This Row],[Home Team Goals]]&gt;World_Cup_Matches[[#This Row],[Away Team Goals]],World_Cup_Matches[[#This Row],[Home Team Name]],IF(World_Cup_Matches[[#This Row],[Away Team Goals]]&gt;World_Cup_Matches[[#This Row],[Home Team Goals]], World_Cup_Matches[[#This Row],[Away Team Name]],"Draw"))</f>
        <v>USA</v>
      </c>
      <c r="X480" s="4" t="str">
        <f>IF(World_Cup_Matches[[#This Row],[Home Team Goals]]&gt;World_Cup_Matches[[#This Row],[Away Team Goals]],"Hime Win",IF(World_Cup_Matches[[#This Row],[Away Team Goals]]&gt;World_Cup_Matches[[#This Row],[Home Team Goals]],"Away win","Draw"))</f>
        <v>Hime Win</v>
      </c>
    </row>
    <row r="481" spans="1:24" x14ac:dyDescent="0.2">
      <c r="A481" s="19">
        <v>1994</v>
      </c>
      <c r="B481" s="15" t="s">
        <v>1065</v>
      </c>
      <c r="C481" s="3" t="s">
        <v>846</v>
      </c>
      <c r="D481" s="3" t="s">
        <v>1012</v>
      </c>
      <c r="E481" s="3" t="s">
        <v>1013</v>
      </c>
      <c r="F481" s="3" t="s">
        <v>138</v>
      </c>
      <c r="G481" s="11">
        <v>1</v>
      </c>
      <c r="H481" s="11">
        <v>0</v>
      </c>
      <c r="I481" s="3" t="s">
        <v>183</v>
      </c>
      <c r="J481" s="3" t="s">
        <v>1842</v>
      </c>
      <c r="K481" s="3">
        <v>74624</v>
      </c>
      <c r="L481" s="11">
        <v>0</v>
      </c>
      <c r="M481" s="11">
        <v>0</v>
      </c>
      <c r="N481" s="3" t="s">
        <v>1066</v>
      </c>
      <c r="O481" s="3" t="s">
        <v>1027</v>
      </c>
      <c r="P481" s="3" t="s">
        <v>998</v>
      </c>
      <c r="Q481" s="11">
        <v>337</v>
      </c>
      <c r="R481" s="11">
        <v>3064</v>
      </c>
      <c r="S481" s="3" t="s">
        <v>142</v>
      </c>
      <c r="T481" s="4" t="s">
        <v>186</v>
      </c>
      <c r="U481" s="11">
        <f>World_Cup_Matches[[#This Row],[Home Team Goals]]+World_Cup_Matches[[#This Row],[Away Team Goals]]</f>
        <v>1</v>
      </c>
      <c r="V481" s="11">
        <f>World_Cup_Matches[[#This Row],[Home Team Goals]]-World_Cup_Matches[[#This Row],[Away Team Goals]]</f>
        <v>1</v>
      </c>
      <c r="W481" s="4" t="str">
        <f>IF(World_Cup_Matches[[#This Row],[Home Team Goals]]&gt;World_Cup_Matches[[#This Row],[Away Team Goals]],World_Cup_Matches[[#This Row],[Home Team Name]],IF(World_Cup_Matches[[#This Row],[Away Team Goals]]&gt;World_Cup_Matches[[#This Row],[Home Team Goals]], World_Cup_Matches[[#This Row],[Away Team Name]],"Draw"))</f>
        <v>Italy</v>
      </c>
      <c r="X481" s="4" t="str">
        <f>IF(World_Cup_Matches[[#This Row],[Home Team Goals]]&gt;World_Cup_Matches[[#This Row],[Away Team Goals]],"Hime Win",IF(World_Cup_Matches[[#This Row],[Away Team Goals]]&gt;World_Cup_Matches[[#This Row],[Home Team Goals]],"Away win","Draw"))</f>
        <v>Hime Win</v>
      </c>
    </row>
    <row r="482" spans="1:24" x14ac:dyDescent="0.2">
      <c r="A482" s="19">
        <v>1994</v>
      </c>
      <c r="B482" s="15" t="s">
        <v>1067</v>
      </c>
      <c r="C482" s="3" t="s">
        <v>805</v>
      </c>
      <c r="D482" s="3" t="s">
        <v>1049</v>
      </c>
      <c r="E482" s="3" t="s">
        <v>1050</v>
      </c>
      <c r="F482" s="3" t="s">
        <v>291</v>
      </c>
      <c r="G482" s="11">
        <v>0</v>
      </c>
      <c r="H482" s="11">
        <v>0</v>
      </c>
      <c r="I482" s="3" t="s">
        <v>65</v>
      </c>
      <c r="J482" s="3" t="s">
        <v>1842</v>
      </c>
      <c r="K482" s="3">
        <v>54453</v>
      </c>
      <c r="L482" s="11">
        <v>0</v>
      </c>
      <c r="M482" s="11">
        <v>0</v>
      </c>
      <c r="N482" s="3" t="s">
        <v>1068</v>
      </c>
      <c r="O482" s="3" t="s">
        <v>1069</v>
      </c>
      <c r="P482" s="3" t="s">
        <v>1070</v>
      </c>
      <c r="Q482" s="11">
        <v>337</v>
      </c>
      <c r="R482" s="11">
        <v>3065</v>
      </c>
      <c r="S482" s="3" t="s">
        <v>295</v>
      </c>
      <c r="T482" s="4" t="s">
        <v>66</v>
      </c>
      <c r="U482" s="11">
        <f>World_Cup_Matches[[#This Row],[Home Team Goals]]+World_Cup_Matches[[#This Row],[Away Team Goals]]</f>
        <v>0</v>
      </c>
      <c r="V482" s="11">
        <f>World_Cup_Matches[[#This Row],[Home Team Goals]]-World_Cup_Matches[[#This Row],[Away Team Goals]]</f>
        <v>0</v>
      </c>
      <c r="W482" s="4" t="str">
        <f>IF(World_Cup_Matches[[#This Row],[Home Team Goals]]&gt;World_Cup_Matches[[#This Row],[Away Team Goals]],World_Cup_Matches[[#This Row],[Home Team Name]],IF(World_Cup_Matches[[#This Row],[Away Team Goals]]&gt;World_Cup_Matches[[#This Row],[Home Team Goals]], World_Cup_Matches[[#This Row],[Away Team Name]],"Draw"))</f>
        <v>Draw</v>
      </c>
      <c r="X482" s="4" t="str">
        <f>IF(World_Cup_Matches[[#This Row],[Home Team Goals]]&gt;World_Cup_Matches[[#This Row],[Away Team Goals]],"Hime Win",IF(World_Cup_Matches[[#This Row],[Away Team Goals]]&gt;World_Cup_Matches[[#This Row],[Home Team Goals]],"Away win","Draw"))</f>
        <v>Draw</v>
      </c>
    </row>
    <row r="483" spans="1:24" x14ac:dyDescent="0.2">
      <c r="A483" s="19">
        <v>1994</v>
      </c>
      <c r="B483" s="15" t="s">
        <v>1071</v>
      </c>
      <c r="C483" s="3" t="s">
        <v>846</v>
      </c>
      <c r="D483" s="3" t="s">
        <v>1023</v>
      </c>
      <c r="E483" s="3" t="s">
        <v>1024</v>
      </c>
      <c r="F483" s="3" t="s">
        <v>25</v>
      </c>
      <c r="G483" s="11">
        <v>2</v>
      </c>
      <c r="H483" s="11">
        <v>1</v>
      </c>
      <c r="I483" s="3" t="s">
        <v>933</v>
      </c>
      <c r="J483" s="3" t="s">
        <v>1842</v>
      </c>
      <c r="K483" s="3">
        <v>60790</v>
      </c>
      <c r="L483" s="11">
        <v>1</v>
      </c>
      <c r="M483" s="11">
        <v>0</v>
      </c>
      <c r="N483" s="3" t="s">
        <v>915</v>
      </c>
      <c r="O483" s="3" t="s">
        <v>902</v>
      </c>
      <c r="P483" s="3" t="s">
        <v>1072</v>
      </c>
      <c r="Q483" s="11">
        <v>337</v>
      </c>
      <c r="R483" s="11">
        <v>3066</v>
      </c>
      <c r="S483" s="3" t="s">
        <v>30</v>
      </c>
      <c r="T483" s="4" t="s">
        <v>934</v>
      </c>
      <c r="U483" s="11">
        <f>World_Cup_Matches[[#This Row],[Home Team Goals]]+World_Cup_Matches[[#This Row],[Away Team Goals]]</f>
        <v>3</v>
      </c>
      <c r="V483" s="11">
        <f>World_Cup_Matches[[#This Row],[Home Team Goals]]-World_Cup_Matches[[#This Row],[Away Team Goals]]</f>
        <v>1</v>
      </c>
      <c r="W483" s="4" t="str">
        <f>IF(World_Cup_Matches[[#This Row],[Home Team Goals]]&gt;World_Cup_Matches[[#This Row],[Away Team Goals]],World_Cup_Matches[[#This Row],[Home Team Name]],IF(World_Cup_Matches[[#This Row],[Away Team Goals]]&gt;World_Cup_Matches[[#This Row],[Home Team Goals]], World_Cup_Matches[[#This Row],[Away Team Name]],"Draw"))</f>
        <v>Mexico</v>
      </c>
      <c r="X483" s="4" t="str">
        <f>IF(World_Cup_Matches[[#This Row],[Home Team Goals]]&gt;World_Cup_Matches[[#This Row],[Away Team Goals]],"Hime Win",IF(World_Cup_Matches[[#This Row],[Away Team Goals]]&gt;World_Cup_Matches[[#This Row],[Home Team Goals]],"Away win","Draw"))</f>
        <v>Hime Win</v>
      </c>
    </row>
    <row r="484" spans="1:24" x14ac:dyDescent="0.2">
      <c r="A484" s="19">
        <v>1994</v>
      </c>
      <c r="B484" s="15" t="s">
        <v>1073</v>
      </c>
      <c r="C484" s="3" t="s">
        <v>607</v>
      </c>
      <c r="D484" s="3" t="s">
        <v>1006</v>
      </c>
      <c r="E484" s="3" t="s">
        <v>1007</v>
      </c>
      <c r="F484" s="3" t="s">
        <v>117</v>
      </c>
      <c r="G484" s="11">
        <v>3</v>
      </c>
      <c r="H484" s="11">
        <v>1</v>
      </c>
      <c r="I484" s="3" t="s">
        <v>1043</v>
      </c>
      <c r="J484" s="3" t="s">
        <v>1842</v>
      </c>
      <c r="K484" s="3">
        <v>71528</v>
      </c>
      <c r="L484" s="11">
        <v>1</v>
      </c>
      <c r="M484" s="11">
        <v>1</v>
      </c>
      <c r="N484" s="3" t="s">
        <v>828</v>
      </c>
      <c r="O484" s="3" t="s">
        <v>1062</v>
      </c>
      <c r="P484" s="3" t="s">
        <v>1061</v>
      </c>
      <c r="Q484" s="11">
        <v>337</v>
      </c>
      <c r="R484" s="11">
        <v>3068</v>
      </c>
      <c r="S484" s="3" t="s">
        <v>121</v>
      </c>
      <c r="T484" s="4" t="s">
        <v>1047</v>
      </c>
      <c r="U484" s="11">
        <f>World_Cup_Matches[[#This Row],[Home Team Goals]]+World_Cup_Matches[[#This Row],[Away Team Goals]]</f>
        <v>4</v>
      </c>
      <c r="V484" s="11">
        <f>World_Cup_Matches[[#This Row],[Home Team Goals]]-World_Cup_Matches[[#This Row],[Away Team Goals]]</f>
        <v>2</v>
      </c>
      <c r="W484" s="4" t="str">
        <f>IF(World_Cup_Matches[[#This Row],[Home Team Goals]]&gt;World_Cup_Matches[[#This Row],[Away Team Goals]],World_Cup_Matches[[#This Row],[Home Team Name]],IF(World_Cup_Matches[[#This Row],[Away Team Goals]]&gt;World_Cup_Matches[[#This Row],[Home Team Goals]], World_Cup_Matches[[#This Row],[Away Team Name]],"Draw"))</f>
        <v>Sweden</v>
      </c>
      <c r="X484" s="4" t="str">
        <f>IF(World_Cup_Matches[[#This Row],[Home Team Goals]]&gt;World_Cup_Matches[[#This Row],[Away Team Goals]],"Hime Win",IF(World_Cup_Matches[[#This Row],[Away Team Goals]]&gt;World_Cup_Matches[[#This Row],[Home Team Goals]],"Away win","Draw"))</f>
        <v>Hime Win</v>
      </c>
    </row>
    <row r="485" spans="1:24" x14ac:dyDescent="0.2">
      <c r="A485" s="19">
        <v>1994</v>
      </c>
      <c r="B485" s="15" t="s">
        <v>1074</v>
      </c>
      <c r="C485" s="3" t="s">
        <v>607</v>
      </c>
      <c r="D485" s="3" t="s">
        <v>1041</v>
      </c>
      <c r="E485" s="3" t="s">
        <v>1042</v>
      </c>
      <c r="F485" s="3" t="s">
        <v>42</v>
      </c>
      <c r="G485" s="11">
        <v>3</v>
      </c>
      <c r="H485" s="11">
        <v>0</v>
      </c>
      <c r="I485" s="3" t="s">
        <v>700</v>
      </c>
      <c r="J485" s="3" t="s">
        <v>1842</v>
      </c>
      <c r="K485" s="3">
        <v>83401</v>
      </c>
      <c r="L485" s="11">
        <v>1</v>
      </c>
      <c r="M485" s="11">
        <v>0</v>
      </c>
      <c r="N485" s="3" t="s">
        <v>1002</v>
      </c>
      <c r="O485" s="3" t="s">
        <v>1021</v>
      </c>
      <c r="P485" s="3" t="s">
        <v>997</v>
      </c>
      <c r="Q485" s="11">
        <v>337</v>
      </c>
      <c r="R485" s="11">
        <v>3067</v>
      </c>
      <c r="S485" s="3" t="s">
        <v>47</v>
      </c>
      <c r="T485" s="4" t="s">
        <v>702</v>
      </c>
      <c r="U485" s="11">
        <f>World_Cup_Matches[[#This Row],[Home Team Goals]]+World_Cup_Matches[[#This Row],[Away Team Goals]]</f>
        <v>3</v>
      </c>
      <c r="V485" s="11">
        <f>World_Cup_Matches[[#This Row],[Home Team Goals]]-World_Cup_Matches[[#This Row],[Away Team Goals]]</f>
        <v>3</v>
      </c>
      <c r="W485" s="4" t="str">
        <f>IF(World_Cup_Matches[[#This Row],[Home Team Goals]]&gt;World_Cup_Matches[[#This Row],[Away Team Goals]],World_Cup_Matches[[#This Row],[Home Team Name]],IF(World_Cup_Matches[[#This Row],[Away Team Goals]]&gt;World_Cup_Matches[[#This Row],[Home Team Goals]], World_Cup_Matches[[#This Row],[Away Team Name]],"Draw"))</f>
        <v>Brazil</v>
      </c>
      <c r="X485" s="4" t="str">
        <f>IF(World_Cup_Matches[[#This Row],[Home Team Goals]]&gt;World_Cup_Matches[[#This Row],[Away Team Goals]],"Hime Win",IF(World_Cup_Matches[[#This Row],[Away Team Goals]]&gt;World_Cup_Matches[[#This Row],[Home Team Goals]],"Away win","Draw"))</f>
        <v>Hime Win</v>
      </c>
    </row>
    <row r="486" spans="1:24" x14ac:dyDescent="0.2">
      <c r="A486" s="19">
        <v>1994</v>
      </c>
      <c r="B486" s="15" t="s">
        <v>1075</v>
      </c>
      <c r="C486" s="3" t="s">
        <v>824</v>
      </c>
      <c r="D486" s="3" t="s">
        <v>1023</v>
      </c>
      <c r="E486" s="3" t="s">
        <v>1024</v>
      </c>
      <c r="F486" s="3" t="s">
        <v>34</v>
      </c>
      <c r="G486" s="11">
        <v>1</v>
      </c>
      <c r="H486" s="11">
        <v>0</v>
      </c>
      <c r="I486" s="3" t="s">
        <v>109</v>
      </c>
      <c r="J486" s="3" t="s">
        <v>1842</v>
      </c>
      <c r="K486" s="3">
        <v>62387</v>
      </c>
      <c r="L486" s="11">
        <v>0</v>
      </c>
      <c r="M486" s="11">
        <v>0</v>
      </c>
      <c r="N486" s="3" t="s">
        <v>1076</v>
      </c>
      <c r="O486" s="3" t="s">
        <v>1072</v>
      </c>
      <c r="P486" s="3" t="s">
        <v>902</v>
      </c>
      <c r="Q486" s="11">
        <v>337</v>
      </c>
      <c r="R486" s="11">
        <v>3069</v>
      </c>
      <c r="S486" s="3" t="s">
        <v>38</v>
      </c>
      <c r="T486" s="4" t="s">
        <v>114</v>
      </c>
      <c r="U486" s="11">
        <f>World_Cup_Matches[[#This Row],[Home Team Goals]]+World_Cup_Matches[[#This Row],[Away Team Goals]]</f>
        <v>1</v>
      </c>
      <c r="V486" s="11">
        <f>World_Cup_Matches[[#This Row],[Home Team Goals]]-World_Cup_Matches[[#This Row],[Away Team Goals]]</f>
        <v>1</v>
      </c>
      <c r="W486" s="4" t="str">
        <f>IF(World_Cup_Matches[[#This Row],[Home Team Goals]]&gt;World_Cup_Matches[[#This Row],[Away Team Goals]],World_Cup_Matches[[#This Row],[Home Team Name]],IF(World_Cup_Matches[[#This Row],[Away Team Goals]]&gt;World_Cup_Matches[[#This Row],[Home Team Goals]], World_Cup_Matches[[#This Row],[Away Team Name]],"Draw"))</f>
        <v>Belgium</v>
      </c>
      <c r="X486" s="4" t="str">
        <f>IF(World_Cup_Matches[[#This Row],[Home Team Goals]]&gt;World_Cup_Matches[[#This Row],[Away Team Goals]],"Hime Win",IF(World_Cup_Matches[[#This Row],[Away Team Goals]]&gt;World_Cup_Matches[[#This Row],[Home Team Goals]],"Away win","Draw"))</f>
        <v>Hime Win</v>
      </c>
    </row>
    <row r="487" spans="1:24" x14ac:dyDescent="0.2">
      <c r="A487" s="19">
        <v>1994</v>
      </c>
      <c r="B487" s="15" t="s">
        <v>1075</v>
      </c>
      <c r="C487" s="3" t="s">
        <v>824</v>
      </c>
      <c r="D487" s="3" t="s">
        <v>1012</v>
      </c>
      <c r="E487" s="3" t="s">
        <v>1013</v>
      </c>
      <c r="F487" s="3" t="s">
        <v>1037</v>
      </c>
      <c r="G487" s="11">
        <v>2</v>
      </c>
      <c r="H487" s="11">
        <v>1</v>
      </c>
      <c r="I487" s="3" t="s">
        <v>513</v>
      </c>
      <c r="J487" s="3" t="s">
        <v>1842</v>
      </c>
      <c r="K487" s="3">
        <v>76322</v>
      </c>
      <c r="L487" s="11">
        <v>2</v>
      </c>
      <c r="M487" s="11">
        <v>1</v>
      </c>
      <c r="N487" s="3" t="s">
        <v>1077</v>
      </c>
      <c r="O487" s="3" t="s">
        <v>998</v>
      </c>
      <c r="P487" s="3" t="s">
        <v>1027</v>
      </c>
      <c r="Q487" s="11">
        <v>337</v>
      </c>
      <c r="R487" s="11">
        <v>3070</v>
      </c>
      <c r="S487" s="3" t="s">
        <v>1039</v>
      </c>
      <c r="T487" s="4" t="s">
        <v>517</v>
      </c>
      <c r="U487" s="11">
        <f>World_Cup_Matches[[#This Row],[Home Team Goals]]+World_Cup_Matches[[#This Row],[Away Team Goals]]</f>
        <v>3</v>
      </c>
      <c r="V487" s="11">
        <f>World_Cup_Matches[[#This Row],[Home Team Goals]]-World_Cup_Matches[[#This Row],[Away Team Goals]]</f>
        <v>1</v>
      </c>
      <c r="W487" s="4" t="str">
        <f>IF(World_Cup_Matches[[#This Row],[Home Team Goals]]&gt;World_Cup_Matches[[#This Row],[Away Team Goals]],World_Cup_Matches[[#This Row],[Home Team Name]],IF(World_Cup_Matches[[#This Row],[Away Team Goals]]&gt;World_Cup_Matches[[#This Row],[Home Team Goals]], World_Cup_Matches[[#This Row],[Away Team Name]],"Draw"))</f>
        <v>Saudi Arabia</v>
      </c>
      <c r="X487" s="4" t="str">
        <f>IF(World_Cup_Matches[[#This Row],[Home Team Goals]]&gt;World_Cup_Matches[[#This Row],[Away Team Goals]],"Hime Win",IF(World_Cup_Matches[[#This Row],[Away Team Goals]]&gt;World_Cup_Matches[[#This Row],[Home Team Goals]],"Away win","Draw"))</f>
        <v>Hime Win</v>
      </c>
    </row>
    <row r="488" spans="1:24" x14ac:dyDescent="0.2">
      <c r="A488" s="19">
        <v>1994</v>
      </c>
      <c r="B488" s="15" t="s">
        <v>1078</v>
      </c>
      <c r="C488" s="3" t="s">
        <v>811</v>
      </c>
      <c r="D488" s="3" t="s">
        <v>1049</v>
      </c>
      <c r="E488" s="3" t="s">
        <v>1050</v>
      </c>
      <c r="F488" s="3" t="s">
        <v>56</v>
      </c>
      <c r="G488" s="11">
        <v>2</v>
      </c>
      <c r="H488" s="11">
        <v>1</v>
      </c>
      <c r="I488" s="3" t="s">
        <v>1055</v>
      </c>
      <c r="J488" s="3" t="s">
        <v>1842</v>
      </c>
      <c r="K488" s="3">
        <v>54453</v>
      </c>
      <c r="L488" s="11">
        <v>2</v>
      </c>
      <c r="M488" s="11">
        <v>1</v>
      </c>
      <c r="N488" s="3" t="s">
        <v>1079</v>
      </c>
      <c r="O488" s="3" t="s">
        <v>1070</v>
      </c>
      <c r="P488" s="3" t="s">
        <v>1069</v>
      </c>
      <c r="Q488" s="11">
        <v>337</v>
      </c>
      <c r="R488" s="11">
        <v>3071</v>
      </c>
      <c r="S488" s="3" t="s">
        <v>59</v>
      </c>
      <c r="T488" s="4" t="s">
        <v>1057</v>
      </c>
      <c r="U488" s="11">
        <f>World_Cup_Matches[[#This Row],[Home Team Goals]]+World_Cup_Matches[[#This Row],[Away Team Goals]]</f>
        <v>3</v>
      </c>
      <c r="V488" s="11">
        <f>World_Cup_Matches[[#This Row],[Home Team Goals]]-World_Cup_Matches[[#This Row],[Away Team Goals]]</f>
        <v>1</v>
      </c>
      <c r="W488" s="4" t="str">
        <f>IF(World_Cup_Matches[[#This Row],[Home Team Goals]]&gt;World_Cup_Matches[[#This Row],[Away Team Goals]],World_Cup_Matches[[#This Row],[Home Team Name]],IF(World_Cup_Matches[[#This Row],[Away Team Goals]]&gt;World_Cup_Matches[[#This Row],[Home Team Goals]], World_Cup_Matches[[#This Row],[Away Team Name]],"Draw"))</f>
        <v>Argentina</v>
      </c>
      <c r="X488" s="4" t="str">
        <f>IF(World_Cup_Matches[[#This Row],[Home Team Goals]]&gt;World_Cup_Matches[[#This Row],[Away Team Goals]],"Hime Win",IF(World_Cup_Matches[[#This Row],[Away Team Goals]]&gt;World_Cup_Matches[[#This Row],[Home Team Goals]],"Away win","Draw"))</f>
        <v>Hime Win</v>
      </c>
    </row>
    <row r="489" spans="1:24" x14ac:dyDescent="0.2">
      <c r="A489" s="19">
        <v>1994</v>
      </c>
      <c r="B489" s="15" t="s">
        <v>1080</v>
      </c>
      <c r="C489" s="3" t="s">
        <v>811</v>
      </c>
      <c r="D489" s="3" t="s">
        <v>1000</v>
      </c>
      <c r="E489" s="3" t="s">
        <v>1001</v>
      </c>
      <c r="F489" s="3" t="s">
        <v>401</v>
      </c>
      <c r="G489" s="11">
        <v>4</v>
      </c>
      <c r="H489" s="11">
        <v>0</v>
      </c>
      <c r="I489" s="3" t="s">
        <v>1051</v>
      </c>
      <c r="J489" s="3" t="s">
        <v>1842</v>
      </c>
      <c r="K489" s="3">
        <v>63160</v>
      </c>
      <c r="L489" s="11">
        <v>1</v>
      </c>
      <c r="M489" s="11">
        <v>0</v>
      </c>
      <c r="N489" s="3" t="s">
        <v>1081</v>
      </c>
      <c r="O489" s="3" t="s">
        <v>1020</v>
      </c>
      <c r="P489" s="3" t="s">
        <v>1026</v>
      </c>
      <c r="Q489" s="11">
        <v>337</v>
      </c>
      <c r="R489" s="11">
        <v>3072</v>
      </c>
      <c r="S489" s="3" t="s">
        <v>404</v>
      </c>
      <c r="T489" s="4" t="s">
        <v>1053</v>
      </c>
      <c r="U489" s="11">
        <f>World_Cup_Matches[[#This Row],[Home Team Goals]]+World_Cup_Matches[[#This Row],[Away Team Goals]]</f>
        <v>4</v>
      </c>
      <c r="V489" s="11">
        <f>World_Cup_Matches[[#This Row],[Home Team Goals]]-World_Cup_Matches[[#This Row],[Away Team Goals]]</f>
        <v>4</v>
      </c>
      <c r="W489" s="4" t="str">
        <f>IF(World_Cup_Matches[[#This Row],[Home Team Goals]]&gt;World_Cup_Matches[[#This Row],[Away Team Goals]],World_Cup_Matches[[#This Row],[Home Team Name]],IF(World_Cup_Matches[[#This Row],[Away Team Goals]]&gt;World_Cup_Matches[[#This Row],[Home Team Goals]], World_Cup_Matches[[#This Row],[Away Team Name]],"Draw"))</f>
        <v>Bulgaria</v>
      </c>
      <c r="X489" s="4" t="str">
        <f>IF(World_Cup_Matches[[#This Row],[Home Team Goals]]&gt;World_Cup_Matches[[#This Row],[Away Team Goals]],"Hime Win",IF(World_Cup_Matches[[#This Row],[Away Team Goals]]&gt;World_Cup_Matches[[#This Row],[Home Team Goals]],"Away win","Draw"))</f>
        <v>Hime Win</v>
      </c>
    </row>
    <row r="490" spans="1:24" x14ac:dyDescent="0.2">
      <c r="A490" s="19">
        <v>1994</v>
      </c>
      <c r="B490" s="15" t="s">
        <v>1082</v>
      </c>
      <c r="C490" s="3" t="s">
        <v>609</v>
      </c>
      <c r="D490" s="3" t="s">
        <v>1018</v>
      </c>
      <c r="E490" s="3" t="s">
        <v>1019</v>
      </c>
      <c r="F490" s="3" t="s">
        <v>33</v>
      </c>
      <c r="G490" s="11">
        <v>0</v>
      </c>
      <c r="H490" s="11">
        <v>1</v>
      </c>
      <c r="I490" s="3" t="s">
        <v>50</v>
      </c>
      <c r="J490" s="3" t="s">
        <v>1842</v>
      </c>
      <c r="K490" s="3">
        <v>93869</v>
      </c>
      <c r="L490" s="11">
        <v>0</v>
      </c>
      <c r="M490" s="11">
        <v>1</v>
      </c>
      <c r="N490" s="3" t="s">
        <v>1014</v>
      </c>
      <c r="O490" s="3" t="s">
        <v>1015</v>
      </c>
      <c r="P490" s="3" t="s">
        <v>1004</v>
      </c>
      <c r="Q490" s="11">
        <v>337</v>
      </c>
      <c r="R490" s="11">
        <v>3073</v>
      </c>
      <c r="S490" s="3" t="s">
        <v>33</v>
      </c>
      <c r="T490" s="4" t="s">
        <v>53</v>
      </c>
      <c r="U490" s="11">
        <f>World_Cup_Matches[[#This Row],[Home Team Goals]]+World_Cup_Matches[[#This Row],[Away Team Goals]]</f>
        <v>1</v>
      </c>
      <c r="V490" s="11">
        <f>World_Cup_Matches[[#This Row],[Home Team Goals]]-World_Cup_Matches[[#This Row],[Away Team Goals]]</f>
        <v>-1</v>
      </c>
      <c r="W490" s="4" t="str">
        <f>IF(World_Cup_Matches[[#This Row],[Home Team Goals]]&gt;World_Cup_Matches[[#This Row],[Away Team Goals]],World_Cup_Matches[[#This Row],[Home Team Name]],IF(World_Cup_Matches[[#This Row],[Away Team Goals]]&gt;World_Cup_Matches[[#This Row],[Home Team Goals]], World_Cup_Matches[[#This Row],[Away Team Name]],"Draw"))</f>
        <v>Romania</v>
      </c>
      <c r="X490" s="4" t="str">
        <f>IF(World_Cup_Matches[[#This Row],[Home Team Goals]]&gt;World_Cup_Matches[[#This Row],[Away Team Goals]],"Hime Win",IF(World_Cup_Matches[[#This Row],[Away Team Goals]]&gt;World_Cup_Matches[[#This Row],[Home Team Goals]],"Away win","Draw"))</f>
        <v>Away win</v>
      </c>
    </row>
    <row r="491" spans="1:24" x14ac:dyDescent="0.2">
      <c r="A491" s="19">
        <v>1994</v>
      </c>
      <c r="B491" s="15" t="s">
        <v>1082</v>
      </c>
      <c r="C491" s="3" t="s">
        <v>609</v>
      </c>
      <c r="D491" s="3" t="s">
        <v>1041</v>
      </c>
      <c r="E491" s="3" t="s">
        <v>1042</v>
      </c>
      <c r="F491" s="3" t="s">
        <v>108</v>
      </c>
      <c r="G491" s="11">
        <v>0</v>
      </c>
      <c r="H491" s="11">
        <v>2</v>
      </c>
      <c r="I491" s="3" t="s">
        <v>390</v>
      </c>
      <c r="J491" s="3" t="s">
        <v>1842</v>
      </c>
      <c r="K491" s="3">
        <v>83401</v>
      </c>
      <c r="L491" s="11">
        <v>0</v>
      </c>
      <c r="M491" s="11">
        <v>1</v>
      </c>
      <c r="N491" s="3" t="s">
        <v>922</v>
      </c>
      <c r="O491" s="3" t="s">
        <v>997</v>
      </c>
      <c r="P491" s="3" t="s">
        <v>1021</v>
      </c>
      <c r="Q491" s="11">
        <v>337</v>
      </c>
      <c r="R491" s="11">
        <v>3074</v>
      </c>
      <c r="S491" s="3" t="s">
        <v>113</v>
      </c>
      <c r="T491" s="4" t="s">
        <v>394</v>
      </c>
      <c r="U491" s="11">
        <f>World_Cup_Matches[[#This Row],[Home Team Goals]]+World_Cup_Matches[[#This Row],[Away Team Goals]]</f>
        <v>2</v>
      </c>
      <c r="V491" s="11">
        <f>World_Cup_Matches[[#This Row],[Home Team Goals]]-World_Cup_Matches[[#This Row],[Away Team Goals]]</f>
        <v>-2</v>
      </c>
      <c r="W491" s="4" t="str">
        <f>IF(World_Cup_Matches[[#This Row],[Home Team Goals]]&gt;World_Cup_Matches[[#This Row],[Away Team Goals]],World_Cup_Matches[[#This Row],[Home Team Name]],IF(World_Cup_Matches[[#This Row],[Away Team Goals]]&gt;World_Cup_Matches[[#This Row],[Home Team Goals]], World_Cup_Matches[[#This Row],[Away Team Name]],"Draw"))</f>
        <v>Colombia</v>
      </c>
      <c r="X491" s="4" t="str">
        <f>IF(World_Cup_Matches[[#This Row],[Home Team Goals]]&gt;World_Cup_Matches[[#This Row],[Away Team Goals]],"Hime Win",IF(World_Cup_Matches[[#This Row],[Away Team Goals]]&gt;World_Cup_Matches[[#This Row],[Home Team Goals]],"Away win","Draw"))</f>
        <v>Away win</v>
      </c>
    </row>
    <row r="492" spans="1:24" x14ac:dyDescent="0.2">
      <c r="A492" s="19">
        <v>1994</v>
      </c>
      <c r="B492" s="15" t="s">
        <v>1083</v>
      </c>
      <c r="C492" s="3" t="s">
        <v>805</v>
      </c>
      <c r="D492" s="3" t="s">
        <v>995</v>
      </c>
      <c r="E492" s="3" t="s">
        <v>996</v>
      </c>
      <c r="F492" s="3" t="s">
        <v>124</v>
      </c>
      <c r="G492" s="11">
        <v>3</v>
      </c>
      <c r="H492" s="11">
        <v>2</v>
      </c>
      <c r="I492" s="3" t="s">
        <v>291</v>
      </c>
      <c r="J492" s="3" t="s">
        <v>1842</v>
      </c>
      <c r="K492" s="3">
        <v>63998</v>
      </c>
      <c r="L492" s="11">
        <v>3</v>
      </c>
      <c r="M492" s="11">
        <v>0</v>
      </c>
      <c r="N492" s="3" t="s">
        <v>828</v>
      </c>
      <c r="O492" s="3" t="s">
        <v>1033</v>
      </c>
      <c r="P492" s="3" t="s">
        <v>1061</v>
      </c>
      <c r="Q492" s="11">
        <v>337</v>
      </c>
      <c r="R492" s="11">
        <v>3076</v>
      </c>
      <c r="S492" s="3" t="s">
        <v>128</v>
      </c>
      <c r="T492" s="4" t="s">
        <v>295</v>
      </c>
      <c r="U492" s="11">
        <f>World_Cup_Matches[[#This Row],[Home Team Goals]]+World_Cup_Matches[[#This Row],[Away Team Goals]]</f>
        <v>5</v>
      </c>
      <c r="V492" s="11">
        <f>World_Cup_Matches[[#This Row],[Home Team Goals]]-World_Cup_Matches[[#This Row],[Away Team Goals]]</f>
        <v>1</v>
      </c>
      <c r="W492" s="4" t="str">
        <f>IF(World_Cup_Matches[[#This Row],[Home Team Goals]]&gt;World_Cup_Matches[[#This Row],[Away Team Goals]],World_Cup_Matches[[#This Row],[Home Team Name]],IF(World_Cup_Matches[[#This Row],[Away Team Goals]]&gt;World_Cup_Matches[[#This Row],[Home Team Goals]], World_Cup_Matches[[#This Row],[Away Team Name]],"Draw"))</f>
        <v>Germany</v>
      </c>
      <c r="X492" s="4" t="str">
        <f>IF(World_Cup_Matches[[#This Row],[Home Team Goals]]&gt;World_Cup_Matches[[#This Row],[Away Team Goals]],"Hime Win",IF(World_Cup_Matches[[#This Row],[Away Team Goals]]&gt;World_Cup_Matches[[#This Row],[Home Team Goals]],"Away win","Draw"))</f>
        <v>Hime Win</v>
      </c>
    </row>
    <row r="493" spans="1:24" x14ac:dyDescent="0.2">
      <c r="A493" s="19">
        <v>1994</v>
      </c>
      <c r="B493" s="15" t="s">
        <v>1083</v>
      </c>
      <c r="C493" s="3" t="s">
        <v>805</v>
      </c>
      <c r="D493" s="3" t="s">
        <v>1000</v>
      </c>
      <c r="E493" s="3" t="s">
        <v>1001</v>
      </c>
      <c r="F493" s="3" t="s">
        <v>65</v>
      </c>
      <c r="G493" s="11">
        <v>1</v>
      </c>
      <c r="H493" s="11">
        <v>3</v>
      </c>
      <c r="I493" s="3" t="s">
        <v>131</v>
      </c>
      <c r="J493" s="3" t="s">
        <v>1842</v>
      </c>
      <c r="K493" s="3">
        <v>63089</v>
      </c>
      <c r="L493" s="11">
        <v>0</v>
      </c>
      <c r="M493" s="11">
        <v>1</v>
      </c>
      <c r="N493" s="3" t="s">
        <v>1056</v>
      </c>
      <c r="O493" s="3" t="s">
        <v>1026</v>
      </c>
      <c r="P493" s="3" t="s">
        <v>1020</v>
      </c>
      <c r="Q493" s="11">
        <v>337</v>
      </c>
      <c r="R493" s="11">
        <v>3075</v>
      </c>
      <c r="S493" s="3" t="s">
        <v>66</v>
      </c>
      <c r="T493" s="4" t="s">
        <v>135</v>
      </c>
      <c r="U493" s="11">
        <f>World_Cup_Matches[[#This Row],[Home Team Goals]]+World_Cup_Matches[[#This Row],[Away Team Goals]]</f>
        <v>4</v>
      </c>
      <c r="V493" s="11">
        <f>World_Cup_Matches[[#This Row],[Home Team Goals]]-World_Cup_Matches[[#This Row],[Away Team Goals]]</f>
        <v>-2</v>
      </c>
      <c r="W493" s="4" t="str">
        <f>IF(World_Cup_Matches[[#This Row],[Home Team Goals]]&gt;World_Cup_Matches[[#This Row],[Away Team Goals]],World_Cup_Matches[[#This Row],[Home Team Name]],IF(World_Cup_Matches[[#This Row],[Away Team Goals]]&gt;World_Cup_Matches[[#This Row],[Home Team Goals]], World_Cup_Matches[[#This Row],[Away Team Name]],"Draw"))</f>
        <v>Spain</v>
      </c>
      <c r="X493" s="4" t="str">
        <f>IF(World_Cup_Matches[[#This Row],[Home Team Goals]]&gt;World_Cup_Matches[[#This Row],[Away Team Goals]],"Hime Win",IF(World_Cup_Matches[[#This Row],[Away Team Goals]]&gt;World_Cup_Matches[[#This Row],[Home Team Goals]],"Away win","Draw"))</f>
        <v>Away win</v>
      </c>
    </row>
    <row r="494" spans="1:24" x14ac:dyDescent="0.2">
      <c r="A494" s="19">
        <v>1994</v>
      </c>
      <c r="B494" s="15" t="s">
        <v>1084</v>
      </c>
      <c r="C494" s="3" t="s">
        <v>846</v>
      </c>
      <c r="D494" s="3" t="s">
        <v>1012</v>
      </c>
      <c r="E494" s="3" t="s">
        <v>1013</v>
      </c>
      <c r="F494" s="3" t="s">
        <v>933</v>
      </c>
      <c r="G494" s="11">
        <v>0</v>
      </c>
      <c r="H494" s="11">
        <v>0</v>
      </c>
      <c r="I494" s="3" t="s">
        <v>183</v>
      </c>
      <c r="J494" s="3" t="s">
        <v>1842</v>
      </c>
      <c r="K494" s="3">
        <v>72404</v>
      </c>
      <c r="L494" s="11">
        <v>0</v>
      </c>
      <c r="M494" s="11">
        <v>0</v>
      </c>
      <c r="N494" s="3" t="s">
        <v>1025</v>
      </c>
      <c r="O494" s="3" t="s">
        <v>1072</v>
      </c>
      <c r="P494" s="3" t="s">
        <v>1016</v>
      </c>
      <c r="Q494" s="11">
        <v>337</v>
      </c>
      <c r="R494" s="11">
        <v>3077</v>
      </c>
      <c r="S494" s="3" t="s">
        <v>934</v>
      </c>
      <c r="T494" s="4" t="s">
        <v>186</v>
      </c>
      <c r="U494" s="11">
        <f>World_Cup_Matches[[#This Row],[Home Team Goals]]+World_Cup_Matches[[#This Row],[Away Team Goals]]</f>
        <v>0</v>
      </c>
      <c r="V494" s="11">
        <f>World_Cup_Matches[[#This Row],[Home Team Goals]]-World_Cup_Matches[[#This Row],[Away Team Goals]]</f>
        <v>0</v>
      </c>
      <c r="W494" s="4" t="str">
        <f>IF(World_Cup_Matches[[#This Row],[Home Team Goals]]&gt;World_Cup_Matches[[#This Row],[Away Team Goals]],World_Cup_Matches[[#This Row],[Home Team Name]],IF(World_Cup_Matches[[#This Row],[Away Team Goals]]&gt;World_Cup_Matches[[#This Row],[Home Team Goals]], World_Cup_Matches[[#This Row],[Away Team Name]],"Draw"))</f>
        <v>Draw</v>
      </c>
      <c r="X494" s="4" t="str">
        <f>IF(World_Cup_Matches[[#This Row],[Home Team Goals]]&gt;World_Cup_Matches[[#This Row],[Away Team Goals]],"Hime Win",IF(World_Cup_Matches[[#This Row],[Away Team Goals]]&gt;World_Cup_Matches[[#This Row],[Home Team Goals]],"Away win","Draw"))</f>
        <v>Draw</v>
      </c>
    </row>
    <row r="495" spans="1:24" x14ac:dyDescent="0.2">
      <c r="A495" s="19">
        <v>1994</v>
      </c>
      <c r="B495" s="15" t="s">
        <v>1085</v>
      </c>
      <c r="C495" s="3" t="s">
        <v>607</v>
      </c>
      <c r="D495" s="3" t="s">
        <v>1006</v>
      </c>
      <c r="E495" s="3" t="s">
        <v>1007</v>
      </c>
      <c r="F495" s="3" t="s">
        <v>42</v>
      </c>
      <c r="G495" s="11">
        <v>1</v>
      </c>
      <c r="H495" s="11">
        <v>1</v>
      </c>
      <c r="I495" s="3" t="s">
        <v>117</v>
      </c>
      <c r="J495" s="3" t="s">
        <v>1842</v>
      </c>
      <c r="K495" s="3">
        <v>77217</v>
      </c>
      <c r="L495" s="11">
        <v>0</v>
      </c>
      <c r="M495" s="11">
        <v>1</v>
      </c>
      <c r="N495" s="3" t="s">
        <v>1031</v>
      </c>
      <c r="O495" s="3" t="s">
        <v>1032</v>
      </c>
      <c r="P495" s="3" t="s">
        <v>1069</v>
      </c>
      <c r="Q495" s="11">
        <v>337</v>
      </c>
      <c r="R495" s="11">
        <v>3080</v>
      </c>
      <c r="S495" s="3" t="s">
        <v>47</v>
      </c>
      <c r="T495" s="4" t="s">
        <v>121</v>
      </c>
      <c r="U495" s="11">
        <f>World_Cup_Matches[[#This Row],[Home Team Goals]]+World_Cup_Matches[[#This Row],[Away Team Goals]]</f>
        <v>2</v>
      </c>
      <c r="V495" s="11">
        <f>World_Cup_Matches[[#This Row],[Home Team Goals]]-World_Cup_Matches[[#This Row],[Away Team Goals]]</f>
        <v>0</v>
      </c>
      <c r="W495" s="4" t="str">
        <f>IF(World_Cup_Matches[[#This Row],[Home Team Goals]]&gt;World_Cup_Matches[[#This Row],[Away Team Goals]],World_Cup_Matches[[#This Row],[Home Team Name]],IF(World_Cup_Matches[[#This Row],[Away Team Goals]]&gt;World_Cup_Matches[[#This Row],[Home Team Goals]], World_Cup_Matches[[#This Row],[Away Team Name]],"Draw"))</f>
        <v>Draw</v>
      </c>
      <c r="X495" s="4" t="str">
        <f>IF(World_Cup_Matches[[#This Row],[Home Team Goals]]&gt;World_Cup_Matches[[#This Row],[Away Team Goals]],"Hime Win",IF(World_Cup_Matches[[#This Row],[Away Team Goals]]&gt;World_Cup_Matches[[#This Row],[Home Team Goals]],"Away win","Draw"))</f>
        <v>Draw</v>
      </c>
    </row>
    <row r="496" spans="1:24" x14ac:dyDescent="0.2">
      <c r="A496" s="19">
        <v>1994</v>
      </c>
      <c r="B496" s="15" t="s">
        <v>1084</v>
      </c>
      <c r="C496" s="3" t="s">
        <v>846</v>
      </c>
      <c r="D496" s="3" t="s">
        <v>1029</v>
      </c>
      <c r="E496" s="3" t="s">
        <v>1030</v>
      </c>
      <c r="F496" s="3" t="s">
        <v>138</v>
      </c>
      <c r="G496" s="11">
        <v>1</v>
      </c>
      <c r="H496" s="11">
        <v>1</v>
      </c>
      <c r="I496" s="3" t="s">
        <v>25</v>
      </c>
      <c r="J496" s="3" t="s">
        <v>1842</v>
      </c>
      <c r="K496" s="3">
        <v>52535</v>
      </c>
      <c r="L496" s="11">
        <v>0</v>
      </c>
      <c r="M496" s="11">
        <v>0</v>
      </c>
      <c r="N496" s="3" t="s">
        <v>1008</v>
      </c>
      <c r="O496" s="3" t="s">
        <v>1009</v>
      </c>
      <c r="P496" s="3" t="s">
        <v>1003</v>
      </c>
      <c r="Q496" s="11">
        <v>337</v>
      </c>
      <c r="R496" s="11">
        <v>3078</v>
      </c>
      <c r="S496" s="3" t="s">
        <v>142</v>
      </c>
      <c r="T496" s="4" t="s">
        <v>30</v>
      </c>
      <c r="U496" s="11">
        <f>World_Cup_Matches[[#This Row],[Home Team Goals]]+World_Cup_Matches[[#This Row],[Away Team Goals]]</f>
        <v>2</v>
      </c>
      <c r="V496" s="11">
        <f>World_Cup_Matches[[#This Row],[Home Team Goals]]-World_Cup_Matches[[#This Row],[Away Team Goals]]</f>
        <v>0</v>
      </c>
      <c r="W496" s="4" t="str">
        <f>IF(World_Cup_Matches[[#This Row],[Home Team Goals]]&gt;World_Cup_Matches[[#This Row],[Away Team Goals]],World_Cup_Matches[[#This Row],[Home Team Name]],IF(World_Cup_Matches[[#This Row],[Away Team Goals]]&gt;World_Cup_Matches[[#This Row],[Home Team Goals]], World_Cup_Matches[[#This Row],[Away Team Name]],"Draw"))</f>
        <v>Draw</v>
      </c>
      <c r="X496" s="4" t="str">
        <f>IF(World_Cup_Matches[[#This Row],[Home Team Goals]]&gt;World_Cup_Matches[[#This Row],[Away Team Goals]],"Hime Win",IF(World_Cup_Matches[[#This Row],[Away Team Goals]]&gt;World_Cup_Matches[[#This Row],[Home Team Goals]],"Away win","Draw"))</f>
        <v>Draw</v>
      </c>
    </row>
    <row r="497" spans="1:24" x14ac:dyDescent="0.2">
      <c r="A497" s="19">
        <v>1994</v>
      </c>
      <c r="B497" s="15" t="s">
        <v>1085</v>
      </c>
      <c r="C497" s="3" t="s">
        <v>607</v>
      </c>
      <c r="D497" s="3" t="s">
        <v>1041</v>
      </c>
      <c r="E497" s="3" t="s">
        <v>1042</v>
      </c>
      <c r="F497" s="3" t="s">
        <v>1043</v>
      </c>
      <c r="G497" s="11">
        <v>6</v>
      </c>
      <c r="H497" s="11">
        <v>1</v>
      </c>
      <c r="I497" s="3" t="s">
        <v>700</v>
      </c>
      <c r="J497" s="3" t="s">
        <v>1842</v>
      </c>
      <c r="K497" s="3">
        <v>74914</v>
      </c>
      <c r="L497" s="11">
        <v>3</v>
      </c>
      <c r="M497" s="11">
        <v>0</v>
      </c>
      <c r="N497" s="3" t="s">
        <v>839</v>
      </c>
      <c r="O497" s="3" t="s">
        <v>1004</v>
      </c>
      <c r="P497" s="3" t="s">
        <v>1015</v>
      </c>
      <c r="Q497" s="11">
        <v>337</v>
      </c>
      <c r="R497" s="11">
        <v>3079</v>
      </c>
      <c r="S497" s="3" t="s">
        <v>1047</v>
      </c>
      <c r="T497" s="4" t="s">
        <v>702</v>
      </c>
      <c r="U497" s="11">
        <f>World_Cup_Matches[[#This Row],[Home Team Goals]]+World_Cup_Matches[[#This Row],[Away Team Goals]]</f>
        <v>7</v>
      </c>
      <c r="V497" s="11">
        <f>World_Cup_Matches[[#This Row],[Home Team Goals]]-World_Cup_Matches[[#This Row],[Away Team Goals]]</f>
        <v>5</v>
      </c>
      <c r="W497" s="4" t="str">
        <f>IF(World_Cup_Matches[[#This Row],[Home Team Goals]]&gt;World_Cup_Matches[[#This Row],[Away Team Goals]],World_Cup_Matches[[#This Row],[Home Team Name]],IF(World_Cup_Matches[[#This Row],[Away Team Goals]]&gt;World_Cup_Matches[[#This Row],[Home Team Goals]], World_Cup_Matches[[#This Row],[Away Team Name]],"Draw"))</f>
        <v>Russia</v>
      </c>
      <c r="X497" s="4" t="str">
        <f>IF(World_Cup_Matches[[#This Row],[Home Team Goals]]&gt;World_Cup_Matches[[#This Row],[Away Team Goals]],"Hime Win",IF(World_Cup_Matches[[#This Row],[Away Team Goals]]&gt;World_Cup_Matches[[#This Row],[Home Team Goals]],"Away win","Draw"))</f>
        <v>Hime Win</v>
      </c>
    </row>
    <row r="498" spans="1:24" x14ac:dyDescent="0.2">
      <c r="A498" s="19">
        <v>1994</v>
      </c>
      <c r="B498" s="15" t="s">
        <v>1086</v>
      </c>
      <c r="C498" s="3" t="s">
        <v>824</v>
      </c>
      <c r="D498" s="3" t="s">
        <v>1023</v>
      </c>
      <c r="E498" s="3" t="s">
        <v>1024</v>
      </c>
      <c r="F498" s="3" t="s">
        <v>513</v>
      </c>
      <c r="G498" s="11">
        <v>1</v>
      </c>
      <c r="H498" s="11">
        <v>2</v>
      </c>
      <c r="I498" s="3" t="s">
        <v>109</v>
      </c>
      <c r="J498" s="3" t="s">
        <v>1842</v>
      </c>
      <c r="K498" s="3">
        <v>60578</v>
      </c>
      <c r="L498" s="11">
        <v>0</v>
      </c>
      <c r="M498" s="11">
        <v>1</v>
      </c>
      <c r="N498" s="3" t="s">
        <v>1035</v>
      </c>
      <c r="O498" s="3" t="s">
        <v>1010</v>
      </c>
      <c r="P498" s="3" t="s">
        <v>1070</v>
      </c>
      <c r="Q498" s="11">
        <v>337</v>
      </c>
      <c r="R498" s="11">
        <v>3081</v>
      </c>
      <c r="S498" s="3" t="s">
        <v>517</v>
      </c>
      <c r="T498" s="4" t="s">
        <v>114</v>
      </c>
      <c r="U498" s="11">
        <f>World_Cup_Matches[[#This Row],[Home Team Goals]]+World_Cup_Matches[[#This Row],[Away Team Goals]]</f>
        <v>3</v>
      </c>
      <c r="V498" s="11">
        <f>World_Cup_Matches[[#This Row],[Home Team Goals]]-World_Cup_Matches[[#This Row],[Away Team Goals]]</f>
        <v>-1</v>
      </c>
      <c r="W498" s="4" t="str">
        <f>IF(World_Cup_Matches[[#This Row],[Home Team Goals]]&gt;World_Cup_Matches[[#This Row],[Away Team Goals]],World_Cup_Matches[[#This Row],[Home Team Name]],IF(World_Cup_Matches[[#This Row],[Away Team Goals]]&gt;World_Cup_Matches[[#This Row],[Home Team Goals]], World_Cup_Matches[[#This Row],[Away Team Name]],"Draw"))</f>
        <v>Netherlands</v>
      </c>
      <c r="X498" s="4" t="str">
        <f>IF(World_Cup_Matches[[#This Row],[Home Team Goals]]&gt;World_Cup_Matches[[#This Row],[Away Team Goals]],"Hime Win",IF(World_Cup_Matches[[#This Row],[Away Team Goals]]&gt;World_Cup_Matches[[#This Row],[Home Team Goals]],"Away win","Draw"))</f>
        <v>Away win</v>
      </c>
    </row>
    <row r="499" spans="1:24" x14ac:dyDescent="0.2">
      <c r="A499" s="19">
        <v>1994</v>
      </c>
      <c r="B499" s="15" t="s">
        <v>1086</v>
      </c>
      <c r="C499" s="3" t="s">
        <v>824</v>
      </c>
      <c r="D499" s="3" t="s">
        <v>1029</v>
      </c>
      <c r="E499" s="3" t="s">
        <v>1030</v>
      </c>
      <c r="F499" s="3" t="s">
        <v>34</v>
      </c>
      <c r="G499" s="11">
        <v>0</v>
      </c>
      <c r="H499" s="11">
        <v>1</v>
      </c>
      <c r="I499" s="3" t="s">
        <v>1037</v>
      </c>
      <c r="J499" s="3" t="s">
        <v>1842</v>
      </c>
      <c r="K499" s="3">
        <v>52959</v>
      </c>
      <c r="L499" s="11">
        <v>0</v>
      </c>
      <c r="M499" s="11">
        <v>1</v>
      </c>
      <c r="N499" s="3" t="s">
        <v>1066</v>
      </c>
      <c r="O499" s="3" t="s">
        <v>1003</v>
      </c>
      <c r="P499" s="3" t="s">
        <v>1009</v>
      </c>
      <c r="Q499" s="11">
        <v>337</v>
      </c>
      <c r="R499" s="11">
        <v>3082</v>
      </c>
      <c r="S499" s="3" t="s">
        <v>38</v>
      </c>
      <c r="T499" s="4" t="s">
        <v>1039</v>
      </c>
      <c r="U499" s="11">
        <f>World_Cup_Matches[[#This Row],[Home Team Goals]]+World_Cup_Matches[[#This Row],[Away Team Goals]]</f>
        <v>1</v>
      </c>
      <c r="V499" s="11">
        <f>World_Cup_Matches[[#This Row],[Home Team Goals]]-World_Cup_Matches[[#This Row],[Away Team Goals]]</f>
        <v>-1</v>
      </c>
      <c r="W499" s="4" t="str">
        <f>IF(World_Cup_Matches[[#This Row],[Home Team Goals]]&gt;World_Cup_Matches[[#This Row],[Away Team Goals]],World_Cup_Matches[[#This Row],[Home Team Name]],IF(World_Cup_Matches[[#This Row],[Away Team Goals]]&gt;World_Cup_Matches[[#This Row],[Home Team Goals]], World_Cup_Matches[[#This Row],[Away Team Name]],"Draw"))</f>
        <v>Saudi Arabia</v>
      </c>
      <c r="X499" s="4" t="str">
        <f>IF(World_Cup_Matches[[#This Row],[Home Team Goals]]&gt;World_Cup_Matches[[#This Row],[Away Team Goals]],"Hime Win",IF(World_Cup_Matches[[#This Row],[Away Team Goals]]&gt;World_Cup_Matches[[#This Row],[Home Team Goals]],"Away win","Draw"))</f>
        <v>Away win</v>
      </c>
    </row>
    <row r="500" spans="1:24" x14ac:dyDescent="0.2">
      <c r="A500" s="19">
        <v>1994</v>
      </c>
      <c r="B500" s="15" t="s">
        <v>1087</v>
      </c>
      <c r="C500" s="3" t="s">
        <v>811</v>
      </c>
      <c r="D500" s="3" t="s">
        <v>1049</v>
      </c>
      <c r="E500" s="3" t="s">
        <v>1050</v>
      </c>
      <c r="F500" s="3" t="s">
        <v>1051</v>
      </c>
      <c r="G500" s="11">
        <v>0</v>
      </c>
      <c r="H500" s="11">
        <v>2</v>
      </c>
      <c r="I500" s="3" t="s">
        <v>1055</v>
      </c>
      <c r="J500" s="3" t="s">
        <v>1842</v>
      </c>
      <c r="K500" s="3">
        <v>53001</v>
      </c>
      <c r="L500" s="11">
        <v>0</v>
      </c>
      <c r="M500" s="11">
        <v>1</v>
      </c>
      <c r="N500" s="3" t="s">
        <v>1068</v>
      </c>
      <c r="O500" s="3" t="s">
        <v>1016</v>
      </c>
      <c r="P500" s="3" t="s">
        <v>1072</v>
      </c>
      <c r="Q500" s="11">
        <v>337</v>
      </c>
      <c r="R500" s="11">
        <v>3083</v>
      </c>
      <c r="S500" s="3" t="s">
        <v>1053</v>
      </c>
      <c r="T500" s="4" t="s">
        <v>1057</v>
      </c>
      <c r="U500" s="11">
        <f>World_Cup_Matches[[#This Row],[Home Team Goals]]+World_Cup_Matches[[#This Row],[Away Team Goals]]</f>
        <v>2</v>
      </c>
      <c r="V500" s="11">
        <f>World_Cup_Matches[[#This Row],[Home Team Goals]]-World_Cup_Matches[[#This Row],[Away Team Goals]]</f>
        <v>-2</v>
      </c>
      <c r="W500" s="4" t="str">
        <f>IF(World_Cup_Matches[[#This Row],[Home Team Goals]]&gt;World_Cup_Matches[[#This Row],[Away Team Goals]],World_Cup_Matches[[#This Row],[Home Team Name]],IF(World_Cup_Matches[[#This Row],[Away Team Goals]]&gt;World_Cup_Matches[[#This Row],[Home Team Goals]], World_Cup_Matches[[#This Row],[Away Team Name]],"Draw"))</f>
        <v>Nigeria</v>
      </c>
      <c r="X500" s="4" t="str">
        <f>IF(World_Cup_Matches[[#This Row],[Home Team Goals]]&gt;World_Cup_Matches[[#This Row],[Away Team Goals]],"Hime Win",IF(World_Cup_Matches[[#This Row],[Away Team Goals]]&gt;World_Cup_Matches[[#This Row],[Home Team Goals]],"Away win","Draw"))</f>
        <v>Away win</v>
      </c>
    </row>
    <row r="501" spans="1:24" x14ac:dyDescent="0.2">
      <c r="A501" s="19">
        <v>1994</v>
      </c>
      <c r="B501" s="15" t="s">
        <v>1087</v>
      </c>
      <c r="C501" s="3" t="s">
        <v>811</v>
      </c>
      <c r="D501" s="3" t="s">
        <v>995</v>
      </c>
      <c r="E501" s="3" t="s">
        <v>996</v>
      </c>
      <c r="F501" s="3" t="s">
        <v>56</v>
      </c>
      <c r="G501" s="11">
        <v>0</v>
      </c>
      <c r="H501" s="11">
        <v>2</v>
      </c>
      <c r="I501" s="3" t="s">
        <v>401</v>
      </c>
      <c r="J501" s="3" t="s">
        <v>1842</v>
      </c>
      <c r="K501" s="3">
        <v>63998</v>
      </c>
      <c r="L501" s="11">
        <v>0</v>
      </c>
      <c r="M501" s="11">
        <v>0</v>
      </c>
      <c r="N501" s="3" t="s">
        <v>921</v>
      </c>
      <c r="O501" s="3" t="s">
        <v>1027</v>
      </c>
      <c r="P501" s="3" t="s">
        <v>1045</v>
      </c>
      <c r="Q501" s="11">
        <v>337</v>
      </c>
      <c r="R501" s="11">
        <v>3084</v>
      </c>
      <c r="S501" s="3" t="s">
        <v>59</v>
      </c>
      <c r="T501" s="4" t="s">
        <v>404</v>
      </c>
      <c r="U501" s="11">
        <f>World_Cup_Matches[[#This Row],[Home Team Goals]]+World_Cup_Matches[[#This Row],[Away Team Goals]]</f>
        <v>2</v>
      </c>
      <c r="V501" s="11">
        <f>World_Cup_Matches[[#This Row],[Home Team Goals]]-World_Cup_Matches[[#This Row],[Away Team Goals]]</f>
        <v>-2</v>
      </c>
      <c r="W501" s="4" t="str">
        <f>IF(World_Cup_Matches[[#This Row],[Home Team Goals]]&gt;World_Cup_Matches[[#This Row],[Away Team Goals]],World_Cup_Matches[[#This Row],[Home Team Name]],IF(World_Cup_Matches[[#This Row],[Away Team Goals]]&gt;World_Cup_Matches[[#This Row],[Home Team Goals]], World_Cup_Matches[[#This Row],[Away Team Name]],"Draw"))</f>
        <v>Bulgaria</v>
      </c>
      <c r="X501" s="4" t="str">
        <f>IF(World_Cup_Matches[[#This Row],[Home Team Goals]]&gt;World_Cup_Matches[[#This Row],[Away Team Goals]],"Hime Win",IF(World_Cup_Matches[[#This Row],[Away Team Goals]]&gt;World_Cup_Matches[[#This Row],[Home Team Goals]],"Away win","Draw"))</f>
        <v>Away win</v>
      </c>
    </row>
    <row r="502" spans="1:24" x14ac:dyDescent="0.2">
      <c r="A502" s="19">
        <v>1994</v>
      </c>
      <c r="B502" s="15" t="s">
        <v>1088</v>
      </c>
      <c r="C502" s="3" t="s">
        <v>878</v>
      </c>
      <c r="D502" s="3" t="s">
        <v>1000</v>
      </c>
      <c r="E502" s="3" t="s">
        <v>1001</v>
      </c>
      <c r="F502" s="3" t="s">
        <v>124</v>
      </c>
      <c r="G502" s="11">
        <v>3</v>
      </c>
      <c r="H502" s="11">
        <v>2</v>
      </c>
      <c r="I502" s="3" t="s">
        <v>34</v>
      </c>
      <c r="J502" s="3" t="s">
        <v>1842</v>
      </c>
      <c r="K502" s="3">
        <v>60246</v>
      </c>
      <c r="L502" s="11">
        <v>3</v>
      </c>
      <c r="M502" s="11">
        <v>1</v>
      </c>
      <c r="N502" s="3" t="s">
        <v>915</v>
      </c>
      <c r="O502" s="3" t="s">
        <v>902</v>
      </c>
      <c r="P502" s="3" t="s">
        <v>997</v>
      </c>
      <c r="Q502" s="11">
        <v>338</v>
      </c>
      <c r="R502" s="11">
        <v>3085</v>
      </c>
      <c r="S502" s="3" t="s">
        <v>128</v>
      </c>
      <c r="T502" s="4" t="s">
        <v>38</v>
      </c>
      <c r="U502" s="11">
        <f>World_Cup_Matches[[#This Row],[Home Team Goals]]+World_Cup_Matches[[#This Row],[Away Team Goals]]</f>
        <v>5</v>
      </c>
      <c r="V502" s="11">
        <f>World_Cup_Matches[[#This Row],[Home Team Goals]]-World_Cup_Matches[[#This Row],[Away Team Goals]]</f>
        <v>1</v>
      </c>
      <c r="W502" s="4" t="str">
        <f>IF(World_Cup_Matches[[#This Row],[Home Team Goals]]&gt;World_Cup_Matches[[#This Row],[Away Team Goals]],World_Cup_Matches[[#This Row],[Home Team Name]],IF(World_Cup_Matches[[#This Row],[Away Team Goals]]&gt;World_Cup_Matches[[#This Row],[Home Team Goals]], World_Cup_Matches[[#This Row],[Away Team Name]],"Draw"))</f>
        <v>Germany</v>
      </c>
      <c r="X502" s="4" t="str">
        <f>IF(World_Cup_Matches[[#This Row],[Home Team Goals]]&gt;World_Cup_Matches[[#This Row],[Away Team Goals]],"Hime Win",IF(World_Cup_Matches[[#This Row],[Away Team Goals]]&gt;World_Cup_Matches[[#This Row],[Home Team Goals]],"Away win","Draw"))</f>
        <v>Hime Win</v>
      </c>
    </row>
    <row r="503" spans="1:24" x14ac:dyDescent="0.2">
      <c r="A503" s="19">
        <v>1994</v>
      </c>
      <c r="B503" s="15" t="s">
        <v>1089</v>
      </c>
      <c r="C503" s="3" t="s">
        <v>878</v>
      </c>
      <c r="D503" s="3" t="s">
        <v>1029</v>
      </c>
      <c r="E503" s="3" t="s">
        <v>1030</v>
      </c>
      <c r="F503" s="3" t="s">
        <v>131</v>
      </c>
      <c r="G503" s="11">
        <v>3</v>
      </c>
      <c r="H503" s="11">
        <v>0</v>
      </c>
      <c r="I503" s="3" t="s">
        <v>108</v>
      </c>
      <c r="J503" s="3" t="s">
        <v>1842</v>
      </c>
      <c r="K503" s="3">
        <v>53121</v>
      </c>
      <c r="L503" s="11">
        <v>1</v>
      </c>
      <c r="M503" s="11">
        <v>0</v>
      </c>
      <c r="N503" s="3" t="s">
        <v>1014</v>
      </c>
      <c r="O503" s="3" t="s">
        <v>1015</v>
      </c>
      <c r="P503" s="3" t="s">
        <v>1032</v>
      </c>
      <c r="Q503" s="11">
        <v>338</v>
      </c>
      <c r="R503" s="11">
        <v>3086</v>
      </c>
      <c r="S503" s="3" t="s">
        <v>135</v>
      </c>
      <c r="T503" s="4" t="s">
        <v>113</v>
      </c>
      <c r="U503" s="11">
        <f>World_Cup_Matches[[#This Row],[Home Team Goals]]+World_Cup_Matches[[#This Row],[Away Team Goals]]</f>
        <v>3</v>
      </c>
      <c r="V503" s="11">
        <f>World_Cup_Matches[[#This Row],[Home Team Goals]]-World_Cup_Matches[[#This Row],[Away Team Goals]]</f>
        <v>3</v>
      </c>
      <c r="W503" s="4" t="str">
        <f>IF(World_Cup_Matches[[#This Row],[Home Team Goals]]&gt;World_Cup_Matches[[#This Row],[Away Team Goals]],World_Cup_Matches[[#This Row],[Home Team Name]],IF(World_Cup_Matches[[#This Row],[Away Team Goals]]&gt;World_Cup_Matches[[#This Row],[Home Team Goals]], World_Cup_Matches[[#This Row],[Away Team Name]],"Draw"))</f>
        <v>Spain</v>
      </c>
      <c r="X503" s="4" t="str">
        <f>IF(World_Cup_Matches[[#This Row],[Home Team Goals]]&gt;World_Cup_Matches[[#This Row],[Away Team Goals]],"Hime Win",IF(World_Cup_Matches[[#This Row],[Away Team Goals]]&gt;World_Cup_Matches[[#This Row],[Home Team Goals]],"Away win","Draw"))</f>
        <v>Hime Win</v>
      </c>
    </row>
    <row r="504" spans="1:24" x14ac:dyDescent="0.2">
      <c r="A504" s="19">
        <v>1994</v>
      </c>
      <c r="B504" s="15" t="s">
        <v>1090</v>
      </c>
      <c r="C504" s="3" t="s">
        <v>878</v>
      </c>
      <c r="D504" s="3" t="s">
        <v>995</v>
      </c>
      <c r="E504" s="3" t="s">
        <v>996</v>
      </c>
      <c r="F504" s="3" t="s">
        <v>1037</v>
      </c>
      <c r="G504" s="11">
        <v>1</v>
      </c>
      <c r="H504" s="11">
        <v>3</v>
      </c>
      <c r="I504" s="3" t="s">
        <v>117</v>
      </c>
      <c r="J504" s="3" t="s">
        <v>1842</v>
      </c>
      <c r="K504" s="3">
        <v>60277</v>
      </c>
      <c r="L504" s="11">
        <v>0</v>
      </c>
      <c r="M504" s="11">
        <v>1</v>
      </c>
      <c r="N504" s="3" t="s">
        <v>1076</v>
      </c>
      <c r="O504" s="3" t="s">
        <v>1072</v>
      </c>
      <c r="P504" s="3" t="s">
        <v>1026</v>
      </c>
      <c r="Q504" s="11">
        <v>338</v>
      </c>
      <c r="R504" s="11">
        <v>3087</v>
      </c>
      <c r="S504" s="3" t="s">
        <v>1039</v>
      </c>
      <c r="T504" s="4" t="s">
        <v>121</v>
      </c>
      <c r="U504" s="11">
        <f>World_Cup_Matches[[#This Row],[Home Team Goals]]+World_Cup_Matches[[#This Row],[Away Team Goals]]</f>
        <v>4</v>
      </c>
      <c r="V504" s="11">
        <f>World_Cup_Matches[[#This Row],[Home Team Goals]]-World_Cup_Matches[[#This Row],[Away Team Goals]]</f>
        <v>-2</v>
      </c>
      <c r="W504" s="4" t="str">
        <f>IF(World_Cup_Matches[[#This Row],[Home Team Goals]]&gt;World_Cup_Matches[[#This Row],[Away Team Goals]],World_Cup_Matches[[#This Row],[Home Team Name]],IF(World_Cup_Matches[[#This Row],[Away Team Goals]]&gt;World_Cup_Matches[[#This Row],[Home Team Goals]], World_Cup_Matches[[#This Row],[Away Team Name]],"Draw"))</f>
        <v>Sweden</v>
      </c>
      <c r="X504" s="4" t="str">
        <f>IF(World_Cup_Matches[[#This Row],[Home Team Goals]]&gt;World_Cup_Matches[[#This Row],[Away Team Goals]],"Hime Win",IF(World_Cup_Matches[[#This Row],[Away Team Goals]]&gt;World_Cup_Matches[[#This Row],[Home Team Goals]],"Away win","Draw"))</f>
        <v>Away win</v>
      </c>
    </row>
    <row r="505" spans="1:24" x14ac:dyDescent="0.2">
      <c r="A505" s="19">
        <v>1994</v>
      </c>
      <c r="B505" s="15" t="s">
        <v>1091</v>
      </c>
      <c r="C505" s="3" t="s">
        <v>878</v>
      </c>
      <c r="D505" s="3" t="s">
        <v>1018</v>
      </c>
      <c r="E505" s="3" t="s">
        <v>1019</v>
      </c>
      <c r="F505" s="3" t="s">
        <v>50</v>
      </c>
      <c r="G505" s="11">
        <v>3</v>
      </c>
      <c r="H505" s="11">
        <v>2</v>
      </c>
      <c r="I505" s="3" t="s">
        <v>56</v>
      </c>
      <c r="J505" s="3" t="s">
        <v>1842</v>
      </c>
      <c r="K505" s="3">
        <v>90469</v>
      </c>
      <c r="L505" s="11">
        <v>2</v>
      </c>
      <c r="M505" s="11">
        <v>1</v>
      </c>
      <c r="N505" s="3" t="s">
        <v>955</v>
      </c>
      <c r="O505" s="3" t="s">
        <v>1046</v>
      </c>
      <c r="P505" s="3" t="s">
        <v>1069</v>
      </c>
      <c r="Q505" s="11">
        <v>338</v>
      </c>
      <c r="R505" s="11">
        <v>3088</v>
      </c>
      <c r="S505" s="3" t="s">
        <v>53</v>
      </c>
      <c r="T505" s="4" t="s">
        <v>59</v>
      </c>
      <c r="U505" s="11">
        <f>World_Cup_Matches[[#This Row],[Home Team Goals]]+World_Cup_Matches[[#This Row],[Away Team Goals]]</f>
        <v>5</v>
      </c>
      <c r="V505" s="11">
        <f>World_Cup_Matches[[#This Row],[Home Team Goals]]-World_Cup_Matches[[#This Row],[Away Team Goals]]</f>
        <v>1</v>
      </c>
      <c r="W505" s="4" t="str">
        <f>IF(World_Cup_Matches[[#This Row],[Home Team Goals]]&gt;World_Cup_Matches[[#This Row],[Away Team Goals]],World_Cup_Matches[[#This Row],[Home Team Name]],IF(World_Cup_Matches[[#This Row],[Away Team Goals]]&gt;World_Cup_Matches[[#This Row],[Home Team Goals]], World_Cup_Matches[[#This Row],[Away Team Name]],"Draw"))</f>
        <v>Romania</v>
      </c>
      <c r="X505" s="4" t="str">
        <f>IF(World_Cup_Matches[[#This Row],[Home Team Goals]]&gt;World_Cup_Matches[[#This Row],[Away Team Goals]],"Hime Win",IF(World_Cup_Matches[[#This Row],[Away Team Goals]]&gt;World_Cup_Matches[[#This Row],[Home Team Goals]],"Away win","Draw"))</f>
        <v>Hime Win</v>
      </c>
    </row>
    <row r="506" spans="1:24" x14ac:dyDescent="0.2">
      <c r="A506" s="19">
        <v>1994</v>
      </c>
      <c r="B506" s="15" t="s">
        <v>1092</v>
      </c>
      <c r="C506" s="3" t="s">
        <v>878</v>
      </c>
      <c r="D506" s="3" t="s">
        <v>1023</v>
      </c>
      <c r="E506" s="3" t="s">
        <v>1024</v>
      </c>
      <c r="F506" s="3" t="s">
        <v>109</v>
      </c>
      <c r="G506" s="11">
        <v>2</v>
      </c>
      <c r="H506" s="11">
        <v>0</v>
      </c>
      <c r="I506" s="3" t="s">
        <v>933</v>
      </c>
      <c r="J506" s="3" t="s">
        <v>1842</v>
      </c>
      <c r="K506" s="3">
        <v>61355</v>
      </c>
      <c r="L506" s="11">
        <v>2</v>
      </c>
      <c r="M506" s="11">
        <v>0</v>
      </c>
      <c r="N506" s="3" t="s">
        <v>922</v>
      </c>
      <c r="O506" s="3" t="s">
        <v>1004</v>
      </c>
      <c r="P506" s="3" t="s">
        <v>1003</v>
      </c>
      <c r="Q506" s="11">
        <v>338</v>
      </c>
      <c r="R506" s="11">
        <v>3089</v>
      </c>
      <c r="S506" s="3" t="s">
        <v>114</v>
      </c>
      <c r="T506" s="4" t="s">
        <v>934</v>
      </c>
      <c r="U506" s="11">
        <f>World_Cup_Matches[[#This Row],[Home Team Goals]]+World_Cup_Matches[[#This Row],[Away Team Goals]]</f>
        <v>2</v>
      </c>
      <c r="V506" s="11">
        <f>World_Cup_Matches[[#This Row],[Home Team Goals]]-World_Cup_Matches[[#This Row],[Away Team Goals]]</f>
        <v>2</v>
      </c>
      <c r="W506" s="4" t="str">
        <f>IF(World_Cup_Matches[[#This Row],[Home Team Goals]]&gt;World_Cup_Matches[[#This Row],[Away Team Goals]],World_Cup_Matches[[#This Row],[Home Team Name]],IF(World_Cup_Matches[[#This Row],[Away Team Goals]]&gt;World_Cup_Matches[[#This Row],[Home Team Goals]], World_Cup_Matches[[#This Row],[Away Team Name]],"Draw"))</f>
        <v>Netherlands</v>
      </c>
      <c r="X506" s="4" t="str">
        <f>IF(World_Cup_Matches[[#This Row],[Home Team Goals]]&gt;World_Cup_Matches[[#This Row],[Away Team Goals]],"Hime Win",IF(World_Cup_Matches[[#This Row],[Away Team Goals]]&gt;World_Cup_Matches[[#This Row],[Home Team Goals]],"Away win","Draw"))</f>
        <v>Hime Win</v>
      </c>
    </row>
    <row r="507" spans="1:24" x14ac:dyDescent="0.2">
      <c r="A507" s="19">
        <v>1994</v>
      </c>
      <c r="B507" s="15" t="s">
        <v>1093</v>
      </c>
      <c r="C507" s="3" t="s">
        <v>878</v>
      </c>
      <c r="D507" s="3" t="s">
        <v>1041</v>
      </c>
      <c r="E507" s="3" t="s">
        <v>1042</v>
      </c>
      <c r="F507" s="3" t="s">
        <v>42</v>
      </c>
      <c r="G507" s="11">
        <v>1</v>
      </c>
      <c r="H507" s="11">
        <v>0</v>
      </c>
      <c r="I507" s="3" t="s">
        <v>33</v>
      </c>
      <c r="J507" s="3" t="s">
        <v>1842</v>
      </c>
      <c r="K507" s="3">
        <v>84147</v>
      </c>
      <c r="L507" s="11">
        <v>0</v>
      </c>
      <c r="M507" s="11">
        <v>0</v>
      </c>
      <c r="N507" s="3" t="s">
        <v>828</v>
      </c>
      <c r="O507" s="3" t="s">
        <v>1016</v>
      </c>
      <c r="P507" s="3" t="s">
        <v>1070</v>
      </c>
      <c r="Q507" s="11">
        <v>338</v>
      </c>
      <c r="R507" s="11">
        <v>3090</v>
      </c>
      <c r="S507" s="3" t="s">
        <v>47</v>
      </c>
      <c r="T507" s="4" t="s">
        <v>33</v>
      </c>
      <c r="U507" s="11">
        <f>World_Cup_Matches[[#This Row],[Home Team Goals]]+World_Cup_Matches[[#This Row],[Away Team Goals]]</f>
        <v>1</v>
      </c>
      <c r="V507" s="11">
        <f>World_Cup_Matches[[#This Row],[Home Team Goals]]-World_Cup_Matches[[#This Row],[Away Team Goals]]</f>
        <v>1</v>
      </c>
      <c r="W507" s="4" t="str">
        <f>IF(World_Cup_Matches[[#This Row],[Home Team Goals]]&gt;World_Cup_Matches[[#This Row],[Away Team Goals]],World_Cup_Matches[[#This Row],[Home Team Name]],IF(World_Cup_Matches[[#This Row],[Away Team Goals]]&gt;World_Cup_Matches[[#This Row],[Home Team Goals]], World_Cup_Matches[[#This Row],[Away Team Name]],"Draw"))</f>
        <v>Brazil</v>
      </c>
      <c r="X507" s="4" t="str">
        <f>IF(World_Cup_Matches[[#This Row],[Home Team Goals]]&gt;World_Cup_Matches[[#This Row],[Away Team Goals]],"Hime Win",IF(World_Cup_Matches[[#This Row],[Away Team Goals]]&gt;World_Cup_Matches[[#This Row],[Home Team Goals]],"Away win","Draw"))</f>
        <v>Hime Win</v>
      </c>
    </row>
    <row r="508" spans="1:24" x14ac:dyDescent="0.2">
      <c r="A508" s="19">
        <v>1994</v>
      </c>
      <c r="B508" s="15" t="s">
        <v>1094</v>
      </c>
      <c r="C508" s="3" t="s">
        <v>878</v>
      </c>
      <c r="D508" s="3" t="s">
        <v>1049</v>
      </c>
      <c r="E508" s="3" t="s">
        <v>1050</v>
      </c>
      <c r="F508" s="3" t="s">
        <v>1055</v>
      </c>
      <c r="G508" s="11">
        <v>1</v>
      </c>
      <c r="H508" s="11">
        <v>2</v>
      </c>
      <c r="I508" s="3" t="s">
        <v>138</v>
      </c>
      <c r="J508" s="3" t="s">
        <v>157</v>
      </c>
      <c r="K508" s="3">
        <v>54367</v>
      </c>
      <c r="L508" s="11">
        <v>0</v>
      </c>
      <c r="M508" s="11">
        <v>0</v>
      </c>
      <c r="N508" s="3" t="s">
        <v>1002</v>
      </c>
      <c r="O508" s="3" t="s">
        <v>1009</v>
      </c>
      <c r="P508" s="3" t="s">
        <v>1010</v>
      </c>
      <c r="Q508" s="11">
        <v>338</v>
      </c>
      <c r="R508" s="11">
        <v>3091</v>
      </c>
      <c r="S508" s="3" t="s">
        <v>1057</v>
      </c>
      <c r="T508" s="4" t="s">
        <v>142</v>
      </c>
      <c r="U508" s="11">
        <f>World_Cup_Matches[[#This Row],[Home Team Goals]]+World_Cup_Matches[[#This Row],[Away Team Goals]]</f>
        <v>3</v>
      </c>
      <c r="V508" s="11">
        <f>World_Cup_Matches[[#This Row],[Home Team Goals]]-World_Cup_Matches[[#This Row],[Away Team Goals]]</f>
        <v>-1</v>
      </c>
      <c r="W508" s="4" t="str">
        <f>IF(World_Cup_Matches[[#This Row],[Home Team Goals]]&gt;World_Cup_Matches[[#This Row],[Away Team Goals]],World_Cup_Matches[[#This Row],[Home Team Name]],IF(World_Cup_Matches[[#This Row],[Away Team Goals]]&gt;World_Cup_Matches[[#This Row],[Home Team Goals]], World_Cup_Matches[[#This Row],[Away Team Name]],"Draw"))</f>
        <v>Italy</v>
      </c>
      <c r="X508" s="4" t="str">
        <f>IF(World_Cup_Matches[[#This Row],[Home Team Goals]]&gt;World_Cup_Matches[[#This Row],[Away Team Goals]],"Hime Win",IF(World_Cup_Matches[[#This Row],[Away Team Goals]]&gt;World_Cup_Matches[[#This Row],[Home Team Goals]],"Away win","Draw"))</f>
        <v>Away win</v>
      </c>
    </row>
    <row r="509" spans="1:24" x14ac:dyDescent="0.2">
      <c r="A509" s="19">
        <v>1994</v>
      </c>
      <c r="B509" s="15" t="s">
        <v>1095</v>
      </c>
      <c r="C509" s="3" t="s">
        <v>878</v>
      </c>
      <c r="D509" s="3" t="s">
        <v>1012</v>
      </c>
      <c r="E509" s="3" t="s">
        <v>1013</v>
      </c>
      <c r="F509" s="3" t="s">
        <v>25</v>
      </c>
      <c r="G509" s="11">
        <v>1</v>
      </c>
      <c r="H509" s="11">
        <v>1</v>
      </c>
      <c r="I509" s="3" t="s">
        <v>401</v>
      </c>
      <c r="J509" s="3" t="s">
        <v>1096</v>
      </c>
      <c r="K509" s="3">
        <v>71030</v>
      </c>
      <c r="L509" s="11">
        <v>0</v>
      </c>
      <c r="M509" s="11">
        <v>0</v>
      </c>
      <c r="N509" s="3" t="s">
        <v>839</v>
      </c>
      <c r="O509" s="3" t="s">
        <v>1062</v>
      </c>
      <c r="P509" s="3" t="s">
        <v>1020</v>
      </c>
      <c r="Q509" s="11">
        <v>338</v>
      </c>
      <c r="R509" s="11">
        <v>3092</v>
      </c>
      <c r="S509" s="3" t="s">
        <v>30</v>
      </c>
      <c r="T509" s="4" t="s">
        <v>404</v>
      </c>
      <c r="U509" s="11">
        <f>World_Cup_Matches[[#This Row],[Home Team Goals]]+World_Cup_Matches[[#This Row],[Away Team Goals]]</f>
        <v>2</v>
      </c>
      <c r="V509" s="11">
        <f>World_Cup_Matches[[#This Row],[Home Team Goals]]-World_Cup_Matches[[#This Row],[Away Team Goals]]</f>
        <v>0</v>
      </c>
      <c r="W509" s="4" t="str">
        <f>IF(World_Cup_Matches[[#This Row],[Home Team Goals]]&gt;World_Cup_Matches[[#This Row],[Away Team Goals]],World_Cup_Matches[[#This Row],[Home Team Name]],IF(World_Cup_Matches[[#This Row],[Away Team Goals]]&gt;World_Cup_Matches[[#This Row],[Home Team Goals]], World_Cup_Matches[[#This Row],[Away Team Name]],"Draw"))</f>
        <v>Draw</v>
      </c>
      <c r="X509" s="4" t="str">
        <f>IF(World_Cup_Matches[[#This Row],[Home Team Goals]]&gt;World_Cup_Matches[[#This Row],[Away Team Goals]],"Hime Win",IF(World_Cup_Matches[[#This Row],[Away Team Goals]]&gt;World_Cup_Matches[[#This Row],[Home Team Goals]],"Away win","Draw"))</f>
        <v>Draw</v>
      </c>
    </row>
    <row r="510" spans="1:24" x14ac:dyDescent="0.2">
      <c r="A510" s="19">
        <v>1994</v>
      </c>
      <c r="B510" s="15" t="s">
        <v>1097</v>
      </c>
      <c r="C510" s="3" t="s">
        <v>150</v>
      </c>
      <c r="D510" s="3" t="s">
        <v>1049</v>
      </c>
      <c r="E510" s="3" t="s">
        <v>1050</v>
      </c>
      <c r="F510" s="3" t="s">
        <v>138</v>
      </c>
      <c r="G510" s="11">
        <v>2</v>
      </c>
      <c r="H510" s="11">
        <v>1</v>
      </c>
      <c r="I510" s="3" t="s">
        <v>131</v>
      </c>
      <c r="J510" s="3" t="s">
        <v>1842</v>
      </c>
      <c r="K510" s="3">
        <v>53400</v>
      </c>
      <c r="L510" s="11">
        <v>1</v>
      </c>
      <c r="M510" s="11">
        <v>0</v>
      </c>
      <c r="N510" s="3" t="s">
        <v>1031</v>
      </c>
      <c r="O510" s="3" t="s">
        <v>1004</v>
      </c>
      <c r="P510" s="3" t="s">
        <v>1069</v>
      </c>
      <c r="Q510" s="11">
        <v>796</v>
      </c>
      <c r="R510" s="11">
        <v>3097</v>
      </c>
      <c r="S510" s="3" t="s">
        <v>142</v>
      </c>
      <c r="T510" s="4" t="s">
        <v>135</v>
      </c>
      <c r="U510" s="11">
        <f>World_Cup_Matches[[#This Row],[Home Team Goals]]+World_Cup_Matches[[#This Row],[Away Team Goals]]</f>
        <v>3</v>
      </c>
      <c r="V510" s="11">
        <f>World_Cup_Matches[[#This Row],[Home Team Goals]]-World_Cup_Matches[[#This Row],[Away Team Goals]]</f>
        <v>1</v>
      </c>
      <c r="W510" s="4" t="str">
        <f>IF(World_Cup_Matches[[#This Row],[Home Team Goals]]&gt;World_Cup_Matches[[#This Row],[Away Team Goals]],World_Cup_Matches[[#This Row],[Home Team Name]],IF(World_Cup_Matches[[#This Row],[Away Team Goals]]&gt;World_Cup_Matches[[#This Row],[Home Team Goals]], World_Cup_Matches[[#This Row],[Away Team Name]],"Draw"))</f>
        <v>Italy</v>
      </c>
      <c r="X510" s="4" t="str">
        <f>IF(World_Cup_Matches[[#This Row],[Home Team Goals]]&gt;World_Cup_Matches[[#This Row],[Away Team Goals]],"Hime Win",IF(World_Cup_Matches[[#This Row],[Away Team Goals]]&gt;World_Cup_Matches[[#This Row],[Home Team Goals]],"Away win","Draw"))</f>
        <v>Hime Win</v>
      </c>
    </row>
    <row r="511" spans="1:24" x14ac:dyDescent="0.2">
      <c r="A511" s="19">
        <v>1994</v>
      </c>
      <c r="B511" s="15" t="s">
        <v>1098</v>
      </c>
      <c r="C511" s="3" t="s">
        <v>150</v>
      </c>
      <c r="D511" s="3" t="s">
        <v>995</v>
      </c>
      <c r="E511" s="3" t="s">
        <v>996</v>
      </c>
      <c r="F511" s="3" t="s">
        <v>109</v>
      </c>
      <c r="G511" s="11">
        <v>2</v>
      </c>
      <c r="H511" s="11">
        <v>3</v>
      </c>
      <c r="I511" s="3" t="s">
        <v>42</v>
      </c>
      <c r="J511" s="3" t="s">
        <v>1842</v>
      </c>
      <c r="K511" s="3">
        <v>63500</v>
      </c>
      <c r="L511" s="11">
        <v>0</v>
      </c>
      <c r="M511" s="11">
        <v>0</v>
      </c>
      <c r="N511" s="3" t="s">
        <v>1056</v>
      </c>
      <c r="O511" s="3" t="s">
        <v>1020</v>
      </c>
      <c r="P511" s="3" t="s">
        <v>1062</v>
      </c>
      <c r="Q511" s="11">
        <v>796</v>
      </c>
      <c r="R511" s="11">
        <v>3098</v>
      </c>
      <c r="S511" s="3" t="s">
        <v>114</v>
      </c>
      <c r="T511" s="4" t="s">
        <v>47</v>
      </c>
      <c r="U511" s="11">
        <f>World_Cup_Matches[[#This Row],[Home Team Goals]]+World_Cup_Matches[[#This Row],[Away Team Goals]]</f>
        <v>5</v>
      </c>
      <c r="V511" s="11">
        <f>World_Cup_Matches[[#This Row],[Home Team Goals]]-World_Cup_Matches[[#This Row],[Away Team Goals]]</f>
        <v>-1</v>
      </c>
      <c r="W511" s="4" t="str">
        <f>IF(World_Cup_Matches[[#This Row],[Home Team Goals]]&gt;World_Cup_Matches[[#This Row],[Away Team Goals]],World_Cup_Matches[[#This Row],[Home Team Name]],IF(World_Cup_Matches[[#This Row],[Away Team Goals]]&gt;World_Cup_Matches[[#This Row],[Home Team Goals]], World_Cup_Matches[[#This Row],[Away Team Name]],"Draw"))</f>
        <v>Brazil</v>
      </c>
      <c r="X511" s="4" t="str">
        <f>IF(World_Cup_Matches[[#This Row],[Home Team Goals]]&gt;World_Cup_Matches[[#This Row],[Away Team Goals]],"Hime Win",IF(World_Cup_Matches[[#This Row],[Away Team Goals]]&gt;World_Cup_Matches[[#This Row],[Home Team Goals]],"Away win","Draw"))</f>
        <v>Away win</v>
      </c>
    </row>
    <row r="512" spans="1:24" x14ac:dyDescent="0.2">
      <c r="A512" s="19">
        <v>1994</v>
      </c>
      <c r="B512" s="15" t="s">
        <v>1099</v>
      </c>
      <c r="C512" s="3" t="s">
        <v>150</v>
      </c>
      <c r="D512" s="3" t="s">
        <v>1012</v>
      </c>
      <c r="E512" s="3" t="s">
        <v>1013</v>
      </c>
      <c r="F512" s="3" t="s">
        <v>401</v>
      </c>
      <c r="G512" s="11">
        <v>2</v>
      </c>
      <c r="H512" s="11">
        <v>1</v>
      </c>
      <c r="I512" s="3" t="s">
        <v>124</v>
      </c>
      <c r="J512" s="3" t="s">
        <v>1842</v>
      </c>
      <c r="K512" s="3">
        <v>72000</v>
      </c>
      <c r="L512" s="11">
        <v>0</v>
      </c>
      <c r="M512" s="11">
        <v>0</v>
      </c>
      <c r="N512" s="3" t="s">
        <v>1025</v>
      </c>
      <c r="O512" s="3" t="s">
        <v>1010</v>
      </c>
      <c r="P512" s="3" t="s">
        <v>1032</v>
      </c>
      <c r="Q512" s="11">
        <v>796</v>
      </c>
      <c r="R512" s="11">
        <v>3096</v>
      </c>
      <c r="S512" s="3" t="s">
        <v>404</v>
      </c>
      <c r="T512" s="4" t="s">
        <v>128</v>
      </c>
      <c r="U512" s="11">
        <f>World_Cup_Matches[[#This Row],[Home Team Goals]]+World_Cup_Matches[[#This Row],[Away Team Goals]]</f>
        <v>3</v>
      </c>
      <c r="V512" s="11">
        <f>World_Cup_Matches[[#This Row],[Home Team Goals]]-World_Cup_Matches[[#This Row],[Away Team Goals]]</f>
        <v>1</v>
      </c>
      <c r="W512" s="4" t="str">
        <f>IF(World_Cup_Matches[[#This Row],[Home Team Goals]]&gt;World_Cup_Matches[[#This Row],[Away Team Goals]],World_Cup_Matches[[#This Row],[Home Team Name]],IF(World_Cup_Matches[[#This Row],[Away Team Goals]]&gt;World_Cup_Matches[[#This Row],[Home Team Goals]], World_Cup_Matches[[#This Row],[Away Team Name]],"Draw"))</f>
        <v>Bulgaria</v>
      </c>
      <c r="X512" s="4" t="str">
        <f>IF(World_Cup_Matches[[#This Row],[Home Team Goals]]&gt;World_Cup_Matches[[#This Row],[Away Team Goals]],"Hime Win",IF(World_Cup_Matches[[#This Row],[Away Team Goals]]&gt;World_Cup_Matches[[#This Row],[Home Team Goals]],"Away win","Draw"))</f>
        <v>Hime Win</v>
      </c>
    </row>
    <row r="513" spans="1:24" x14ac:dyDescent="0.2">
      <c r="A513" s="19">
        <v>1994</v>
      </c>
      <c r="B513" s="15" t="s">
        <v>1100</v>
      </c>
      <c r="C513" s="3" t="s">
        <v>150</v>
      </c>
      <c r="D513" s="3" t="s">
        <v>1041</v>
      </c>
      <c r="E513" s="3" t="s">
        <v>1042</v>
      </c>
      <c r="F513" s="3" t="s">
        <v>50</v>
      </c>
      <c r="G513" s="11">
        <v>2</v>
      </c>
      <c r="H513" s="11">
        <v>2</v>
      </c>
      <c r="I513" s="3" t="s">
        <v>117</v>
      </c>
      <c r="J513" s="3" t="s">
        <v>1101</v>
      </c>
      <c r="K513" s="3">
        <v>83500</v>
      </c>
      <c r="L513" s="11">
        <v>0</v>
      </c>
      <c r="M513" s="11">
        <v>0</v>
      </c>
      <c r="N513" s="3" t="s">
        <v>1077</v>
      </c>
      <c r="O513" s="3" t="s">
        <v>998</v>
      </c>
      <c r="P513" s="3" t="s">
        <v>1016</v>
      </c>
      <c r="Q513" s="11">
        <v>796</v>
      </c>
      <c r="R513" s="11">
        <v>3095</v>
      </c>
      <c r="S513" s="3" t="s">
        <v>53</v>
      </c>
      <c r="T513" s="4" t="s">
        <v>121</v>
      </c>
      <c r="U513" s="11">
        <f>World_Cup_Matches[[#This Row],[Home Team Goals]]+World_Cup_Matches[[#This Row],[Away Team Goals]]</f>
        <v>4</v>
      </c>
      <c r="V513" s="11">
        <f>World_Cup_Matches[[#This Row],[Home Team Goals]]-World_Cup_Matches[[#This Row],[Away Team Goals]]</f>
        <v>0</v>
      </c>
      <c r="W513" s="4" t="str">
        <f>IF(World_Cup_Matches[[#This Row],[Home Team Goals]]&gt;World_Cup_Matches[[#This Row],[Away Team Goals]],World_Cup_Matches[[#This Row],[Home Team Name]],IF(World_Cup_Matches[[#This Row],[Away Team Goals]]&gt;World_Cup_Matches[[#This Row],[Home Team Goals]], World_Cup_Matches[[#This Row],[Away Team Name]],"Draw"))</f>
        <v>Draw</v>
      </c>
      <c r="X513" s="4" t="str">
        <f>IF(World_Cup_Matches[[#This Row],[Home Team Goals]]&gt;World_Cup_Matches[[#This Row],[Away Team Goals]],"Hime Win",IF(World_Cup_Matches[[#This Row],[Away Team Goals]]&gt;World_Cup_Matches[[#This Row],[Home Team Goals]],"Away win","Draw"))</f>
        <v>Draw</v>
      </c>
    </row>
    <row r="514" spans="1:24" x14ac:dyDescent="0.2">
      <c r="A514" s="19">
        <v>1994</v>
      </c>
      <c r="B514" s="15" t="s">
        <v>1102</v>
      </c>
      <c r="C514" s="3" t="s">
        <v>83</v>
      </c>
      <c r="D514" s="3" t="s">
        <v>1012</v>
      </c>
      <c r="E514" s="3" t="s">
        <v>1013</v>
      </c>
      <c r="F514" s="3" t="s">
        <v>401</v>
      </c>
      <c r="G514" s="11">
        <v>1</v>
      </c>
      <c r="H514" s="11">
        <v>2</v>
      </c>
      <c r="I514" s="3" t="s">
        <v>138</v>
      </c>
      <c r="J514" s="3" t="s">
        <v>1842</v>
      </c>
      <c r="K514" s="3">
        <v>74110</v>
      </c>
      <c r="L514" s="11">
        <v>1</v>
      </c>
      <c r="M514" s="11">
        <v>2</v>
      </c>
      <c r="N514" s="3" t="s">
        <v>828</v>
      </c>
      <c r="O514" s="3" t="s">
        <v>997</v>
      </c>
      <c r="P514" s="3" t="s">
        <v>998</v>
      </c>
      <c r="Q514" s="11">
        <v>3461</v>
      </c>
      <c r="R514" s="11">
        <v>3100</v>
      </c>
      <c r="S514" s="3" t="s">
        <v>404</v>
      </c>
      <c r="T514" s="4" t="s">
        <v>142</v>
      </c>
      <c r="U514" s="11">
        <f>World_Cup_Matches[[#This Row],[Home Team Goals]]+World_Cup_Matches[[#This Row],[Away Team Goals]]</f>
        <v>3</v>
      </c>
      <c r="V514" s="11">
        <f>World_Cup_Matches[[#This Row],[Home Team Goals]]-World_Cup_Matches[[#This Row],[Away Team Goals]]</f>
        <v>-1</v>
      </c>
      <c r="W514" s="4" t="str">
        <f>IF(World_Cup_Matches[[#This Row],[Home Team Goals]]&gt;World_Cup_Matches[[#This Row],[Away Team Goals]],World_Cup_Matches[[#This Row],[Home Team Name]],IF(World_Cup_Matches[[#This Row],[Away Team Goals]]&gt;World_Cup_Matches[[#This Row],[Home Team Goals]], World_Cup_Matches[[#This Row],[Away Team Name]],"Draw"))</f>
        <v>Italy</v>
      </c>
      <c r="X514" s="4" t="str">
        <f>IF(World_Cup_Matches[[#This Row],[Home Team Goals]]&gt;World_Cup_Matches[[#This Row],[Away Team Goals]],"Hime Win",IF(World_Cup_Matches[[#This Row],[Away Team Goals]]&gt;World_Cup_Matches[[#This Row],[Home Team Goals]],"Away win","Draw"))</f>
        <v>Away win</v>
      </c>
    </row>
    <row r="515" spans="1:24" x14ac:dyDescent="0.2">
      <c r="A515" s="19">
        <v>1994</v>
      </c>
      <c r="B515" s="15" t="s">
        <v>1103</v>
      </c>
      <c r="C515" s="3" t="s">
        <v>83</v>
      </c>
      <c r="D515" s="3" t="s">
        <v>1018</v>
      </c>
      <c r="E515" s="3" t="s">
        <v>1019</v>
      </c>
      <c r="F515" s="3" t="s">
        <v>117</v>
      </c>
      <c r="G515" s="11">
        <v>0</v>
      </c>
      <c r="H515" s="11">
        <v>1</v>
      </c>
      <c r="I515" s="3" t="s">
        <v>42</v>
      </c>
      <c r="J515" s="3" t="s">
        <v>1842</v>
      </c>
      <c r="K515" s="3">
        <v>91856</v>
      </c>
      <c r="L515" s="11">
        <v>0</v>
      </c>
      <c r="M515" s="11">
        <v>0</v>
      </c>
      <c r="N515" s="3" t="s">
        <v>1025</v>
      </c>
      <c r="O515" s="3" t="s">
        <v>1032</v>
      </c>
      <c r="P515" s="3" t="s">
        <v>1069</v>
      </c>
      <c r="Q515" s="11">
        <v>3461</v>
      </c>
      <c r="R515" s="11">
        <v>3099</v>
      </c>
      <c r="S515" s="3" t="s">
        <v>121</v>
      </c>
      <c r="T515" s="4" t="s">
        <v>47</v>
      </c>
      <c r="U515" s="11">
        <f>World_Cup_Matches[[#This Row],[Home Team Goals]]+World_Cup_Matches[[#This Row],[Away Team Goals]]</f>
        <v>1</v>
      </c>
      <c r="V515" s="11">
        <f>World_Cup_Matches[[#This Row],[Home Team Goals]]-World_Cup_Matches[[#This Row],[Away Team Goals]]</f>
        <v>-1</v>
      </c>
      <c r="W515" s="4" t="str">
        <f>IF(World_Cup_Matches[[#This Row],[Home Team Goals]]&gt;World_Cup_Matches[[#This Row],[Away Team Goals]],World_Cup_Matches[[#This Row],[Home Team Name]],IF(World_Cup_Matches[[#This Row],[Away Team Goals]]&gt;World_Cup_Matches[[#This Row],[Home Team Goals]], World_Cup_Matches[[#This Row],[Away Team Name]],"Draw"))</f>
        <v>Brazil</v>
      </c>
      <c r="X515" s="4" t="str">
        <f>IF(World_Cup_Matches[[#This Row],[Home Team Goals]]&gt;World_Cup_Matches[[#This Row],[Away Team Goals]],"Hime Win",IF(World_Cup_Matches[[#This Row],[Away Team Goals]]&gt;World_Cup_Matches[[#This Row],[Home Team Goals]],"Away win","Draw"))</f>
        <v>Away win</v>
      </c>
    </row>
    <row r="516" spans="1:24" x14ac:dyDescent="0.2">
      <c r="A516" s="19">
        <v>1994</v>
      </c>
      <c r="B516" s="15" t="s">
        <v>1104</v>
      </c>
      <c r="C516" s="3" t="s">
        <v>155</v>
      </c>
      <c r="D516" s="3" t="s">
        <v>1018</v>
      </c>
      <c r="E516" s="3" t="s">
        <v>1019</v>
      </c>
      <c r="F516" s="3" t="s">
        <v>117</v>
      </c>
      <c r="G516" s="11">
        <v>4</v>
      </c>
      <c r="H516" s="11">
        <v>0</v>
      </c>
      <c r="I516" s="3" t="s">
        <v>401</v>
      </c>
      <c r="J516" s="3" t="s">
        <v>1842</v>
      </c>
      <c r="K516" s="3">
        <v>91500</v>
      </c>
      <c r="L516" s="11">
        <v>4</v>
      </c>
      <c r="M516" s="11">
        <v>0</v>
      </c>
      <c r="N516" s="3" t="s">
        <v>1081</v>
      </c>
      <c r="O516" s="3" t="s">
        <v>1045</v>
      </c>
      <c r="P516" s="3" t="s">
        <v>1009</v>
      </c>
      <c r="Q516" s="11">
        <v>3460</v>
      </c>
      <c r="R516" s="11">
        <v>3103</v>
      </c>
      <c r="S516" s="3" t="s">
        <v>121</v>
      </c>
      <c r="T516" s="4" t="s">
        <v>404</v>
      </c>
      <c r="U516" s="11">
        <f>World_Cup_Matches[[#This Row],[Home Team Goals]]+World_Cup_Matches[[#This Row],[Away Team Goals]]</f>
        <v>4</v>
      </c>
      <c r="V516" s="11">
        <f>World_Cup_Matches[[#This Row],[Home Team Goals]]-World_Cup_Matches[[#This Row],[Away Team Goals]]</f>
        <v>4</v>
      </c>
      <c r="W516" s="4" t="str">
        <f>IF(World_Cup_Matches[[#This Row],[Home Team Goals]]&gt;World_Cup_Matches[[#This Row],[Away Team Goals]],World_Cup_Matches[[#This Row],[Home Team Name]],IF(World_Cup_Matches[[#This Row],[Away Team Goals]]&gt;World_Cup_Matches[[#This Row],[Home Team Goals]], World_Cup_Matches[[#This Row],[Away Team Name]],"Draw"))</f>
        <v>Sweden</v>
      </c>
      <c r="X516" s="4" t="str">
        <f>IF(World_Cup_Matches[[#This Row],[Home Team Goals]]&gt;World_Cup_Matches[[#This Row],[Away Team Goals]],"Hime Win",IF(World_Cup_Matches[[#This Row],[Away Team Goals]]&gt;World_Cup_Matches[[#This Row],[Home Team Goals]],"Away win","Draw"))</f>
        <v>Hime Win</v>
      </c>
    </row>
    <row r="517" spans="1:24" x14ac:dyDescent="0.2">
      <c r="A517" s="19">
        <v>1994</v>
      </c>
      <c r="B517" s="15" t="s">
        <v>1105</v>
      </c>
      <c r="C517" s="3" t="s">
        <v>86</v>
      </c>
      <c r="D517" s="3" t="s">
        <v>1018</v>
      </c>
      <c r="E517" s="3" t="s">
        <v>1019</v>
      </c>
      <c r="F517" s="3" t="s">
        <v>42</v>
      </c>
      <c r="G517" s="11">
        <v>0</v>
      </c>
      <c r="H517" s="11">
        <v>0</v>
      </c>
      <c r="I517" s="3" t="s">
        <v>138</v>
      </c>
      <c r="J517" s="3" t="s">
        <v>1106</v>
      </c>
      <c r="K517" s="3">
        <v>94194</v>
      </c>
      <c r="L517" s="11">
        <v>0</v>
      </c>
      <c r="M517" s="11">
        <v>0</v>
      </c>
      <c r="N517" s="3" t="s">
        <v>1031</v>
      </c>
      <c r="O517" s="3" t="s">
        <v>1010</v>
      </c>
      <c r="P517" s="3" t="s">
        <v>1062</v>
      </c>
      <c r="Q517" s="11">
        <v>3459</v>
      </c>
      <c r="R517" s="11">
        <v>3104</v>
      </c>
      <c r="S517" s="3" t="s">
        <v>47</v>
      </c>
      <c r="T517" s="4" t="s">
        <v>142</v>
      </c>
      <c r="U517" s="11">
        <f>World_Cup_Matches[[#This Row],[Home Team Goals]]+World_Cup_Matches[[#This Row],[Away Team Goals]]</f>
        <v>0</v>
      </c>
      <c r="V517" s="11">
        <f>World_Cup_Matches[[#This Row],[Home Team Goals]]-World_Cup_Matches[[#This Row],[Away Team Goals]]</f>
        <v>0</v>
      </c>
      <c r="W517" s="4" t="str">
        <f>IF(World_Cup_Matches[[#This Row],[Home Team Goals]]&gt;World_Cup_Matches[[#This Row],[Away Team Goals]],World_Cup_Matches[[#This Row],[Home Team Name]],IF(World_Cup_Matches[[#This Row],[Away Team Goals]]&gt;World_Cup_Matches[[#This Row],[Home Team Goals]], World_Cup_Matches[[#This Row],[Away Team Name]],"Draw"))</f>
        <v>Draw</v>
      </c>
      <c r="X517" s="4" t="str">
        <f>IF(World_Cup_Matches[[#This Row],[Home Team Goals]]&gt;World_Cup_Matches[[#This Row],[Away Team Goals]],"Hime Win",IF(World_Cup_Matches[[#This Row],[Away Team Goals]]&gt;World_Cup_Matches[[#This Row],[Home Team Goals]],"Away win","Draw"))</f>
        <v>Draw</v>
      </c>
    </row>
    <row r="518" spans="1:24" x14ac:dyDescent="0.2">
      <c r="A518" s="19">
        <v>1998</v>
      </c>
      <c r="B518" s="15" t="s">
        <v>1107</v>
      </c>
      <c r="C518" s="3" t="s">
        <v>609</v>
      </c>
      <c r="D518" s="3" t="s">
        <v>1108</v>
      </c>
      <c r="E518" s="3" t="s">
        <v>1109</v>
      </c>
      <c r="F518" s="3" t="s">
        <v>42</v>
      </c>
      <c r="G518" s="11">
        <v>2</v>
      </c>
      <c r="H518" s="11">
        <v>1</v>
      </c>
      <c r="I518" s="3" t="s">
        <v>272</v>
      </c>
      <c r="J518" s="3" t="s">
        <v>1842</v>
      </c>
      <c r="K518" s="3">
        <v>80000</v>
      </c>
      <c r="L518" s="11">
        <v>1</v>
      </c>
      <c r="M518" s="11">
        <v>1</v>
      </c>
      <c r="N518" s="3" t="s">
        <v>1110</v>
      </c>
      <c r="O518" s="3" t="s">
        <v>1111</v>
      </c>
      <c r="P518" s="3" t="s">
        <v>1112</v>
      </c>
      <c r="Q518" s="11">
        <v>1014</v>
      </c>
      <c r="R518" s="11">
        <v>4000</v>
      </c>
      <c r="S518" s="3" t="s">
        <v>47</v>
      </c>
      <c r="T518" s="4" t="s">
        <v>275</v>
      </c>
      <c r="U518" s="11">
        <f>World_Cup_Matches[[#This Row],[Home Team Goals]]+World_Cup_Matches[[#This Row],[Away Team Goals]]</f>
        <v>3</v>
      </c>
      <c r="V518" s="11">
        <f>World_Cup_Matches[[#This Row],[Home Team Goals]]-World_Cup_Matches[[#This Row],[Away Team Goals]]</f>
        <v>1</v>
      </c>
      <c r="W518" s="4" t="str">
        <f>IF(World_Cup_Matches[[#This Row],[Home Team Goals]]&gt;World_Cup_Matches[[#This Row],[Away Team Goals]],World_Cup_Matches[[#This Row],[Home Team Name]],IF(World_Cup_Matches[[#This Row],[Away Team Goals]]&gt;World_Cup_Matches[[#This Row],[Home Team Goals]], World_Cup_Matches[[#This Row],[Away Team Name]],"Draw"))</f>
        <v>Brazil</v>
      </c>
      <c r="X518" s="4" t="str">
        <f>IF(World_Cup_Matches[[#This Row],[Home Team Goals]]&gt;World_Cup_Matches[[#This Row],[Away Team Goals]],"Hime Win",IF(World_Cup_Matches[[#This Row],[Away Team Goals]]&gt;World_Cup_Matches[[#This Row],[Home Team Goals]],"Away win","Draw"))</f>
        <v>Hime Win</v>
      </c>
    </row>
    <row r="519" spans="1:24" x14ac:dyDescent="0.2">
      <c r="A519" s="19">
        <v>1998</v>
      </c>
      <c r="B519" s="15" t="s">
        <v>1113</v>
      </c>
      <c r="C519" s="3" t="s">
        <v>609</v>
      </c>
      <c r="D519" s="3" t="s">
        <v>1114</v>
      </c>
      <c r="E519" s="3" t="s">
        <v>1115</v>
      </c>
      <c r="F519" s="3" t="s">
        <v>513</v>
      </c>
      <c r="G519" s="11">
        <v>2</v>
      </c>
      <c r="H519" s="11">
        <v>2</v>
      </c>
      <c r="I519" s="3" t="s">
        <v>183</v>
      </c>
      <c r="J519" s="3" t="s">
        <v>1842</v>
      </c>
      <c r="K519" s="3">
        <v>29800</v>
      </c>
      <c r="L519" s="11">
        <v>1</v>
      </c>
      <c r="M519" s="11">
        <v>1</v>
      </c>
      <c r="N519" s="3" t="s">
        <v>1116</v>
      </c>
      <c r="O519" s="3" t="s">
        <v>1117</v>
      </c>
      <c r="P519" s="3" t="s">
        <v>1118</v>
      </c>
      <c r="Q519" s="11">
        <v>1014</v>
      </c>
      <c r="R519" s="11">
        <v>8725</v>
      </c>
      <c r="S519" s="3" t="s">
        <v>517</v>
      </c>
      <c r="T519" s="4" t="s">
        <v>186</v>
      </c>
      <c r="U519" s="11">
        <f>World_Cup_Matches[[#This Row],[Home Team Goals]]+World_Cup_Matches[[#This Row],[Away Team Goals]]</f>
        <v>4</v>
      </c>
      <c r="V519" s="11">
        <f>World_Cup_Matches[[#This Row],[Home Team Goals]]-World_Cup_Matches[[#This Row],[Away Team Goals]]</f>
        <v>0</v>
      </c>
      <c r="W519" s="4" t="str">
        <f>IF(World_Cup_Matches[[#This Row],[Home Team Goals]]&gt;World_Cup_Matches[[#This Row],[Away Team Goals]],World_Cup_Matches[[#This Row],[Home Team Name]],IF(World_Cup_Matches[[#This Row],[Away Team Goals]]&gt;World_Cup_Matches[[#This Row],[Home Team Goals]], World_Cup_Matches[[#This Row],[Away Team Name]],"Draw"))</f>
        <v>Draw</v>
      </c>
      <c r="X519" s="4" t="str">
        <f>IF(World_Cup_Matches[[#This Row],[Home Team Goals]]&gt;World_Cup_Matches[[#This Row],[Away Team Goals]],"Hime Win",IF(World_Cup_Matches[[#This Row],[Away Team Goals]]&gt;World_Cup_Matches[[#This Row],[Home Team Goals]],"Away win","Draw"))</f>
        <v>Draw</v>
      </c>
    </row>
    <row r="520" spans="1:24" x14ac:dyDescent="0.2">
      <c r="A520" s="19">
        <v>1998</v>
      </c>
      <c r="B520" s="15" t="s">
        <v>1119</v>
      </c>
      <c r="C520" s="3" t="s">
        <v>607</v>
      </c>
      <c r="D520" s="3" t="s">
        <v>205</v>
      </c>
      <c r="E520" s="3" t="s">
        <v>206</v>
      </c>
      <c r="F520" s="3" t="s">
        <v>138</v>
      </c>
      <c r="G520" s="11">
        <v>2</v>
      </c>
      <c r="H520" s="11">
        <v>2</v>
      </c>
      <c r="I520" s="3" t="s">
        <v>61</v>
      </c>
      <c r="J520" s="3" t="s">
        <v>1842</v>
      </c>
      <c r="K520" s="3">
        <v>31800</v>
      </c>
      <c r="L520" s="11">
        <v>1</v>
      </c>
      <c r="M520" s="11">
        <v>1</v>
      </c>
      <c r="N520" s="3" t="s">
        <v>1120</v>
      </c>
      <c r="O520" s="3" t="s">
        <v>1121</v>
      </c>
      <c r="P520" s="3" t="s">
        <v>1122</v>
      </c>
      <c r="Q520" s="11">
        <v>1014</v>
      </c>
      <c r="R520" s="11">
        <v>8726</v>
      </c>
      <c r="S520" s="3" t="s">
        <v>142</v>
      </c>
      <c r="T520" s="4" t="s">
        <v>63</v>
      </c>
      <c r="U520" s="11">
        <f>World_Cup_Matches[[#This Row],[Home Team Goals]]+World_Cup_Matches[[#This Row],[Away Team Goals]]</f>
        <v>4</v>
      </c>
      <c r="V520" s="11">
        <f>World_Cup_Matches[[#This Row],[Home Team Goals]]-World_Cup_Matches[[#This Row],[Away Team Goals]]</f>
        <v>0</v>
      </c>
      <c r="W520" s="4" t="str">
        <f>IF(World_Cup_Matches[[#This Row],[Home Team Goals]]&gt;World_Cup_Matches[[#This Row],[Away Team Goals]],World_Cup_Matches[[#This Row],[Home Team Name]],IF(World_Cup_Matches[[#This Row],[Away Team Goals]]&gt;World_Cup_Matches[[#This Row],[Home Team Goals]], World_Cup_Matches[[#This Row],[Away Team Name]],"Draw"))</f>
        <v>Draw</v>
      </c>
      <c r="X520" s="4" t="str">
        <f>IF(World_Cup_Matches[[#This Row],[Home Team Goals]]&gt;World_Cup_Matches[[#This Row],[Away Team Goals]],"Hime Win",IF(World_Cup_Matches[[#This Row],[Away Team Goals]]&gt;World_Cup_Matches[[#This Row],[Home Team Goals]],"Away win","Draw"))</f>
        <v>Draw</v>
      </c>
    </row>
    <row r="521" spans="1:24" x14ac:dyDescent="0.2">
      <c r="A521" s="19">
        <v>1998</v>
      </c>
      <c r="B521" s="15" t="s">
        <v>1123</v>
      </c>
      <c r="C521" s="3" t="s">
        <v>607</v>
      </c>
      <c r="D521" s="3" t="s">
        <v>175</v>
      </c>
      <c r="E521" s="3" t="s">
        <v>176</v>
      </c>
      <c r="F521" s="3" t="s">
        <v>700</v>
      </c>
      <c r="G521" s="11">
        <v>1</v>
      </c>
      <c r="H521" s="11">
        <v>1</v>
      </c>
      <c r="I521" s="3" t="s">
        <v>91</v>
      </c>
      <c r="J521" s="3" t="s">
        <v>1842</v>
      </c>
      <c r="K521" s="3">
        <v>33500</v>
      </c>
      <c r="L521" s="11">
        <v>0</v>
      </c>
      <c r="M521" s="11">
        <v>0</v>
      </c>
      <c r="N521" s="3" t="s">
        <v>1124</v>
      </c>
      <c r="O521" s="3" t="s">
        <v>1125</v>
      </c>
      <c r="P521" s="3" t="s">
        <v>1126</v>
      </c>
      <c r="Q521" s="11">
        <v>1014</v>
      </c>
      <c r="R521" s="11">
        <v>8727</v>
      </c>
      <c r="S521" s="3" t="s">
        <v>702</v>
      </c>
      <c r="T521" s="4" t="s">
        <v>96</v>
      </c>
      <c r="U521" s="11">
        <f>World_Cup_Matches[[#This Row],[Home Team Goals]]+World_Cup_Matches[[#This Row],[Away Team Goals]]</f>
        <v>2</v>
      </c>
      <c r="V521" s="11">
        <f>World_Cup_Matches[[#This Row],[Home Team Goals]]-World_Cup_Matches[[#This Row],[Away Team Goals]]</f>
        <v>0</v>
      </c>
      <c r="W521" s="4" t="str">
        <f>IF(World_Cup_Matches[[#This Row],[Home Team Goals]]&gt;World_Cup_Matches[[#This Row],[Away Team Goals]],World_Cup_Matches[[#This Row],[Home Team Name]],IF(World_Cup_Matches[[#This Row],[Away Team Goals]]&gt;World_Cup_Matches[[#This Row],[Home Team Goals]], World_Cup_Matches[[#This Row],[Away Team Name]],"Draw"))</f>
        <v>Draw</v>
      </c>
      <c r="X521" s="4" t="str">
        <f>IF(World_Cup_Matches[[#This Row],[Home Team Goals]]&gt;World_Cup_Matches[[#This Row],[Away Team Goals]],"Hime Win",IF(World_Cup_Matches[[#This Row],[Away Team Goals]]&gt;World_Cup_Matches[[#This Row],[Home Team Goals]],"Away win","Draw"))</f>
        <v>Draw</v>
      </c>
    </row>
    <row r="522" spans="1:24" x14ac:dyDescent="0.2">
      <c r="A522" s="19">
        <v>1998</v>
      </c>
      <c r="B522" s="15" t="s">
        <v>1127</v>
      </c>
      <c r="C522" s="3" t="s">
        <v>811</v>
      </c>
      <c r="D522" s="3" t="s">
        <v>1114</v>
      </c>
      <c r="E522" s="3" t="s">
        <v>1115</v>
      </c>
      <c r="F522" s="3" t="s">
        <v>68</v>
      </c>
      <c r="G522" s="11">
        <v>0</v>
      </c>
      <c r="H522" s="11">
        <v>0</v>
      </c>
      <c r="I522" s="3" t="s">
        <v>401</v>
      </c>
      <c r="J522" s="3" t="s">
        <v>1842</v>
      </c>
      <c r="K522" s="3">
        <v>29800</v>
      </c>
      <c r="L522" s="11">
        <v>0</v>
      </c>
      <c r="M522" s="11">
        <v>0</v>
      </c>
      <c r="N522" s="3" t="s">
        <v>1128</v>
      </c>
      <c r="O522" s="3" t="s">
        <v>1129</v>
      </c>
      <c r="P522" s="3" t="s">
        <v>1130</v>
      </c>
      <c r="Q522" s="11">
        <v>1014</v>
      </c>
      <c r="R522" s="11">
        <v>8728</v>
      </c>
      <c r="S522" s="3" t="s">
        <v>69</v>
      </c>
      <c r="T522" s="4" t="s">
        <v>404</v>
      </c>
      <c r="U522" s="11">
        <f>World_Cup_Matches[[#This Row],[Home Team Goals]]+World_Cup_Matches[[#This Row],[Away Team Goals]]</f>
        <v>0</v>
      </c>
      <c r="V522" s="11">
        <f>World_Cup_Matches[[#This Row],[Home Team Goals]]-World_Cup_Matches[[#This Row],[Away Team Goals]]</f>
        <v>0</v>
      </c>
      <c r="W522" s="4" t="str">
        <f>IF(World_Cup_Matches[[#This Row],[Home Team Goals]]&gt;World_Cup_Matches[[#This Row],[Away Team Goals]],World_Cup_Matches[[#This Row],[Home Team Name]],IF(World_Cup_Matches[[#This Row],[Away Team Goals]]&gt;World_Cup_Matches[[#This Row],[Home Team Goals]], World_Cup_Matches[[#This Row],[Away Team Name]],"Draw"))</f>
        <v>Draw</v>
      </c>
      <c r="X522" s="4" t="str">
        <f>IF(World_Cup_Matches[[#This Row],[Home Team Goals]]&gt;World_Cup_Matches[[#This Row],[Away Team Goals]],"Hime Win",IF(World_Cup_Matches[[#This Row],[Away Team Goals]]&gt;World_Cup_Matches[[#This Row],[Home Team Goals]],"Away win","Draw"))</f>
        <v>Draw</v>
      </c>
    </row>
    <row r="523" spans="1:24" x14ac:dyDescent="0.2">
      <c r="A523" s="19">
        <v>1998</v>
      </c>
      <c r="B523" s="15" t="s">
        <v>1131</v>
      </c>
      <c r="C523" s="3" t="s">
        <v>805</v>
      </c>
      <c r="D523" s="3" t="s">
        <v>1132</v>
      </c>
      <c r="E523" s="3" t="s">
        <v>1133</v>
      </c>
      <c r="F523" s="3" t="s">
        <v>1037</v>
      </c>
      <c r="G523" s="11">
        <v>0</v>
      </c>
      <c r="H523" s="11">
        <v>1</v>
      </c>
      <c r="I523" s="3" t="s">
        <v>849</v>
      </c>
      <c r="J523" s="3" t="s">
        <v>1842</v>
      </c>
      <c r="K523" s="3">
        <v>38100</v>
      </c>
      <c r="L523" s="11">
        <v>0</v>
      </c>
      <c r="M523" s="11">
        <v>0</v>
      </c>
      <c r="N523" s="3" t="s">
        <v>1134</v>
      </c>
      <c r="O523" s="3" t="s">
        <v>1135</v>
      </c>
      <c r="P523" s="3" t="s">
        <v>1136</v>
      </c>
      <c r="Q523" s="11">
        <v>1014</v>
      </c>
      <c r="R523" s="11">
        <v>8729</v>
      </c>
      <c r="S523" s="3" t="s">
        <v>1039</v>
      </c>
      <c r="T523" s="4" t="s">
        <v>853</v>
      </c>
      <c r="U523" s="11">
        <f>World_Cup_Matches[[#This Row],[Home Team Goals]]+World_Cup_Matches[[#This Row],[Away Team Goals]]</f>
        <v>1</v>
      </c>
      <c r="V523" s="11">
        <f>World_Cup_Matches[[#This Row],[Home Team Goals]]-World_Cup_Matches[[#This Row],[Away Team Goals]]</f>
        <v>-1</v>
      </c>
      <c r="W523" s="4" t="str">
        <f>IF(World_Cup_Matches[[#This Row],[Home Team Goals]]&gt;World_Cup_Matches[[#This Row],[Away Team Goals]],World_Cup_Matches[[#This Row],[Home Team Name]],IF(World_Cup_Matches[[#This Row],[Away Team Goals]]&gt;World_Cup_Matches[[#This Row],[Home Team Goals]], World_Cup_Matches[[#This Row],[Away Team Name]],"Draw"))</f>
        <v>Denmark</v>
      </c>
      <c r="X523" s="4" t="str">
        <f>IF(World_Cup_Matches[[#This Row],[Home Team Goals]]&gt;World_Cup_Matches[[#This Row],[Away Team Goals]],"Hime Win",IF(World_Cup_Matches[[#This Row],[Away Team Goals]]&gt;World_Cup_Matches[[#This Row],[Home Team Goals]],"Away win","Draw"))</f>
        <v>Away win</v>
      </c>
    </row>
    <row r="524" spans="1:24" x14ac:dyDescent="0.2">
      <c r="A524" s="19">
        <v>1998</v>
      </c>
      <c r="B524" s="15" t="s">
        <v>1137</v>
      </c>
      <c r="C524" s="3" t="s">
        <v>805</v>
      </c>
      <c r="D524" s="3" t="s">
        <v>181</v>
      </c>
      <c r="E524" s="3" t="s">
        <v>182</v>
      </c>
      <c r="F524" s="3" t="s">
        <v>24</v>
      </c>
      <c r="G524" s="11">
        <v>3</v>
      </c>
      <c r="H524" s="11">
        <v>0</v>
      </c>
      <c r="I524" s="3" t="s">
        <v>1138</v>
      </c>
      <c r="J524" s="3" t="s">
        <v>1842</v>
      </c>
      <c r="K524" s="3">
        <v>55000</v>
      </c>
      <c r="L524" s="11">
        <v>1</v>
      </c>
      <c r="M524" s="11">
        <v>0</v>
      </c>
      <c r="N524" s="3" t="s">
        <v>1139</v>
      </c>
      <c r="O524" s="3" t="s">
        <v>1140</v>
      </c>
      <c r="P524" s="3" t="s">
        <v>1141</v>
      </c>
      <c r="Q524" s="11">
        <v>1014</v>
      </c>
      <c r="R524" s="11">
        <v>8730</v>
      </c>
      <c r="S524" s="3" t="s">
        <v>29</v>
      </c>
      <c r="T524" s="4" t="s">
        <v>1142</v>
      </c>
      <c r="U524" s="11">
        <f>World_Cup_Matches[[#This Row],[Home Team Goals]]+World_Cup_Matches[[#This Row],[Away Team Goals]]</f>
        <v>3</v>
      </c>
      <c r="V524" s="11">
        <f>World_Cup_Matches[[#This Row],[Home Team Goals]]-World_Cup_Matches[[#This Row],[Away Team Goals]]</f>
        <v>3</v>
      </c>
      <c r="W524" s="4" t="str">
        <f>IF(World_Cup_Matches[[#This Row],[Home Team Goals]]&gt;World_Cup_Matches[[#This Row],[Away Team Goals]],World_Cup_Matches[[#This Row],[Home Team Name]],IF(World_Cup_Matches[[#This Row],[Away Team Goals]]&gt;World_Cup_Matches[[#This Row],[Home Team Goals]], World_Cup_Matches[[#This Row],[Away Team Name]],"Draw"))</f>
        <v>France</v>
      </c>
      <c r="X524" s="4" t="str">
        <f>IF(World_Cup_Matches[[#This Row],[Home Team Goals]]&gt;World_Cup_Matches[[#This Row],[Away Team Goals]],"Hime Win",IF(World_Cup_Matches[[#This Row],[Away Team Goals]]&gt;World_Cup_Matches[[#This Row],[Home Team Goals]],"Away win","Draw"))</f>
        <v>Hime Win</v>
      </c>
    </row>
    <row r="525" spans="1:24" x14ac:dyDescent="0.2">
      <c r="A525" s="19">
        <v>1998</v>
      </c>
      <c r="B525" s="15" t="s">
        <v>1143</v>
      </c>
      <c r="C525" s="3" t="s">
        <v>811</v>
      </c>
      <c r="D525" s="3" t="s">
        <v>1144</v>
      </c>
      <c r="E525" s="3" t="s">
        <v>1145</v>
      </c>
      <c r="F525" s="3" t="s">
        <v>131</v>
      </c>
      <c r="G525" s="11">
        <v>2</v>
      </c>
      <c r="H525" s="11">
        <v>3</v>
      </c>
      <c r="I525" s="3" t="s">
        <v>1055</v>
      </c>
      <c r="J525" s="3" t="s">
        <v>1842</v>
      </c>
      <c r="K525" s="3">
        <v>35500</v>
      </c>
      <c r="L525" s="11">
        <v>1</v>
      </c>
      <c r="M525" s="11">
        <v>1</v>
      </c>
      <c r="N525" s="3" t="s">
        <v>1146</v>
      </c>
      <c r="O525" s="3" t="s">
        <v>1147</v>
      </c>
      <c r="P525" s="3" t="s">
        <v>1148</v>
      </c>
      <c r="Q525" s="11">
        <v>1014</v>
      </c>
      <c r="R525" s="11">
        <v>8731</v>
      </c>
      <c r="S525" s="3" t="s">
        <v>135</v>
      </c>
      <c r="T525" s="4" t="s">
        <v>1057</v>
      </c>
      <c r="U525" s="11">
        <f>World_Cup_Matches[[#This Row],[Home Team Goals]]+World_Cup_Matches[[#This Row],[Away Team Goals]]</f>
        <v>5</v>
      </c>
      <c r="V525" s="11">
        <f>World_Cup_Matches[[#This Row],[Home Team Goals]]-World_Cup_Matches[[#This Row],[Away Team Goals]]</f>
        <v>-1</v>
      </c>
      <c r="W525" s="4" t="str">
        <f>IF(World_Cup_Matches[[#This Row],[Home Team Goals]]&gt;World_Cup_Matches[[#This Row],[Away Team Goals]],World_Cup_Matches[[#This Row],[Home Team Name]],IF(World_Cup_Matches[[#This Row],[Away Team Goals]]&gt;World_Cup_Matches[[#This Row],[Home Team Goals]], World_Cup_Matches[[#This Row],[Away Team Name]],"Draw"))</f>
        <v>Nigeria</v>
      </c>
      <c r="X525" s="4" t="str">
        <f>IF(World_Cup_Matches[[#This Row],[Home Team Goals]]&gt;World_Cup_Matches[[#This Row],[Away Team Goals]],"Hime Win",IF(World_Cup_Matches[[#This Row],[Away Team Goals]]&gt;World_Cup_Matches[[#This Row],[Home Team Goals]],"Away win","Draw"))</f>
        <v>Away win</v>
      </c>
    </row>
    <row r="526" spans="1:24" x14ac:dyDescent="0.2">
      <c r="A526" s="19">
        <v>1998</v>
      </c>
      <c r="B526" s="15" t="s">
        <v>1149</v>
      </c>
      <c r="C526" s="3" t="s">
        <v>846</v>
      </c>
      <c r="D526" s="3" t="s">
        <v>1150</v>
      </c>
      <c r="E526" s="3" t="s">
        <v>1151</v>
      </c>
      <c r="F526" s="3" t="s">
        <v>291</v>
      </c>
      <c r="G526" s="11">
        <v>1</v>
      </c>
      <c r="H526" s="11">
        <v>3</v>
      </c>
      <c r="I526" s="3" t="s">
        <v>25</v>
      </c>
      <c r="J526" s="3" t="s">
        <v>1842</v>
      </c>
      <c r="K526" s="3">
        <v>39100</v>
      </c>
      <c r="L526" s="11">
        <v>1</v>
      </c>
      <c r="M526" s="11">
        <v>0</v>
      </c>
      <c r="N526" s="3" t="s">
        <v>1152</v>
      </c>
      <c r="O526" s="3" t="s">
        <v>1153</v>
      </c>
      <c r="P526" s="3" t="s">
        <v>1154</v>
      </c>
      <c r="Q526" s="11">
        <v>1014</v>
      </c>
      <c r="R526" s="11">
        <v>8732</v>
      </c>
      <c r="S526" s="3" t="s">
        <v>295</v>
      </c>
      <c r="T526" s="4" t="s">
        <v>30</v>
      </c>
      <c r="U526" s="11">
        <f>World_Cup_Matches[[#This Row],[Home Team Goals]]+World_Cup_Matches[[#This Row],[Away Team Goals]]</f>
        <v>4</v>
      </c>
      <c r="V526" s="11">
        <f>World_Cup_Matches[[#This Row],[Home Team Goals]]-World_Cup_Matches[[#This Row],[Away Team Goals]]</f>
        <v>-2</v>
      </c>
      <c r="W526" s="4" t="str">
        <f>IF(World_Cup_Matches[[#This Row],[Home Team Goals]]&gt;World_Cup_Matches[[#This Row],[Away Team Goals]],World_Cup_Matches[[#This Row],[Home Team Name]],IF(World_Cup_Matches[[#This Row],[Away Team Goals]]&gt;World_Cup_Matches[[#This Row],[Home Team Goals]], World_Cup_Matches[[#This Row],[Away Team Name]],"Draw"))</f>
        <v>Mexico</v>
      </c>
      <c r="X526" s="4" t="str">
        <f>IF(World_Cup_Matches[[#This Row],[Home Team Goals]]&gt;World_Cup_Matches[[#This Row],[Away Team Goals]],"Hime Win",IF(World_Cup_Matches[[#This Row],[Away Team Goals]]&gt;World_Cup_Matches[[#This Row],[Home Team Goals]],"Away win","Draw"))</f>
        <v>Away win</v>
      </c>
    </row>
    <row r="527" spans="1:24" x14ac:dyDescent="0.2">
      <c r="A527" s="19">
        <v>1998</v>
      </c>
      <c r="B527" s="15" t="s">
        <v>1155</v>
      </c>
      <c r="C527" s="3" t="s">
        <v>846</v>
      </c>
      <c r="D527" s="3" t="s">
        <v>1108</v>
      </c>
      <c r="E527" s="3" t="s">
        <v>1109</v>
      </c>
      <c r="F527" s="3" t="s">
        <v>109</v>
      </c>
      <c r="G527" s="11">
        <v>0</v>
      </c>
      <c r="H527" s="11">
        <v>0</v>
      </c>
      <c r="I527" s="3" t="s">
        <v>34</v>
      </c>
      <c r="J527" s="3" t="s">
        <v>1842</v>
      </c>
      <c r="K527" s="3">
        <v>77000</v>
      </c>
      <c r="L527" s="11">
        <v>0</v>
      </c>
      <c r="M527" s="11">
        <v>0</v>
      </c>
      <c r="N527" s="3" t="s">
        <v>1156</v>
      </c>
      <c r="O527" s="3" t="s">
        <v>1157</v>
      </c>
      <c r="P527" s="3" t="s">
        <v>1158</v>
      </c>
      <c r="Q527" s="11">
        <v>1014</v>
      </c>
      <c r="R527" s="11">
        <v>8733</v>
      </c>
      <c r="S527" s="3" t="s">
        <v>114</v>
      </c>
      <c r="T527" s="4" t="s">
        <v>38</v>
      </c>
      <c r="U527" s="11">
        <f>World_Cup_Matches[[#This Row],[Home Team Goals]]+World_Cup_Matches[[#This Row],[Away Team Goals]]</f>
        <v>0</v>
      </c>
      <c r="V527" s="11">
        <f>World_Cup_Matches[[#This Row],[Home Team Goals]]-World_Cup_Matches[[#This Row],[Away Team Goals]]</f>
        <v>0</v>
      </c>
      <c r="W527" s="4" t="str">
        <f>IF(World_Cup_Matches[[#This Row],[Home Team Goals]]&gt;World_Cup_Matches[[#This Row],[Away Team Goals]],World_Cup_Matches[[#This Row],[Home Team Name]],IF(World_Cup_Matches[[#This Row],[Away Team Goals]]&gt;World_Cup_Matches[[#This Row],[Home Team Goals]], World_Cup_Matches[[#This Row],[Away Team Name]],"Draw"))</f>
        <v>Draw</v>
      </c>
      <c r="X527" s="4" t="str">
        <f>IF(World_Cup_Matches[[#This Row],[Home Team Goals]]&gt;World_Cup_Matches[[#This Row],[Away Team Goals]],"Hime Win",IF(World_Cup_Matches[[#This Row],[Away Team Goals]]&gt;World_Cup_Matches[[#This Row],[Home Team Goals]],"Away win","Draw"))</f>
        <v>Draw</v>
      </c>
    </row>
    <row r="528" spans="1:24" x14ac:dyDescent="0.2">
      <c r="A528" s="19">
        <v>1998</v>
      </c>
      <c r="B528" s="15" t="s">
        <v>1159</v>
      </c>
      <c r="C528" s="3" t="s">
        <v>1160</v>
      </c>
      <c r="D528" s="3" t="s">
        <v>175</v>
      </c>
      <c r="E528" s="3" t="s">
        <v>176</v>
      </c>
      <c r="F528" s="3" t="s">
        <v>56</v>
      </c>
      <c r="G528" s="11">
        <v>1</v>
      </c>
      <c r="H528" s="11">
        <v>0</v>
      </c>
      <c r="I528" s="3" t="s">
        <v>1161</v>
      </c>
      <c r="J528" s="3" t="s">
        <v>1842</v>
      </c>
      <c r="K528" s="3">
        <v>33500</v>
      </c>
      <c r="L528" s="11">
        <v>1</v>
      </c>
      <c r="M528" s="11">
        <v>0</v>
      </c>
      <c r="N528" s="3" t="s">
        <v>1014</v>
      </c>
      <c r="O528" s="3" t="s">
        <v>1162</v>
      </c>
      <c r="P528" s="3" t="s">
        <v>1163</v>
      </c>
      <c r="Q528" s="11">
        <v>1014</v>
      </c>
      <c r="R528" s="11">
        <v>8734</v>
      </c>
      <c r="S528" s="3" t="s">
        <v>59</v>
      </c>
      <c r="T528" s="4" t="s">
        <v>1164</v>
      </c>
      <c r="U528" s="11">
        <f>World_Cup_Matches[[#This Row],[Home Team Goals]]+World_Cup_Matches[[#This Row],[Away Team Goals]]</f>
        <v>1</v>
      </c>
      <c r="V528" s="11">
        <f>World_Cup_Matches[[#This Row],[Home Team Goals]]-World_Cup_Matches[[#This Row],[Away Team Goals]]</f>
        <v>1</v>
      </c>
      <c r="W528" s="4" t="str">
        <f>IF(World_Cup_Matches[[#This Row],[Home Team Goals]]&gt;World_Cup_Matches[[#This Row],[Away Team Goals]],World_Cup_Matches[[#This Row],[Home Team Name]],IF(World_Cup_Matches[[#This Row],[Away Team Goals]]&gt;World_Cup_Matches[[#This Row],[Home Team Goals]], World_Cup_Matches[[#This Row],[Away Team Name]],"Draw"))</f>
        <v>Argentina</v>
      </c>
      <c r="X528" s="4" t="str">
        <f>IF(World_Cup_Matches[[#This Row],[Home Team Goals]]&gt;World_Cup_Matches[[#This Row],[Away Team Goals]],"Hime Win",IF(World_Cup_Matches[[#This Row],[Away Team Goals]]&gt;World_Cup_Matches[[#This Row],[Home Team Goals]],"Away win","Draw"))</f>
        <v>Hime Win</v>
      </c>
    </row>
    <row r="529" spans="1:24" x14ac:dyDescent="0.2">
      <c r="A529" s="19">
        <v>1998</v>
      </c>
      <c r="B529" s="15" t="s">
        <v>1165</v>
      </c>
      <c r="C529" s="3" t="s">
        <v>824</v>
      </c>
      <c r="D529" s="3" t="s">
        <v>1166</v>
      </c>
      <c r="E529" s="3" t="s">
        <v>1167</v>
      </c>
      <c r="F529" s="3" t="s">
        <v>41</v>
      </c>
      <c r="G529" s="11">
        <v>1</v>
      </c>
      <c r="H529" s="11">
        <v>0</v>
      </c>
      <c r="I529" s="3" t="s">
        <v>669</v>
      </c>
      <c r="J529" s="3" t="s">
        <v>1842</v>
      </c>
      <c r="K529" s="3">
        <v>30600</v>
      </c>
      <c r="L529" s="11">
        <v>0</v>
      </c>
      <c r="M529" s="11">
        <v>0</v>
      </c>
      <c r="N529" s="3" t="s">
        <v>1035</v>
      </c>
      <c r="O529" s="3" t="s">
        <v>1168</v>
      </c>
      <c r="P529" s="3" t="s">
        <v>1169</v>
      </c>
      <c r="Q529" s="11">
        <v>1014</v>
      </c>
      <c r="R529" s="11">
        <v>8735</v>
      </c>
      <c r="S529" s="3" t="s">
        <v>46</v>
      </c>
      <c r="T529" s="4" t="s">
        <v>650</v>
      </c>
      <c r="U529" s="11">
        <f>World_Cup_Matches[[#This Row],[Home Team Goals]]+World_Cup_Matches[[#This Row],[Away Team Goals]]</f>
        <v>1</v>
      </c>
      <c r="V529" s="11">
        <f>World_Cup_Matches[[#This Row],[Home Team Goals]]-World_Cup_Matches[[#This Row],[Away Team Goals]]</f>
        <v>1</v>
      </c>
      <c r="W529" s="4" t="str">
        <f>IF(World_Cup_Matches[[#This Row],[Home Team Goals]]&gt;World_Cup_Matches[[#This Row],[Away Team Goals]],World_Cup_Matches[[#This Row],[Home Team Name]],IF(World_Cup_Matches[[#This Row],[Away Team Goals]]&gt;World_Cup_Matches[[#This Row],[Home Team Goals]], World_Cup_Matches[[#This Row],[Away Team Name]],"Draw"))</f>
        <v>Yugoslavia</v>
      </c>
      <c r="X529" s="4" t="str">
        <f>IF(World_Cup_Matches[[#This Row],[Home Team Goals]]&gt;World_Cup_Matches[[#This Row],[Away Team Goals]],"Hime Win",IF(World_Cup_Matches[[#This Row],[Away Team Goals]]&gt;World_Cup_Matches[[#This Row],[Home Team Goals]],"Away win","Draw"))</f>
        <v>Hime Win</v>
      </c>
    </row>
    <row r="530" spans="1:24" x14ac:dyDescent="0.2">
      <c r="A530" s="19">
        <v>1998</v>
      </c>
      <c r="B530" s="15" t="s">
        <v>1170</v>
      </c>
      <c r="C530" s="3" t="s">
        <v>1160</v>
      </c>
      <c r="D530" s="3" t="s">
        <v>1132</v>
      </c>
      <c r="E530" s="3" t="s">
        <v>1133</v>
      </c>
      <c r="F530" s="3" t="s">
        <v>1171</v>
      </c>
      <c r="G530" s="11">
        <v>1</v>
      </c>
      <c r="H530" s="11">
        <v>3</v>
      </c>
      <c r="I530" s="3" t="s">
        <v>1172</v>
      </c>
      <c r="J530" s="3" t="s">
        <v>1842</v>
      </c>
      <c r="K530" s="3">
        <v>38100</v>
      </c>
      <c r="L530" s="11">
        <v>1</v>
      </c>
      <c r="M530" s="11">
        <v>1</v>
      </c>
      <c r="N530" s="3" t="s">
        <v>1173</v>
      </c>
      <c r="O530" s="3" t="s">
        <v>1174</v>
      </c>
      <c r="P530" s="3" t="s">
        <v>1175</v>
      </c>
      <c r="Q530" s="11">
        <v>1014</v>
      </c>
      <c r="R530" s="11">
        <v>8736</v>
      </c>
      <c r="S530" s="3" t="s">
        <v>1176</v>
      </c>
      <c r="T530" s="4" t="s">
        <v>1177</v>
      </c>
      <c r="U530" s="11">
        <f>World_Cup_Matches[[#This Row],[Home Team Goals]]+World_Cup_Matches[[#This Row],[Away Team Goals]]</f>
        <v>4</v>
      </c>
      <c r="V530" s="11">
        <f>World_Cup_Matches[[#This Row],[Home Team Goals]]-World_Cup_Matches[[#This Row],[Away Team Goals]]</f>
        <v>-2</v>
      </c>
      <c r="W530" s="4" t="str">
        <f>IF(World_Cup_Matches[[#This Row],[Home Team Goals]]&gt;World_Cup_Matches[[#This Row],[Away Team Goals]],World_Cup_Matches[[#This Row],[Home Team Name]],IF(World_Cup_Matches[[#This Row],[Away Team Goals]]&gt;World_Cup_Matches[[#This Row],[Home Team Goals]], World_Cup_Matches[[#This Row],[Away Team Name]],"Draw"))</f>
        <v>Croatia</v>
      </c>
      <c r="X530" s="4" t="str">
        <f>IF(World_Cup_Matches[[#This Row],[Home Team Goals]]&gt;World_Cup_Matches[[#This Row],[Away Team Goals]],"Hime Win",IF(World_Cup_Matches[[#This Row],[Away Team Goals]]&gt;World_Cup_Matches[[#This Row],[Home Team Goals]],"Away win","Draw"))</f>
        <v>Away win</v>
      </c>
    </row>
    <row r="531" spans="1:24" x14ac:dyDescent="0.2">
      <c r="A531" s="19">
        <v>1998</v>
      </c>
      <c r="B531" s="15" t="s">
        <v>1178</v>
      </c>
      <c r="C531" s="3" t="s">
        <v>1179</v>
      </c>
      <c r="D531" s="3" t="s">
        <v>181</v>
      </c>
      <c r="E531" s="3" t="s">
        <v>182</v>
      </c>
      <c r="F531" s="3" t="s">
        <v>223</v>
      </c>
      <c r="G531" s="11">
        <v>2</v>
      </c>
      <c r="H531" s="11">
        <v>0</v>
      </c>
      <c r="I531" s="3" t="s">
        <v>628</v>
      </c>
      <c r="J531" s="3" t="s">
        <v>1842</v>
      </c>
      <c r="K531" s="3">
        <v>55000</v>
      </c>
      <c r="L531" s="11">
        <v>1</v>
      </c>
      <c r="M531" s="11">
        <v>0</v>
      </c>
      <c r="N531" s="3" t="s">
        <v>1180</v>
      </c>
      <c r="O531" s="3" t="s">
        <v>1181</v>
      </c>
      <c r="P531" s="3" t="s">
        <v>1121</v>
      </c>
      <c r="Q531" s="11">
        <v>1014</v>
      </c>
      <c r="R531" s="11">
        <v>8740</v>
      </c>
      <c r="S531" s="3" t="s">
        <v>227</v>
      </c>
      <c r="T531" s="4" t="s">
        <v>632</v>
      </c>
      <c r="U531" s="11">
        <f>World_Cup_Matches[[#This Row],[Home Team Goals]]+World_Cup_Matches[[#This Row],[Away Team Goals]]</f>
        <v>2</v>
      </c>
      <c r="V531" s="11">
        <f>World_Cup_Matches[[#This Row],[Home Team Goals]]-World_Cup_Matches[[#This Row],[Away Team Goals]]</f>
        <v>2</v>
      </c>
      <c r="W531" s="4" t="str">
        <f>IF(World_Cup_Matches[[#This Row],[Home Team Goals]]&gt;World_Cup_Matches[[#This Row],[Away Team Goals]],World_Cup_Matches[[#This Row],[Home Team Name]],IF(World_Cup_Matches[[#This Row],[Away Team Goals]]&gt;World_Cup_Matches[[#This Row],[Home Team Goals]], World_Cup_Matches[[#This Row],[Away Team Name]],"Draw"))</f>
        <v>England</v>
      </c>
      <c r="X531" s="4" t="str">
        <f>IF(World_Cup_Matches[[#This Row],[Home Team Goals]]&gt;World_Cup_Matches[[#This Row],[Away Team Goals]],"Hime Win",IF(World_Cup_Matches[[#This Row],[Away Team Goals]]&gt;World_Cup_Matches[[#This Row],[Home Team Goals]],"Away win","Draw"))</f>
        <v>Hime Win</v>
      </c>
    </row>
    <row r="532" spans="1:24" x14ac:dyDescent="0.2">
      <c r="A532" s="19">
        <v>1998</v>
      </c>
      <c r="B532" s="15" t="s">
        <v>1182</v>
      </c>
      <c r="C532" s="3" t="s">
        <v>1179</v>
      </c>
      <c r="D532" s="3" t="s">
        <v>1150</v>
      </c>
      <c r="E532" s="3" t="s">
        <v>1151</v>
      </c>
      <c r="F532" s="3" t="s">
        <v>50</v>
      </c>
      <c r="G532" s="11">
        <v>1</v>
      </c>
      <c r="H532" s="11">
        <v>0</v>
      </c>
      <c r="I532" s="3" t="s">
        <v>390</v>
      </c>
      <c r="J532" s="3" t="s">
        <v>1842</v>
      </c>
      <c r="K532" s="3">
        <v>39100</v>
      </c>
      <c r="L532" s="11">
        <v>1</v>
      </c>
      <c r="M532" s="11">
        <v>0</v>
      </c>
      <c r="N532" s="3" t="s">
        <v>1044</v>
      </c>
      <c r="O532" s="3" t="s">
        <v>1183</v>
      </c>
      <c r="P532" s="3" t="s">
        <v>1117</v>
      </c>
      <c r="Q532" s="11">
        <v>1014</v>
      </c>
      <c r="R532" s="11">
        <v>8739</v>
      </c>
      <c r="S532" s="3" t="s">
        <v>53</v>
      </c>
      <c r="T532" s="4" t="s">
        <v>394</v>
      </c>
      <c r="U532" s="11">
        <f>World_Cup_Matches[[#This Row],[Home Team Goals]]+World_Cup_Matches[[#This Row],[Away Team Goals]]</f>
        <v>1</v>
      </c>
      <c r="V532" s="11">
        <f>World_Cup_Matches[[#This Row],[Home Team Goals]]-World_Cup_Matches[[#This Row],[Away Team Goals]]</f>
        <v>1</v>
      </c>
      <c r="W532" s="4" t="str">
        <f>IF(World_Cup_Matches[[#This Row],[Home Team Goals]]&gt;World_Cup_Matches[[#This Row],[Away Team Goals]],World_Cup_Matches[[#This Row],[Home Team Name]],IF(World_Cup_Matches[[#This Row],[Away Team Goals]]&gt;World_Cup_Matches[[#This Row],[Home Team Goals]], World_Cup_Matches[[#This Row],[Away Team Name]],"Draw"))</f>
        <v>Romania</v>
      </c>
      <c r="X532" s="4" t="str">
        <f>IF(World_Cup_Matches[[#This Row],[Home Team Goals]]&gt;World_Cup_Matches[[#This Row],[Away Team Goals]],"Hime Win",IF(World_Cup_Matches[[#This Row],[Away Team Goals]]&gt;World_Cup_Matches[[#This Row],[Home Team Goals]],"Away win","Draw"))</f>
        <v>Hime Win</v>
      </c>
    </row>
    <row r="533" spans="1:24" x14ac:dyDescent="0.2">
      <c r="A533" s="19">
        <v>1998</v>
      </c>
      <c r="B533" s="15" t="s">
        <v>1184</v>
      </c>
      <c r="C533" s="3" t="s">
        <v>824</v>
      </c>
      <c r="D533" s="3" t="s">
        <v>160</v>
      </c>
      <c r="E533" s="3" t="s">
        <v>161</v>
      </c>
      <c r="F533" s="3" t="s">
        <v>124</v>
      </c>
      <c r="G533" s="11">
        <v>2</v>
      </c>
      <c r="H533" s="11">
        <v>0</v>
      </c>
      <c r="I533" s="3" t="s">
        <v>33</v>
      </c>
      <c r="J533" s="3" t="s">
        <v>1842</v>
      </c>
      <c r="K533" s="3">
        <v>45500</v>
      </c>
      <c r="L533" s="11">
        <v>1</v>
      </c>
      <c r="M533" s="11">
        <v>0</v>
      </c>
      <c r="N533" s="3" t="s">
        <v>1185</v>
      </c>
      <c r="O533" s="3" t="s">
        <v>1122</v>
      </c>
      <c r="P533" s="3" t="s">
        <v>1186</v>
      </c>
      <c r="Q533" s="11">
        <v>1014</v>
      </c>
      <c r="R533" s="11">
        <v>8738</v>
      </c>
      <c r="S533" s="3" t="s">
        <v>128</v>
      </c>
      <c r="T533" s="4" t="s">
        <v>33</v>
      </c>
      <c r="U533" s="11">
        <f>World_Cup_Matches[[#This Row],[Home Team Goals]]+World_Cup_Matches[[#This Row],[Away Team Goals]]</f>
        <v>2</v>
      </c>
      <c r="V533" s="11">
        <f>World_Cup_Matches[[#This Row],[Home Team Goals]]-World_Cup_Matches[[#This Row],[Away Team Goals]]</f>
        <v>2</v>
      </c>
      <c r="W533" s="4" t="str">
        <f>IF(World_Cup_Matches[[#This Row],[Home Team Goals]]&gt;World_Cup_Matches[[#This Row],[Away Team Goals]],World_Cup_Matches[[#This Row],[Home Team Name]],IF(World_Cup_Matches[[#This Row],[Away Team Goals]]&gt;World_Cup_Matches[[#This Row],[Home Team Goals]], World_Cup_Matches[[#This Row],[Away Team Name]],"Draw"))</f>
        <v>Germany</v>
      </c>
      <c r="X533" s="4" t="str">
        <f>IF(World_Cup_Matches[[#This Row],[Home Team Goals]]&gt;World_Cup_Matches[[#This Row],[Away Team Goals]],"Hime Win",IF(World_Cup_Matches[[#This Row],[Away Team Goals]]&gt;World_Cup_Matches[[#This Row],[Home Team Goals]],"Away win","Draw"))</f>
        <v>Hime Win</v>
      </c>
    </row>
    <row r="534" spans="1:24" x14ac:dyDescent="0.2">
      <c r="A534" s="19">
        <v>1998</v>
      </c>
      <c r="B534" s="15" t="s">
        <v>1187</v>
      </c>
      <c r="C534" s="3" t="s">
        <v>609</v>
      </c>
      <c r="D534" s="3" t="s">
        <v>205</v>
      </c>
      <c r="E534" s="3" t="s">
        <v>206</v>
      </c>
      <c r="F534" s="3" t="s">
        <v>272</v>
      </c>
      <c r="G534" s="11">
        <v>1</v>
      </c>
      <c r="H534" s="11">
        <v>1</v>
      </c>
      <c r="I534" s="3" t="s">
        <v>183</v>
      </c>
      <c r="J534" s="3" t="s">
        <v>1842</v>
      </c>
      <c r="K534" s="3">
        <v>31800</v>
      </c>
      <c r="L534" s="11">
        <v>0</v>
      </c>
      <c r="M534" s="11">
        <v>0</v>
      </c>
      <c r="N534" s="3" t="s">
        <v>1188</v>
      </c>
      <c r="O534" s="3" t="s">
        <v>1189</v>
      </c>
      <c r="P534" s="3" t="s">
        <v>1190</v>
      </c>
      <c r="Q534" s="11">
        <v>1014</v>
      </c>
      <c r="R534" s="11">
        <v>8741</v>
      </c>
      <c r="S534" s="3" t="s">
        <v>275</v>
      </c>
      <c r="T534" s="4" t="s">
        <v>186</v>
      </c>
      <c r="U534" s="11">
        <f>World_Cup_Matches[[#This Row],[Home Team Goals]]+World_Cup_Matches[[#This Row],[Away Team Goals]]</f>
        <v>2</v>
      </c>
      <c r="V534" s="11">
        <f>World_Cup_Matches[[#This Row],[Home Team Goals]]-World_Cup_Matches[[#This Row],[Away Team Goals]]</f>
        <v>0</v>
      </c>
      <c r="W534" s="4" t="str">
        <f>IF(World_Cup_Matches[[#This Row],[Home Team Goals]]&gt;World_Cup_Matches[[#This Row],[Away Team Goals]],World_Cup_Matches[[#This Row],[Home Team Name]],IF(World_Cup_Matches[[#This Row],[Away Team Goals]]&gt;World_Cup_Matches[[#This Row],[Home Team Goals]], World_Cup_Matches[[#This Row],[Away Team Name]],"Draw"))</f>
        <v>Draw</v>
      </c>
      <c r="X534" s="4" t="str">
        <f>IF(World_Cup_Matches[[#This Row],[Home Team Goals]]&gt;World_Cup_Matches[[#This Row],[Away Team Goals]],"Hime Win",IF(World_Cup_Matches[[#This Row],[Away Team Goals]]&gt;World_Cup_Matches[[#This Row],[Home Team Goals]],"Away win","Draw"))</f>
        <v>Draw</v>
      </c>
    </row>
    <row r="535" spans="1:24" x14ac:dyDescent="0.2">
      <c r="A535" s="19">
        <v>1998</v>
      </c>
      <c r="B535" s="15" t="s">
        <v>1191</v>
      </c>
      <c r="C535" s="3" t="s">
        <v>609</v>
      </c>
      <c r="D535" s="3" t="s">
        <v>1144</v>
      </c>
      <c r="E535" s="3" t="s">
        <v>1145</v>
      </c>
      <c r="F535" s="3" t="s">
        <v>42</v>
      </c>
      <c r="G535" s="11">
        <v>3</v>
      </c>
      <c r="H535" s="11">
        <v>0</v>
      </c>
      <c r="I535" s="3" t="s">
        <v>513</v>
      </c>
      <c r="J535" s="3" t="s">
        <v>1842</v>
      </c>
      <c r="K535" s="3">
        <v>35500</v>
      </c>
      <c r="L535" s="11">
        <v>2</v>
      </c>
      <c r="M535" s="11">
        <v>0</v>
      </c>
      <c r="N535" s="3" t="s">
        <v>1192</v>
      </c>
      <c r="O535" s="3" t="s">
        <v>1148</v>
      </c>
      <c r="P535" s="3" t="s">
        <v>1193</v>
      </c>
      <c r="Q535" s="11">
        <v>1014</v>
      </c>
      <c r="R535" s="11">
        <v>8742</v>
      </c>
      <c r="S535" s="3" t="s">
        <v>47</v>
      </c>
      <c r="T535" s="4" t="s">
        <v>517</v>
      </c>
      <c r="U535" s="11">
        <f>World_Cup_Matches[[#This Row],[Home Team Goals]]+World_Cup_Matches[[#This Row],[Away Team Goals]]</f>
        <v>3</v>
      </c>
      <c r="V535" s="11">
        <f>World_Cup_Matches[[#This Row],[Home Team Goals]]-World_Cup_Matches[[#This Row],[Away Team Goals]]</f>
        <v>3</v>
      </c>
      <c r="W535" s="4" t="str">
        <f>IF(World_Cup_Matches[[#This Row],[Home Team Goals]]&gt;World_Cup_Matches[[#This Row],[Away Team Goals]],World_Cup_Matches[[#This Row],[Home Team Name]],IF(World_Cup_Matches[[#This Row],[Away Team Goals]]&gt;World_Cup_Matches[[#This Row],[Home Team Goals]], World_Cup_Matches[[#This Row],[Away Team Name]],"Draw"))</f>
        <v>Brazil</v>
      </c>
      <c r="X535" s="4" t="str">
        <f>IF(World_Cup_Matches[[#This Row],[Home Team Goals]]&gt;World_Cup_Matches[[#This Row],[Away Team Goals]],"Hime Win",IF(World_Cup_Matches[[#This Row],[Away Team Goals]]&gt;World_Cup_Matches[[#This Row],[Home Team Goals]],"Away win","Draw"))</f>
        <v>Hime Win</v>
      </c>
    </row>
    <row r="536" spans="1:24" x14ac:dyDescent="0.2">
      <c r="A536" s="19">
        <v>1998</v>
      </c>
      <c r="B536" s="15" t="s">
        <v>1194</v>
      </c>
      <c r="C536" s="3" t="s">
        <v>607</v>
      </c>
      <c r="D536" s="3" t="s">
        <v>1166</v>
      </c>
      <c r="E536" s="3" t="s">
        <v>1167</v>
      </c>
      <c r="F536" s="3" t="s">
        <v>61</v>
      </c>
      <c r="G536" s="11">
        <v>1</v>
      </c>
      <c r="H536" s="11">
        <v>1</v>
      </c>
      <c r="I536" s="3" t="s">
        <v>91</v>
      </c>
      <c r="J536" s="3" t="s">
        <v>1842</v>
      </c>
      <c r="K536" s="3">
        <v>30600</v>
      </c>
      <c r="L536" s="11">
        <v>0</v>
      </c>
      <c r="M536" s="11">
        <v>0</v>
      </c>
      <c r="N536" s="3" t="s">
        <v>1195</v>
      </c>
      <c r="O536" s="3" t="s">
        <v>1130</v>
      </c>
      <c r="P536" s="3" t="s">
        <v>1111</v>
      </c>
      <c r="Q536" s="11">
        <v>1014</v>
      </c>
      <c r="R536" s="11">
        <v>8743</v>
      </c>
      <c r="S536" s="3" t="s">
        <v>63</v>
      </c>
      <c r="T536" s="4" t="s">
        <v>96</v>
      </c>
      <c r="U536" s="11">
        <f>World_Cup_Matches[[#This Row],[Home Team Goals]]+World_Cup_Matches[[#This Row],[Away Team Goals]]</f>
        <v>2</v>
      </c>
      <c r="V536" s="11">
        <f>World_Cup_Matches[[#This Row],[Home Team Goals]]-World_Cup_Matches[[#This Row],[Away Team Goals]]</f>
        <v>0</v>
      </c>
      <c r="W536" s="4" t="str">
        <f>IF(World_Cup_Matches[[#This Row],[Home Team Goals]]&gt;World_Cup_Matches[[#This Row],[Away Team Goals]],World_Cup_Matches[[#This Row],[Home Team Name]],IF(World_Cup_Matches[[#This Row],[Away Team Goals]]&gt;World_Cup_Matches[[#This Row],[Home Team Goals]], World_Cup_Matches[[#This Row],[Away Team Name]],"Draw"))</f>
        <v>Draw</v>
      </c>
      <c r="X536" s="4" t="str">
        <f>IF(World_Cup_Matches[[#This Row],[Home Team Goals]]&gt;World_Cup_Matches[[#This Row],[Away Team Goals]],"Hime Win",IF(World_Cup_Matches[[#This Row],[Away Team Goals]]&gt;World_Cup_Matches[[#This Row],[Home Team Goals]],"Away win","Draw"))</f>
        <v>Draw</v>
      </c>
    </row>
    <row r="537" spans="1:24" x14ac:dyDescent="0.2">
      <c r="A537" s="19">
        <v>1998</v>
      </c>
      <c r="B537" s="15" t="s">
        <v>1196</v>
      </c>
      <c r="C537" s="3" t="s">
        <v>607</v>
      </c>
      <c r="D537" s="3" t="s">
        <v>1114</v>
      </c>
      <c r="E537" s="3" t="s">
        <v>1115</v>
      </c>
      <c r="F537" s="3" t="s">
        <v>138</v>
      </c>
      <c r="G537" s="11">
        <v>3</v>
      </c>
      <c r="H537" s="11">
        <v>0</v>
      </c>
      <c r="I537" s="3" t="s">
        <v>700</v>
      </c>
      <c r="J537" s="3" t="s">
        <v>1842</v>
      </c>
      <c r="K537" s="3">
        <v>29800</v>
      </c>
      <c r="L537" s="11">
        <v>1</v>
      </c>
      <c r="M537" s="11">
        <v>0</v>
      </c>
      <c r="N537" s="3" t="s">
        <v>1197</v>
      </c>
      <c r="O537" s="3" t="s">
        <v>1153</v>
      </c>
      <c r="P537" s="3" t="s">
        <v>1135</v>
      </c>
      <c r="Q537" s="11">
        <v>1014</v>
      </c>
      <c r="R537" s="11">
        <v>8744</v>
      </c>
      <c r="S537" s="3" t="s">
        <v>142</v>
      </c>
      <c r="T537" s="4" t="s">
        <v>702</v>
      </c>
      <c r="U537" s="11">
        <f>World_Cup_Matches[[#This Row],[Home Team Goals]]+World_Cup_Matches[[#This Row],[Away Team Goals]]</f>
        <v>3</v>
      </c>
      <c r="V537" s="11">
        <f>World_Cup_Matches[[#This Row],[Home Team Goals]]-World_Cup_Matches[[#This Row],[Away Team Goals]]</f>
        <v>3</v>
      </c>
      <c r="W537" s="4" t="str">
        <f>IF(World_Cup_Matches[[#This Row],[Home Team Goals]]&gt;World_Cup_Matches[[#This Row],[Away Team Goals]],World_Cup_Matches[[#This Row],[Home Team Name]],IF(World_Cup_Matches[[#This Row],[Away Team Goals]]&gt;World_Cup_Matches[[#This Row],[Home Team Goals]], World_Cup_Matches[[#This Row],[Away Team Name]],"Draw"))</f>
        <v>Italy</v>
      </c>
      <c r="X537" s="4" t="str">
        <f>IF(World_Cup_Matches[[#This Row],[Home Team Goals]]&gt;World_Cup_Matches[[#This Row],[Away Team Goals]],"Hime Win",IF(World_Cup_Matches[[#This Row],[Away Team Goals]]&gt;World_Cup_Matches[[#This Row],[Home Team Goals]],"Away win","Draw"))</f>
        <v>Hime Win</v>
      </c>
    </row>
    <row r="538" spans="1:24" x14ac:dyDescent="0.2">
      <c r="A538" s="19">
        <v>1998</v>
      </c>
      <c r="B538" s="15" t="s">
        <v>1198</v>
      </c>
      <c r="C538" s="3" t="s">
        <v>805</v>
      </c>
      <c r="D538" s="3" t="s">
        <v>175</v>
      </c>
      <c r="E538" s="3" t="s">
        <v>176</v>
      </c>
      <c r="F538" s="3" t="s">
        <v>1138</v>
      </c>
      <c r="G538" s="11">
        <v>1</v>
      </c>
      <c r="H538" s="11">
        <v>1</v>
      </c>
      <c r="I538" s="3" t="s">
        <v>849</v>
      </c>
      <c r="J538" s="3" t="s">
        <v>1842</v>
      </c>
      <c r="K538" s="3">
        <v>33500</v>
      </c>
      <c r="L538" s="11">
        <v>0</v>
      </c>
      <c r="M538" s="11">
        <v>1</v>
      </c>
      <c r="N538" s="3" t="s">
        <v>1199</v>
      </c>
      <c r="O538" s="3" t="s">
        <v>1112</v>
      </c>
      <c r="P538" s="3" t="s">
        <v>1125</v>
      </c>
      <c r="Q538" s="11">
        <v>1014</v>
      </c>
      <c r="R538" s="11">
        <v>8746</v>
      </c>
      <c r="S538" s="3" t="s">
        <v>1142</v>
      </c>
      <c r="T538" s="4" t="s">
        <v>853</v>
      </c>
      <c r="U538" s="11">
        <f>World_Cup_Matches[[#This Row],[Home Team Goals]]+World_Cup_Matches[[#This Row],[Away Team Goals]]</f>
        <v>2</v>
      </c>
      <c r="V538" s="11">
        <f>World_Cup_Matches[[#This Row],[Home Team Goals]]-World_Cup_Matches[[#This Row],[Away Team Goals]]</f>
        <v>0</v>
      </c>
      <c r="W538" s="4" t="str">
        <f>IF(World_Cup_Matches[[#This Row],[Home Team Goals]]&gt;World_Cup_Matches[[#This Row],[Away Team Goals]],World_Cup_Matches[[#This Row],[Home Team Name]],IF(World_Cup_Matches[[#This Row],[Away Team Goals]]&gt;World_Cup_Matches[[#This Row],[Home Team Goals]], World_Cup_Matches[[#This Row],[Away Team Name]],"Draw"))</f>
        <v>Draw</v>
      </c>
      <c r="X538" s="4" t="str">
        <f>IF(World_Cup_Matches[[#This Row],[Home Team Goals]]&gt;World_Cup_Matches[[#This Row],[Away Team Goals]],"Hime Win",IF(World_Cup_Matches[[#This Row],[Away Team Goals]]&gt;World_Cup_Matches[[#This Row],[Home Team Goals]],"Away win","Draw"))</f>
        <v>Draw</v>
      </c>
    </row>
    <row r="539" spans="1:24" x14ac:dyDescent="0.2">
      <c r="A539" s="19">
        <v>1998</v>
      </c>
      <c r="B539" s="15" t="s">
        <v>1200</v>
      </c>
      <c r="C539" s="3" t="s">
        <v>805</v>
      </c>
      <c r="D539" s="3" t="s">
        <v>1108</v>
      </c>
      <c r="E539" s="3" t="s">
        <v>1109</v>
      </c>
      <c r="F539" s="3" t="s">
        <v>24</v>
      </c>
      <c r="G539" s="11">
        <v>4</v>
      </c>
      <c r="H539" s="11">
        <v>0</v>
      </c>
      <c r="I539" s="3" t="s">
        <v>1037</v>
      </c>
      <c r="J539" s="3" t="s">
        <v>1842</v>
      </c>
      <c r="K539" s="3">
        <v>80000</v>
      </c>
      <c r="L539" s="11">
        <v>1</v>
      </c>
      <c r="M539" s="11">
        <v>0</v>
      </c>
      <c r="N539" s="3" t="s">
        <v>1002</v>
      </c>
      <c r="O539" s="3" t="s">
        <v>1126</v>
      </c>
      <c r="P539" s="3" t="s">
        <v>1147</v>
      </c>
      <c r="Q539" s="11">
        <v>1014</v>
      </c>
      <c r="R539" s="11">
        <v>8745</v>
      </c>
      <c r="S539" s="3" t="s">
        <v>29</v>
      </c>
      <c r="T539" s="4" t="s">
        <v>1039</v>
      </c>
      <c r="U539" s="11">
        <f>World_Cup_Matches[[#This Row],[Home Team Goals]]+World_Cup_Matches[[#This Row],[Away Team Goals]]</f>
        <v>4</v>
      </c>
      <c r="V539" s="11">
        <f>World_Cup_Matches[[#This Row],[Home Team Goals]]-World_Cup_Matches[[#This Row],[Away Team Goals]]</f>
        <v>4</v>
      </c>
      <c r="W539" s="4" t="str">
        <f>IF(World_Cup_Matches[[#This Row],[Home Team Goals]]&gt;World_Cup_Matches[[#This Row],[Away Team Goals]],World_Cup_Matches[[#This Row],[Home Team Name]],IF(World_Cup_Matches[[#This Row],[Away Team Goals]]&gt;World_Cup_Matches[[#This Row],[Home Team Goals]], World_Cup_Matches[[#This Row],[Away Team Name]],"Draw"))</f>
        <v>France</v>
      </c>
      <c r="X539" s="4" t="str">
        <f>IF(World_Cup_Matches[[#This Row],[Home Team Goals]]&gt;World_Cup_Matches[[#This Row],[Away Team Goals]],"Hime Win",IF(World_Cup_Matches[[#This Row],[Away Team Goals]]&gt;World_Cup_Matches[[#This Row],[Home Team Goals]],"Away win","Draw"))</f>
        <v>Hime Win</v>
      </c>
    </row>
    <row r="540" spans="1:24" x14ac:dyDescent="0.2">
      <c r="A540" s="19">
        <v>1998</v>
      </c>
      <c r="B540" s="15" t="s">
        <v>1201</v>
      </c>
      <c r="C540" s="3" t="s">
        <v>811</v>
      </c>
      <c r="D540" s="3" t="s">
        <v>160</v>
      </c>
      <c r="E540" s="3" t="s">
        <v>161</v>
      </c>
      <c r="F540" s="3" t="s">
        <v>1055</v>
      </c>
      <c r="G540" s="11">
        <v>1</v>
      </c>
      <c r="H540" s="11">
        <v>0</v>
      </c>
      <c r="I540" s="3" t="s">
        <v>401</v>
      </c>
      <c r="J540" s="3" t="s">
        <v>1842</v>
      </c>
      <c r="K540" s="3">
        <v>45500</v>
      </c>
      <c r="L540" s="11">
        <v>1</v>
      </c>
      <c r="M540" s="11">
        <v>0</v>
      </c>
      <c r="N540" s="3" t="s">
        <v>1202</v>
      </c>
      <c r="O540" s="3" t="s">
        <v>1136</v>
      </c>
      <c r="P540" s="3" t="s">
        <v>1140</v>
      </c>
      <c r="Q540" s="11">
        <v>1014</v>
      </c>
      <c r="R540" s="11">
        <v>8747</v>
      </c>
      <c r="S540" s="3" t="s">
        <v>1057</v>
      </c>
      <c r="T540" s="4" t="s">
        <v>404</v>
      </c>
      <c r="U540" s="11">
        <f>World_Cup_Matches[[#This Row],[Home Team Goals]]+World_Cup_Matches[[#This Row],[Away Team Goals]]</f>
        <v>1</v>
      </c>
      <c r="V540" s="11">
        <f>World_Cup_Matches[[#This Row],[Home Team Goals]]-World_Cup_Matches[[#This Row],[Away Team Goals]]</f>
        <v>1</v>
      </c>
      <c r="W540" s="4" t="str">
        <f>IF(World_Cup_Matches[[#This Row],[Home Team Goals]]&gt;World_Cup_Matches[[#This Row],[Away Team Goals]],World_Cup_Matches[[#This Row],[Home Team Name]],IF(World_Cup_Matches[[#This Row],[Away Team Goals]]&gt;World_Cup_Matches[[#This Row],[Home Team Goals]], World_Cup_Matches[[#This Row],[Away Team Name]],"Draw"))</f>
        <v>Nigeria</v>
      </c>
      <c r="X540" s="4" t="str">
        <f>IF(World_Cup_Matches[[#This Row],[Home Team Goals]]&gt;World_Cup_Matches[[#This Row],[Away Team Goals]],"Hime Win",IF(World_Cup_Matches[[#This Row],[Away Team Goals]]&gt;World_Cup_Matches[[#This Row],[Home Team Goals]],"Away win","Draw"))</f>
        <v>Hime Win</v>
      </c>
    </row>
    <row r="541" spans="1:24" x14ac:dyDescent="0.2">
      <c r="A541" s="19">
        <v>1998</v>
      </c>
      <c r="B541" s="15" t="s">
        <v>1203</v>
      </c>
      <c r="C541" s="3" t="s">
        <v>811</v>
      </c>
      <c r="D541" s="3" t="s">
        <v>1166</v>
      </c>
      <c r="E541" s="3" t="s">
        <v>1167</v>
      </c>
      <c r="F541" s="3" t="s">
        <v>131</v>
      </c>
      <c r="G541" s="11">
        <v>0</v>
      </c>
      <c r="H541" s="11">
        <v>0</v>
      </c>
      <c r="I541" s="3" t="s">
        <v>68</v>
      </c>
      <c r="J541" s="3" t="s">
        <v>1842</v>
      </c>
      <c r="K541" s="3">
        <v>30600</v>
      </c>
      <c r="L541" s="11">
        <v>0</v>
      </c>
      <c r="M541" s="11">
        <v>0</v>
      </c>
      <c r="N541" s="3" t="s">
        <v>1204</v>
      </c>
      <c r="O541" s="3" t="s">
        <v>1205</v>
      </c>
      <c r="P541" s="3" t="s">
        <v>1168</v>
      </c>
      <c r="Q541" s="11">
        <v>1014</v>
      </c>
      <c r="R541" s="11">
        <v>8748</v>
      </c>
      <c r="S541" s="3" t="s">
        <v>135</v>
      </c>
      <c r="T541" s="4" t="s">
        <v>69</v>
      </c>
      <c r="U541" s="11">
        <f>World_Cup_Matches[[#This Row],[Home Team Goals]]+World_Cup_Matches[[#This Row],[Away Team Goals]]</f>
        <v>0</v>
      </c>
      <c r="V541" s="11">
        <f>World_Cup_Matches[[#This Row],[Home Team Goals]]-World_Cup_Matches[[#This Row],[Away Team Goals]]</f>
        <v>0</v>
      </c>
      <c r="W541" s="4" t="str">
        <f>IF(World_Cup_Matches[[#This Row],[Home Team Goals]]&gt;World_Cup_Matches[[#This Row],[Away Team Goals]],World_Cup_Matches[[#This Row],[Home Team Name]],IF(World_Cup_Matches[[#This Row],[Away Team Goals]]&gt;World_Cup_Matches[[#This Row],[Home Team Goals]], World_Cup_Matches[[#This Row],[Away Team Name]],"Draw"))</f>
        <v>Draw</v>
      </c>
      <c r="X541" s="4" t="str">
        <f>IF(World_Cup_Matches[[#This Row],[Home Team Goals]]&gt;World_Cup_Matches[[#This Row],[Away Team Goals]],"Hime Win",IF(World_Cup_Matches[[#This Row],[Away Team Goals]]&gt;World_Cup_Matches[[#This Row],[Home Team Goals]],"Away win","Draw"))</f>
        <v>Draw</v>
      </c>
    </row>
    <row r="542" spans="1:24" x14ac:dyDescent="0.2">
      <c r="A542" s="19">
        <v>1998</v>
      </c>
      <c r="B542" s="15" t="s">
        <v>1206</v>
      </c>
      <c r="C542" s="3" t="s">
        <v>1160</v>
      </c>
      <c r="D542" s="3" t="s">
        <v>1144</v>
      </c>
      <c r="E542" s="3" t="s">
        <v>1145</v>
      </c>
      <c r="F542" s="3" t="s">
        <v>1161</v>
      </c>
      <c r="G542" s="11">
        <v>0</v>
      </c>
      <c r="H542" s="11">
        <v>1</v>
      </c>
      <c r="I542" s="3" t="s">
        <v>1172</v>
      </c>
      <c r="J542" s="3" t="s">
        <v>1842</v>
      </c>
      <c r="K542" s="3">
        <v>35500</v>
      </c>
      <c r="L542" s="11">
        <v>0</v>
      </c>
      <c r="M542" s="11">
        <v>0</v>
      </c>
      <c r="N542" s="3" t="s">
        <v>1207</v>
      </c>
      <c r="O542" s="3" t="s">
        <v>1141</v>
      </c>
      <c r="P542" s="3" t="s">
        <v>1129</v>
      </c>
      <c r="Q542" s="11">
        <v>1014</v>
      </c>
      <c r="R542" s="11">
        <v>8751</v>
      </c>
      <c r="S542" s="3" t="s">
        <v>1164</v>
      </c>
      <c r="T542" s="4" t="s">
        <v>1177</v>
      </c>
      <c r="U542" s="11">
        <f>World_Cup_Matches[[#This Row],[Home Team Goals]]+World_Cup_Matches[[#This Row],[Away Team Goals]]</f>
        <v>1</v>
      </c>
      <c r="V542" s="11">
        <f>World_Cup_Matches[[#This Row],[Home Team Goals]]-World_Cup_Matches[[#This Row],[Away Team Goals]]</f>
        <v>-1</v>
      </c>
      <c r="W542" s="4" t="str">
        <f>IF(World_Cup_Matches[[#This Row],[Home Team Goals]]&gt;World_Cup_Matches[[#This Row],[Away Team Goals]],World_Cup_Matches[[#This Row],[Home Team Name]],IF(World_Cup_Matches[[#This Row],[Away Team Goals]]&gt;World_Cup_Matches[[#This Row],[Home Team Goals]], World_Cup_Matches[[#This Row],[Away Team Name]],"Draw"))</f>
        <v>Croatia</v>
      </c>
      <c r="X542" s="4" t="str">
        <f>IF(World_Cup_Matches[[#This Row],[Home Team Goals]]&gt;World_Cup_Matches[[#This Row],[Away Team Goals]],"Hime Win",IF(World_Cup_Matches[[#This Row],[Away Team Goals]]&gt;World_Cup_Matches[[#This Row],[Home Team Goals]],"Away win","Draw"))</f>
        <v>Away win</v>
      </c>
    </row>
    <row r="543" spans="1:24" x14ac:dyDescent="0.2">
      <c r="A543" s="19">
        <v>1998</v>
      </c>
      <c r="B543" s="15" t="s">
        <v>1208</v>
      </c>
      <c r="C543" s="3" t="s">
        <v>846</v>
      </c>
      <c r="D543" s="3" t="s">
        <v>205</v>
      </c>
      <c r="E543" s="3" t="s">
        <v>206</v>
      </c>
      <c r="F543" s="3" t="s">
        <v>34</v>
      </c>
      <c r="G543" s="11">
        <v>2</v>
      </c>
      <c r="H543" s="11">
        <v>2</v>
      </c>
      <c r="I543" s="3" t="s">
        <v>25</v>
      </c>
      <c r="J543" s="3" t="s">
        <v>1842</v>
      </c>
      <c r="K543" s="3">
        <v>31800</v>
      </c>
      <c r="L543" s="11">
        <v>1</v>
      </c>
      <c r="M543" s="11">
        <v>0</v>
      </c>
      <c r="N543" s="3" t="s">
        <v>1209</v>
      </c>
      <c r="O543" s="3" t="s">
        <v>1163</v>
      </c>
      <c r="P543" s="3" t="s">
        <v>1183</v>
      </c>
      <c r="Q543" s="11">
        <v>1014</v>
      </c>
      <c r="R543" s="11">
        <v>8750</v>
      </c>
      <c r="S543" s="3" t="s">
        <v>38</v>
      </c>
      <c r="T543" s="4" t="s">
        <v>30</v>
      </c>
      <c r="U543" s="11">
        <f>World_Cup_Matches[[#This Row],[Home Team Goals]]+World_Cup_Matches[[#This Row],[Away Team Goals]]</f>
        <v>4</v>
      </c>
      <c r="V543" s="11">
        <f>World_Cup_Matches[[#This Row],[Home Team Goals]]-World_Cup_Matches[[#This Row],[Away Team Goals]]</f>
        <v>0</v>
      </c>
      <c r="W543" s="4" t="str">
        <f>IF(World_Cup_Matches[[#This Row],[Home Team Goals]]&gt;World_Cup_Matches[[#This Row],[Away Team Goals]],World_Cup_Matches[[#This Row],[Home Team Name]],IF(World_Cup_Matches[[#This Row],[Away Team Goals]]&gt;World_Cup_Matches[[#This Row],[Home Team Goals]], World_Cup_Matches[[#This Row],[Away Team Name]],"Draw"))</f>
        <v>Draw</v>
      </c>
      <c r="X543" s="4" t="str">
        <f>IF(World_Cup_Matches[[#This Row],[Home Team Goals]]&gt;World_Cup_Matches[[#This Row],[Away Team Goals]],"Hime Win",IF(World_Cup_Matches[[#This Row],[Away Team Goals]]&gt;World_Cup_Matches[[#This Row],[Home Team Goals]],"Away win","Draw"))</f>
        <v>Draw</v>
      </c>
    </row>
    <row r="544" spans="1:24" x14ac:dyDescent="0.2">
      <c r="A544" s="19">
        <v>1998</v>
      </c>
      <c r="B544" s="15" t="s">
        <v>1210</v>
      </c>
      <c r="C544" s="3" t="s">
        <v>846</v>
      </c>
      <c r="D544" s="3" t="s">
        <v>181</v>
      </c>
      <c r="E544" s="3" t="s">
        <v>182</v>
      </c>
      <c r="F544" s="3" t="s">
        <v>109</v>
      </c>
      <c r="G544" s="11">
        <v>5</v>
      </c>
      <c r="H544" s="11">
        <v>0</v>
      </c>
      <c r="I544" s="3" t="s">
        <v>291</v>
      </c>
      <c r="J544" s="3" t="s">
        <v>1842</v>
      </c>
      <c r="K544" s="3">
        <v>55000</v>
      </c>
      <c r="L544" s="11">
        <v>2</v>
      </c>
      <c r="M544" s="11">
        <v>0</v>
      </c>
      <c r="N544" s="3" t="s">
        <v>1211</v>
      </c>
      <c r="O544" s="3" t="s">
        <v>1169</v>
      </c>
      <c r="P544" s="3" t="s">
        <v>1148</v>
      </c>
      <c r="Q544" s="11">
        <v>1014</v>
      </c>
      <c r="R544" s="11">
        <v>8749</v>
      </c>
      <c r="S544" s="3" t="s">
        <v>114</v>
      </c>
      <c r="T544" s="4" t="s">
        <v>295</v>
      </c>
      <c r="U544" s="11">
        <f>World_Cup_Matches[[#This Row],[Home Team Goals]]+World_Cup_Matches[[#This Row],[Away Team Goals]]</f>
        <v>5</v>
      </c>
      <c r="V544" s="11">
        <f>World_Cup_Matches[[#This Row],[Home Team Goals]]-World_Cup_Matches[[#This Row],[Away Team Goals]]</f>
        <v>5</v>
      </c>
      <c r="W544" s="4" t="str">
        <f>IF(World_Cup_Matches[[#This Row],[Home Team Goals]]&gt;World_Cup_Matches[[#This Row],[Away Team Goals]],World_Cup_Matches[[#This Row],[Home Team Name]],IF(World_Cup_Matches[[#This Row],[Away Team Goals]]&gt;World_Cup_Matches[[#This Row],[Home Team Goals]], World_Cup_Matches[[#This Row],[Away Team Name]],"Draw"))</f>
        <v>Netherlands</v>
      </c>
      <c r="X544" s="4" t="str">
        <f>IF(World_Cup_Matches[[#This Row],[Home Team Goals]]&gt;World_Cup_Matches[[#This Row],[Away Team Goals]],"Hime Win",IF(World_Cup_Matches[[#This Row],[Away Team Goals]]&gt;World_Cup_Matches[[#This Row],[Home Team Goals]],"Away win","Draw"))</f>
        <v>Hime Win</v>
      </c>
    </row>
    <row r="545" spans="1:24" x14ac:dyDescent="0.2">
      <c r="A545" s="19">
        <v>1998</v>
      </c>
      <c r="B545" s="15" t="s">
        <v>1212</v>
      </c>
      <c r="C545" s="3" t="s">
        <v>824</v>
      </c>
      <c r="D545" s="3" t="s">
        <v>1132</v>
      </c>
      <c r="E545" s="3" t="s">
        <v>1133</v>
      </c>
      <c r="F545" s="3" t="s">
        <v>124</v>
      </c>
      <c r="G545" s="11">
        <v>2</v>
      </c>
      <c r="H545" s="11">
        <v>2</v>
      </c>
      <c r="I545" s="3" t="s">
        <v>41</v>
      </c>
      <c r="J545" s="3" t="s">
        <v>1842</v>
      </c>
      <c r="K545" s="3">
        <v>38100</v>
      </c>
      <c r="L545" s="11">
        <v>0</v>
      </c>
      <c r="M545" s="11">
        <v>1</v>
      </c>
      <c r="N545" s="3" t="s">
        <v>1213</v>
      </c>
      <c r="O545" s="3" t="s">
        <v>1158</v>
      </c>
      <c r="P545" s="3" t="s">
        <v>1162</v>
      </c>
      <c r="Q545" s="11">
        <v>1014</v>
      </c>
      <c r="R545" s="11">
        <v>8753</v>
      </c>
      <c r="S545" s="3" t="s">
        <v>128</v>
      </c>
      <c r="T545" s="4" t="s">
        <v>46</v>
      </c>
      <c r="U545" s="11">
        <f>World_Cup_Matches[[#This Row],[Home Team Goals]]+World_Cup_Matches[[#This Row],[Away Team Goals]]</f>
        <v>4</v>
      </c>
      <c r="V545" s="11">
        <f>World_Cup_Matches[[#This Row],[Home Team Goals]]-World_Cup_Matches[[#This Row],[Away Team Goals]]</f>
        <v>0</v>
      </c>
      <c r="W545" s="4" t="str">
        <f>IF(World_Cup_Matches[[#This Row],[Home Team Goals]]&gt;World_Cup_Matches[[#This Row],[Away Team Goals]],World_Cup_Matches[[#This Row],[Home Team Name]],IF(World_Cup_Matches[[#This Row],[Away Team Goals]]&gt;World_Cup_Matches[[#This Row],[Home Team Goals]], World_Cup_Matches[[#This Row],[Away Team Name]],"Draw"))</f>
        <v>Draw</v>
      </c>
      <c r="X545" s="4" t="str">
        <f>IF(World_Cup_Matches[[#This Row],[Home Team Goals]]&gt;World_Cup_Matches[[#This Row],[Away Team Goals]],"Hime Win",IF(World_Cup_Matches[[#This Row],[Away Team Goals]]&gt;World_Cup_Matches[[#This Row],[Home Team Goals]],"Away win","Draw"))</f>
        <v>Draw</v>
      </c>
    </row>
    <row r="546" spans="1:24" x14ac:dyDescent="0.2">
      <c r="A546" s="19">
        <v>1998</v>
      </c>
      <c r="B546" s="15" t="s">
        <v>1214</v>
      </c>
      <c r="C546" s="3" t="s">
        <v>1160</v>
      </c>
      <c r="D546" s="3" t="s">
        <v>160</v>
      </c>
      <c r="E546" s="3" t="s">
        <v>161</v>
      </c>
      <c r="F546" s="3" t="s">
        <v>56</v>
      </c>
      <c r="G546" s="11">
        <v>5</v>
      </c>
      <c r="H546" s="11">
        <v>0</v>
      </c>
      <c r="I546" s="3" t="s">
        <v>1171</v>
      </c>
      <c r="J546" s="3" t="s">
        <v>1842</v>
      </c>
      <c r="K546" s="3">
        <v>45500</v>
      </c>
      <c r="L546" s="11">
        <v>1</v>
      </c>
      <c r="M546" s="11">
        <v>0</v>
      </c>
      <c r="N546" s="3" t="s">
        <v>1215</v>
      </c>
      <c r="O546" s="3" t="s">
        <v>1186</v>
      </c>
      <c r="P546" s="3" t="s">
        <v>1157</v>
      </c>
      <c r="Q546" s="11">
        <v>1014</v>
      </c>
      <c r="R546" s="11">
        <v>8752</v>
      </c>
      <c r="S546" s="3" t="s">
        <v>59</v>
      </c>
      <c r="T546" s="4" t="s">
        <v>1176</v>
      </c>
      <c r="U546" s="11">
        <f>World_Cup_Matches[[#This Row],[Home Team Goals]]+World_Cup_Matches[[#This Row],[Away Team Goals]]</f>
        <v>5</v>
      </c>
      <c r="V546" s="11">
        <f>World_Cup_Matches[[#This Row],[Home Team Goals]]-World_Cup_Matches[[#This Row],[Away Team Goals]]</f>
        <v>5</v>
      </c>
      <c r="W546" s="4" t="str">
        <f>IF(World_Cup_Matches[[#This Row],[Home Team Goals]]&gt;World_Cup_Matches[[#This Row],[Away Team Goals]],World_Cup_Matches[[#This Row],[Home Team Name]],IF(World_Cup_Matches[[#This Row],[Away Team Goals]]&gt;World_Cup_Matches[[#This Row],[Home Team Goals]], World_Cup_Matches[[#This Row],[Away Team Name]],"Draw"))</f>
        <v>Argentina</v>
      </c>
      <c r="X546" s="4" t="str">
        <f>IF(World_Cup_Matches[[#This Row],[Home Team Goals]]&gt;World_Cup_Matches[[#This Row],[Away Team Goals]],"Hime Win",IF(World_Cup_Matches[[#This Row],[Away Team Goals]]&gt;World_Cup_Matches[[#This Row],[Home Team Goals]],"Away win","Draw"))</f>
        <v>Hime Win</v>
      </c>
    </row>
    <row r="547" spans="1:24" x14ac:dyDescent="0.2">
      <c r="A547" s="19">
        <v>1998</v>
      </c>
      <c r="B547" s="15" t="s">
        <v>1216</v>
      </c>
      <c r="C547" s="3" t="s">
        <v>824</v>
      </c>
      <c r="D547" s="3" t="s">
        <v>1150</v>
      </c>
      <c r="E547" s="3" t="s">
        <v>1151</v>
      </c>
      <c r="F547" s="3" t="s">
        <v>33</v>
      </c>
      <c r="G547" s="11">
        <v>1</v>
      </c>
      <c r="H547" s="11">
        <v>2</v>
      </c>
      <c r="I547" s="3" t="s">
        <v>669</v>
      </c>
      <c r="J547" s="3" t="s">
        <v>1842</v>
      </c>
      <c r="K547" s="3">
        <v>39100</v>
      </c>
      <c r="L547" s="11">
        <v>0</v>
      </c>
      <c r="M547" s="11">
        <v>1</v>
      </c>
      <c r="N547" s="3" t="s">
        <v>1217</v>
      </c>
      <c r="O547" s="3" t="s">
        <v>1190</v>
      </c>
      <c r="P547" s="3" t="s">
        <v>1174</v>
      </c>
      <c r="Q547" s="11">
        <v>1014</v>
      </c>
      <c r="R547" s="11">
        <v>8754</v>
      </c>
      <c r="S547" s="3" t="s">
        <v>33</v>
      </c>
      <c r="T547" s="4" t="s">
        <v>650</v>
      </c>
      <c r="U547" s="11">
        <f>World_Cup_Matches[[#This Row],[Home Team Goals]]+World_Cup_Matches[[#This Row],[Away Team Goals]]</f>
        <v>3</v>
      </c>
      <c r="V547" s="11">
        <f>World_Cup_Matches[[#This Row],[Home Team Goals]]-World_Cup_Matches[[#This Row],[Away Team Goals]]</f>
        <v>-1</v>
      </c>
      <c r="W547" s="4" t="str">
        <f>IF(World_Cup_Matches[[#This Row],[Home Team Goals]]&gt;World_Cup_Matches[[#This Row],[Away Team Goals]],World_Cup_Matches[[#This Row],[Home Team Name]],IF(World_Cup_Matches[[#This Row],[Away Team Goals]]&gt;World_Cup_Matches[[#This Row],[Home Team Goals]], World_Cup_Matches[[#This Row],[Away Team Name]],"Draw"))</f>
        <v>Iran</v>
      </c>
      <c r="X547" s="4" t="str">
        <f>IF(World_Cup_Matches[[#This Row],[Home Team Goals]]&gt;World_Cup_Matches[[#This Row],[Away Team Goals]],"Hime Win",IF(World_Cup_Matches[[#This Row],[Away Team Goals]]&gt;World_Cup_Matches[[#This Row],[Home Team Goals]],"Away win","Draw"))</f>
        <v>Away win</v>
      </c>
    </row>
    <row r="548" spans="1:24" x14ac:dyDescent="0.2">
      <c r="A548" s="19">
        <v>1998</v>
      </c>
      <c r="B548" s="15" t="s">
        <v>1218</v>
      </c>
      <c r="C548" s="3" t="s">
        <v>1179</v>
      </c>
      <c r="D548" s="3" t="s">
        <v>1114</v>
      </c>
      <c r="E548" s="3" t="s">
        <v>1115</v>
      </c>
      <c r="F548" s="3" t="s">
        <v>390</v>
      </c>
      <c r="G548" s="11">
        <v>1</v>
      </c>
      <c r="H548" s="11">
        <v>0</v>
      </c>
      <c r="I548" s="3" t="s">
        <v>628</v>
      </c>
      <c r="J548" s="3" t="s">
        <v>1842</v>
      </c>
      <c r="K548" s="3">
        <v>29800</v>
      </c>
      <c r="L548" s="11">
        <v>0</v>
      </c>
      <c r="M548" s="11">
        <v>0</v>
      </c>
      <c r="N548" s="3" t="s">
        <v>1219</v>
      </c>
      <c r="O548" s="3" t="s">
        <v>1154</v>
      </c>
      <c r="P548" s="3" t="s">
        <v>1189</v>
      </c>
      <c r="Q548" s="11">
        <v>1014</v>
      </c>
      <c r="R548" s="11">
        <v>8755</v>
      </c>
      <c r="S548" s="3" t="s">
        <v>394</v>
      </c>
      <c r="T548" s="4" t="s">
        <v>632</v>
      </c>
      <c r="U548" s="11">
        <f>World_Cup_Matches[[#This Row],[Home Team Goals]]+World_Cup_Matches[[#This Row],[Away Team Goals]]</f>
        <v>1</v>
      </c>
      <c r="V548" s="11">
        <f>World_Cup_Matches[[#This Row],[Home Team Goals]]-World_Cup_Matches[[#This Row],[Away Team Goals]]</f>
        <v>1</v>
      </c>
      <c r="W548" s="4" t="str">
        <f>IF(World_Cup_Matches[[#This Row],[Home Team Goals]]&gt;World_Cup_Matches[[#This Row],[Away Team Goals]],World_Cup_Matches[[#This Row],[Home Team Name]],IF(World_Cup_Matches[[#This Row],[Away Team Goals]]&gt;World_Cup_Matches[[#This Row],[Home Team Goals]], World_Cup_Matches[[#This Row],[Away Team Name]],"Draw"))</f>
        <v>Colombia</v>
      </c>
      <c r="X548" s="4" t="str">
        <f>IF(World_Cup_Matches[[#This Row],[Home Team Goals]]&gt;World_Cup_Matches[[#This Row],[Away Team Goals]],"Hime Win",IF(World_Cup_Matches[[#This Row],[Away Team Goals]]&gt;World_Cup_Matches[[#This Row],[Home Team Goals]],"Away win","Draw"))</f>
        <v>Hime Win</v>
      </c>
    </row>
    <row r="549" spans="1:24" x14ac:dyDescent="0.2">
      <c r="A549" s="19">
        <v>1998</v>
      </c>
      <c r="B549" s="15" t="s">
        <v>1220</v>
      </c>
      <c r="C549" s="3" t="s">
        <v>1179</v>
      </c>
      <c r="D549" s="3" t="s">
        <v>175</v>
      </c>
      <c r="E549" s="3" t="s">
        <v>176</v>
      </c>
      <c r="F549" s="3" t="s">
        <v>50</v>
      </c>
      <c r="G549" s="11">
        <v>2</v>
      </c>
      <c r="H549" s="11">
        <v>1</v>
      </c>
      <c r="I549" s="3" t="s">
        <v>223</v>
      </c>
      <c r="J549" s="3" t="s">
        <v>1842</v>
      </c>
      <c r="K549" s="3">
        <v>33500</v>
      </c>
      <c r="L549" s="11">
        <v>0</v>
      </c>
      <c r="M549" s="11">
        <v>0</v>
      </c>
      <c r="N549" s="3" t="s">
        <v>1221</v>
      </c>
      <c r="O549" s="3" t="s">
        <v>1175</v>
      </c>
      <c r="P549" s="3" t="s">
        <v>1205</v>
      </c>
      <c r="Q549" s="11">
        <v>1014</v>
      </c>
      <c r="R549" s="11">
        <v>8756</v>
      </c>
      <c r="S549" s="3" t="s">
        <v>53</v>
      </c>
      <c r="T549" s="4" t="s">
        <v>227</v>
      </c>
      <c r="U549" s="11">
        <f>World_Cup_Matches[[#This Row],[Home Team Goals]]+World_Cup_Matches[[#This Row],[Away Team Goals]]</f>
        <v>3</v>
      </c>
      <c r="V549" s="11">
        <f>World_Cup_Matches[[#This Row],[Home Team Goals]]-World_Cup_Matches[[#This Row],[Away Team Goals]]</f>
        <v>1</v>
      </c>
      <c r="W549" s="4" t="str">
        <f>IF(World_Cup_Matches[[#This Row],[Home Team Goals]]&gt;World_Cup_Matches[[#This Row],[Away Team Goals]],World_Cup_Matches[[#This Row],[Home Team Name]],IF(World_Cup_Matches[[#This Row],[Away Team Goals]]&gt;World_Cup_Matches[[#This Row],[Home Team Goals]], World_Cup_Matches[[#This Row],[Away Team Name]],"Draw"))</f>
        <v>Romania</v>
      </c>
      <c r="X549" s="4" t="str">
        <f>IF(World_Cup_Matches[[#This Row],[Home Team Goals]]&gt;World_Cup_Matches[[#This Row],[Away Team Goals]],"Hime Win",IF(World_Cup_Matches[[#This Row],[Away Team Goals]]&gt;World_Cup_Matches[[#This Row],[Home Team Goals]],"Away win","Draw"))</f>
        <v>Hime Win</v>
      </c>
    </row>
    <row r="550" spans="1:24" x14ac:dyDescent="0.2">
      <c r="A550" s="19">
        <v>1998</v>
      </c>
      <c r="B550" s="15" t="s">
        <v>1222</v>
      </c>
      <c r="C550" s="3" t="s">
        <v>607</v>
      </c>
      <c r="D550" s="3" t="s">
        <v>1108</v>
      </c>
      <c r="E550" s="3" t="s">
        <v>1109</v>
      </c>
      <c r="F550" s="3" t="s">
        <v>138</v>
      </c>
      <c r="G550" s="11">
        <v>2</v>
      </c>
      <c r="H550" s="11">
        <v>1</v>
      </c>
      <c r="I550" s="3" t="s">
        <v>91</v>
      </c>
      <c r="J550" s="3" t="s">
        <v>1842</v>
      </c>
      <c r="K550" s="3">
        <v>80000</v>
      </c>
      <c r="L550" s="11">
        <v>0</v>
      </c>
      <c r="M550" s="11">
        <v>0</v>
      </c>
      <c r="N550" s="3" t="s">
        <v>1223</v>
      </c>
      <c r="O550" s="3" t="s">
        <v>1193</v>
      </c>
      <c r="P550" s="3" t="s">
        <v>1181</v>
      </c>
      <c r="Q550" s="11">
        <v>1014</v>
      </c>
      <c r="R550" s="11">
        <v>8757</v>
      </c>
      <c r="S550" s="3" t="s">
        <v>142</v>
      </c>
      <c r="T550" s="4" t="s">
        <v>96</v>
      </c>
      <c r="U550" s="11">
        <f>World_Cup_Matches[[#This Row],[Home Team Goals]]+World_Cup_Matches[[#This Row],[Away Team Goals]]</f>
        <v>3</v>
      </c>
      <c r="V550" s="11">
        <f>World_Cup_Matches[[#This Row],[Home Team Goals]]-World_Cup_Matches[[#This Row],[Away Team Goals]]</f>
        <v>1</v>
      </c>
      <c r="W550" s="4" t="str">
        <f>IF(World_Cup_Matches[[#This Row],[Home Team Goals]]&gt;World_Cup_Matches[[#This Row],[Away Team Goals]],World_Cup_Matches[[#This Row],[Home Team Name]],IF(World_Cup_Matches[[#This Row],[Away Team Goals]]&gt;World_Cup_Matches[[#This Row],[Home Team Goals]], World_Cup_Matches[[#This Row],[Away Team Name]],"Draw"))</f>
        <v>Italy</v>
      </c>
      <c r="X550" s="4" t="str">
        <f>IF(World_Cup_Matches[[#This Row],[Home Team Goals]]&gt;World_Cup_Matches[[#This Row],[Away Team Goals]],"Hime Win",IF(World_Cup_Matches[[#This Row],[Away Team Goals]]&gt;World_Cup_Matches[[#This Row],[Home Team Goals]],"Away win","Draw"))</f>
        <v>Hime Win</v>
      </c>
    </row>
    <row r="551" spans="1:24" x14ac:dyDescent="0.2">
      <c r="A551" s="19">
        <v>1998</v>
      </c>
      <c r="B551" s="15" t="s">
        <v>1222</v>
      </c>
      <c r="C551" s="3" t="s">
        <v>607</v>
      </c>
      <c r="D551" s="3" t="s">
        <v>1144</v>
      </c>
      <c r="E551" s="3" t="s">
        <v>1145</v>
      </c>
      <c r="F551" s="3" t="s">
        <v>61</v>
      </c>
      <c r="G551" s="11">
        <v>1</v>
      </c>
      <c r="H551" s="11">
        <v>1</v>
      </c>
      <c r="I551" s="3" t="s">
        <v>700</v>
      </c>
      <c r="J551" s="3" t="s">
        <v>1842</v>
      </c>
      <c r="K551" s="3">
        <v>35500</v>
      </c>
      <c r="L551" s="11">
        <v>1</v>
      </c>
      <c r="M551" s="11">
        <v>0</v>
      </c>
      <c r="N551" s="3" t="s">
        <v>1188</v>
      </c>
      <c r="O551" s="3" t="s">
        <v>1118</v>
      </c>
      <c r="P551" s="3" t="s">
        <v>1117</v>
      </c>
      <c r="Q551" s="11">
        <v>1014</v>
      </c>
      <c r="R551" s="11">
        <v>8760</v>
      </c>
      <c r="S551" s="3" t="s">
        <v>63</v>
      </c>
      <c r="T551" s="4" t="s">
        <v>702</v>
      </c>
      <c r="U551" s="11">
        <f>World_Cup_Matches[[#This Row],[Home Team Goals]]+World_Cup_Matches[[#This Row],[Away Team Goals]]</f>
        <v>2</v>
      </c>
      <c r="V551" s="11">
        <f>World_Cup_Matches[[#This Row],[Home Team Goals]]-World_Cup_Matches[[#This Row],[Away Team Goals]]</f>
        <v>0</v>
      </c>
      <c r="W551" s="4" t="str">
        <f>IF(World_Cup_Matches[[#This Row],[Home Team Goals]]&gt;World_Cup_Matches[[#This Row],[Away Team Goals]],World_Cup_Matches[[#This Row],[Home Team Name]],IF(World_Cup_Matches[[#This Row],[Away Team Goals]]&gt;World_Cup_Matches[[#This Row],[Home Team Goals]], World_Cup_Matches[[#This Row],[Away Team Name]],"Draw"))</f>
        <v>Draw</v>
      </c>
      <c r="X551" s="4" t="str">
        <f>IF(World_Cup_Matches[[#This Row],[Home Team Goals]]&gt;World_Cup_Matches[[#This Row],[Away Team Goals]],"Hime Win",IF(World_Cup_Matches[[#This Row],[Away Team Goals]]&gt;World_Cup_Matches[[#This Row],[Home Team Goals]],"Away win","Draw"))</f>
        <v>Draw</v>
      </c>
    </row>
    <row r="552" spans="1:24" x14ac:dyDescent="0.2">
      <c r="A552" s="19">
        <v>1998</v>
      </c>
      <c r="B552" s="15" t="s">
        <v>1224</v>
      </c>
      <c r="C552" s="3" t="s">
        <v>609</v>
      </c>
      <c r="D552" s="3" t="s">
        <v>1166</v>
      </c>
      <c r="E552" s="3" t="s">
        <v>1167</v>
      </c>
      <c r="F552" s="3" t="s">
        <v>272</v>
      </c>
      <c r="G552" s="11">
        <v>0</v>
      </c>
      <c r="H552" s="11">
        <v>3</v>
      </c>
      <c r="I552" s="3" t="s">
        <v>513</v>
      </c>
      <c r="J552" s="3" t="s">
        <v>1842</v>
      </c>
      <c r="K552" s="3">
        <v>30600</v>
      </c>
      <c r="L552" s="11">
        <v>0</v>
      </c>
      <c r="M552" s="11">
        <v>1</v>
      </c>
      <c r="N552" s="3" t="s">
        <v>1081</v>
      </c>
      <c r="O552" s="3" t="s">
        <v>1147</v>
      </c>
      <c r="P552" s="3" t="s">
        <v>1153</v>
      </c>
      <c r="Q552" s="11">
        <v>1014</v>
      </c>
      <c r="R552" s="11">
        <v>8758</v>
      </c>
      <c r="S552" s="3" t="s">
        <v>275</v>
      </c>
      <c r="T552" s="4" t="s">
        <v>517</v>
      </c>
      <c r="U552" s="11">
        <f>World_Cup_Matches[[#This Row],[Home Team Goals]]+World_Cup_Matches[[#This Row],[Away Team Goals]]</f>
        <v>3</v>
      </c>
      <c r="V552" s="11">
        <f>World_Cup_Matches[[#This Row],[Home Team Goals]]-World_Cup_Matches[[#This Row],[Away Team Goals]]</f>
        <v>-3</v>
      </c>
      <c r="W552" s="4" t="str">
        <f>IF(World_Cup_Matches[[#This Row],[Home Team Goals]]&gt;World_Cup_Matches[[#This Row],[Away Team Goals]],World_Cup_Matches[[#This Row],[Home Team Name]],IF(World_Cup_Matches[[#This Row],[Away Team Goals]]&gt;World_Cup_Matches[[#This Row],[Home Team Goals]], World_Cup_Matches[[#This Row],[Away Team Name]],"Draw"))</f>
        <v>Morocco</v>
      </c>
      <c r="X552" s="4" t="str">
        <f>IF(World_Cup_Matches[[#This Row],[Home Team Goals]]&gt;World_Cup_Matches[[#This Row],[Away Team Goals]],"Hime Win",IF(World_Cup_Matches[[#This Row],[Away Team Goals]]&gt;World_Cup_Matches[[#This Row],[Home Team Goals]],"Away win","Draw"))</f>
        <v>Away win</v>
      </c>
    </row>
    <row r="553" spans="1:24" x14ac:dyDescent="0.2">
      <c r="A553" s="19">
        <v>1998</v>
      </c>
      <c r="B553" s="15" t="s">
        <v>1224</v>
      </c>
      <c r="C553" s="3" t="s">
        <v>609</v>
      </c>
      <c r="D553" s="3" t="s">
        <v>181</v>
      </c>
      <c r="E553" s="3" t="s">
        <v>182</v>
      </c>
      <c r="F553" s="3" t="s">
        <v>42</v>
      </c>
      <c r="G553" s="11">
        <v>1</v>
      </c>
      <c r="H553" s="11">
        <v>2</v>
      </c>
      <c r="I553" s="3" t="s">
        <v>183</v>
      </c>
      <c r="J553" s="3" t="s">
        <v>1842</v>
      </c>
      <c r="K553" s="3">
        <v>55000</v>
      </c>
      <c r="L553" s="11">
        <v>0</v>
      </c>
      <c r="M553" s="11">
        <v>0</v>
      </c>
      <c r="N553" s="3" t="s">
        <v>1146</v>
      </c>
      <c r="O553" s="3" t="s">
        <v>1157</v>
      </c>
      <c r="P553" s="3" t="s">
        <v>1121</v>
      </c>
      <c r="Q553" s="11">
        <v>1014</v>
      </c>
      <c r="R553" s="11">
        <v>8759</v>
      </c>
      <c r="S553" s="3" t="s">
        <v>47</v>
      </c>
      <c r="T553" s="4" t="s">
        <v>186</v>
      </c>
      <c r="U553" s="11">
        <f>World_Cup_Matches[[#This Row],[Home Team Goals]]+World_Cup_Matches[[#This Row],[Away Team Goals]]</f>
        <v>3</v>
      </c>
      <c r="V553" s="11">
        <f>World_Cup_Matches[[#This Row],[Home Team Goals]]-World_Cup_Matches[[#This Row],[Away Team Goals]]</f>
        <v>-1</v>
      </c>
      <c r="W553" s="4" t="str">
        <f>IF(World_Cup_Matches[[#This Row],[Home Team Goals]]&gt;World_Cup_Matches[[#This Row],[Away Team Goals]],World_Cup_Matches[[#This Row],[Home Team Name]],IF(World_Cup_Matches[[#This Row],[Away Team Goals]]&gt;World_Cup_Matches[[#This Row],[Home Team Goals]], World_Cup_Matches[[#This Row],[Away Team Name]],"Draw"))</f>
        <v>Norway</v>
      </c>
      <c r="X553" s="4" t="str">
        <f>IF(World_Cup_Matches[[#This Row],[Home Team Goals]]&gt;World_Cup_Matches[[#This Row],[Away Team Goals]],"Hime Win",IF(World_Cup_Matches[[#This Row],[Away Team Goals]]&gt;World_Cup_Matches[[#This Row],[Home Team Goals]],"Away win","Draw"))</f>
        <v>Away win</v>
      </c>
    </row>
    <row r="554" spans="1:24" x14ac:dyDescent="0.2">
      <c r="A554" s="19">
        <v>1998</v>
      </c>
      <c r="B554" s="15" t="s">
        <v>1225</v>
      </c>
      <c r="C554" s="3" t="s">
        <v>805</v>
      </c>
      <c r="D554" s="3" t="s">
        <v>1150</v>
      </c>
      <c r="E554" s="3" t="s">
        <v>1151</v>
      </c>
      <c r="F554" s="3" t="s">
        <v>24</v>
      </c>
      <c r="G554" s="11">
        <v>2</v>
      </c>
      <c r="H554" s="11">
        <v>1</v>
      </c>
      <c r="I554" s="3" t="s">
        <v>849</v>
      </c>
      <c r="J554" s="3" t="s">
        <v>1842</v>
      </c>
      <c r="K554" s="3">
        <v>39100</v>
      </c>
      <c r="L554" s="11">
        <v>1</v>
      </c>
      <c r="M554" s="11">
        <v>1</v>
      </c>
      <c r="N554" s="3" t="s">
        <v>1156</v>
      </c>
      <c r="O554" s="3" t="s">
        <v>1162</v>
      </c>
      <c r="P554" s="3" t="s">
        <v>1158</v>
      </c>
      <c r="Q554" s="11">
        <v>1014</v>
      </c>
      <c r="R554" s="11">
        <v>8762</v>
      </c>
      <c r="S554" s="3" t="s">
        <v>29</v>
      </c>
      <c r="T554" s="4" t="s">
        <v>853</v>
      </c>
      <c r="U554" s="11">
        <f>World_Cup_Matches[[#This Row],[Home Team Goals]]+World_Cup_Matches[[#This Row],[Away Team Goals]]</f>
        <v>3</v>
      </c>
      <c r="V554" s="11">
        <f>World_Cup_Matches[[#This Row],[Home Team Goals]]-World_Cup_Matches[[#This Row],[Away Team Goals]]</f>
        <v>1</v>
      </c>
      <c r="W554" s="4" t="str">
        <f>IF(World_Cup_Matches[[#This Row],[Home Team Goals]]&gt;World_Cup_Matches[[#This Row],[Away Team Goals]],World_Cup_Matches[[#This Row],[Home Team Name]],IF(World_Cup_Matches[[#This Row],[Away Team Goals]]&gt;World_Cup_Matches[[#This Row],[Home Team Goals]], World_Cup_Matches[[#This Row],[Away Team Name]],"Draw"))</f>
        <v>France</v>
      </c>
      <c r="X554" s="4" t="str">
        <f>IF(World_Cup_Matches[[#This Row],[Home Team Goals]]&gt;World_Cup_Matches[[#This Row],[Away Team Goals]],"Hime Win",IF(World_Cup_Matches[[#This Row],[Away Team Goals]]&gt;World_Cup_Matches[[#This Row],[Home Team Goals]],"Away win","Draw"))</f>
        <v>Hime Win</v>
      </c>
    </row>
    <row r="555" spans="1:24" x14ac:dyDescent="0.2">
      <c r="A555" s="19">
        <v>1998</v>
      </c>
      <c r="B555" s="15" t="s">
        <v>1225</v>
      </c>
      <c r="C555" s="3" t="s">
        <v>805</v>
      </c>
      <c r="D555" s="3" t="s">
        <v>205</v>
      </c>
      <c r="E555" s="3" t="s">
        <v>206</v>
      </c>
      <c r="F555" s="3" t="s">
        <v>1138</v>
      </c>
      <c r="G555" s="11">
        <v>2</v>
      </c>
      <c r="H555" s="11">
        <v>2</v>
      </c>
      <c r="I555" s="3" t="s">
        <v>1037</v>
      </c>
      <c r="J555" s="3" t="s">
        <v>1842</v>
      </c>
      <c r="K555" s="3">
        <v>31800</v>
      </c>
      <c r="L555" s="11">
        <v>1</v>
      </c>
      <c r="M555" s="11">
        <v>1</v>
      </c>
      <c r="N555" s="3" t="s">
        <v>1202</v>
      </c>
      <c r="O555" s="3" t="s">
        <v>1168</v>
      </c>
      <c r="P555" s="3" t="s">
        <v>1163</v>
      </c>
      <c r="Q555" s="11">
        <v>1014</v>
      </c>
      <c r="R555" s="11">
        <v>8764</v>
      </c>
      <c r="S555" s="3" t="s">
        <v>1142</v>
      </c>
      <c r="T555" s="4" t="s">
        <v>1039</v>
      </c>
      <c r="U555" s="11">
        <f>World_Cup_Matches[[#This Row],[Home Team Goals]]+World_Cup_Matches[[#This Row],[Away Team Goals]]</f>
        <v>4</v>
      </c>
      <c r="V555" s="11">
        <f>World_Cup_Matches[[#This Row],[Home Team Goals]]-World_Cup_Matches[[#This Row],[Away Team Goals]]</f>
        <v>0</v>
      </c>
      <c r="W555" s="4" t="str">
        <f>IF(World_Cup_Matches[[#This Row],[Home Team Goals]]&gt;World_Cup_Matches[[#This Row],[Away Team Goals]],World_Cup_Matches[[#This Row],[Home Team Name]],IF(World_Cup_Matches[[#This Row],[Away Team Goals]]&gt;World_Cup_Matches[[#This Row],[Home Team Goals]], World_Cup_Matches[[#This Row],[Away Team Name]],"Draw"))</f>
        <v>Draw</v>
      </c>
      <c r="X555" s="4" t="str">
        <f>IF(World_Cup_Matches[[#This Row],[Home Team Goals]]&gt;World_Cup_Matches[[#This Row],[Away Team Goals]],"Hime Win",IF(World_Cup_Matches[[#This Row],[Away Team Goals]]&gt;World_Cup_Matches[[#This Row],[Home Team Goals]],"Away win","Draw"))</f>
        <v>Draw</v>
      </c>
    </row>
    <row r="556" spans="1:24" x14ac:dyDescent="0.2">
      <c r="A556" s="19">
        <v>1998</v>
      </c>
      <c r="B556" s="15" t="s">
        <v>1226</v>
      </c>
      <c r="C556" s="3" t="s">
        <v>811</v>
      </c>
      <c r="D556" s="3" t="s">
        <v>1132</v>
      </c>
      <c r="E556" s="3" t="s">
        <v>1133</v>
      </c>
      <c r="F556" s="3" t="s">
        <v>131</v>
      </c>
      <c r="G556" s="11">
        <v>6</v>
      </c>
      <c r="H556" s="11">
        <v>1</v>
      </c>
      <c r="I556" s="3" t="s">
        <v>401</v>
      </c>
      <c r="J556" s="3" t="s">
        <v>1842</v>
      </c>
      <c r="K556" s="3">
        <v>38100</v>
      </c>
      <c r="L556" s="11">
        <v>2</v>
      </c>
      <c r="M556" s="11">
        <v>0</v>
      </c>
      <c r="N556" s="3" t="s">
        <v>1014</v>
      </c>
      <c r="O556" s="3" t="s">
        <v>1174</v>
      </c>
      <c r="P556" s="3" t="s">
        <v>1135</v>
      </c>
      <c r="Q556" s="11">
        <v>1014</v>
      </c>
      <c r="R556" s="11">
        <v>8761</v>
      </c>
      <c r="S556" s="3" t="s">
        <v>135</v>
      </c>
      <c r="T556" s="4" t="s">
        <v>404</v>
      </c>
      <c r="U556" s="11">
        <f>World_Cup_Matches[[#This Row],[Home Team Goals]]+World_Cup_Matches[[#This Row],[Away Team Goals]]</f>
        <v>7</v>
      </c>
      <c r="V556" s="11">
        <f>World_Cup_Matches[[#This Row],[Home Team Goals]]-World_Cup_Matches[[#This Row],[Away Team Goals]]</f>
        <v>5</v>
      </c>
      <c r="W556" s="4" t="str">
        <f>IF(World_Cup_Matches[[#This Row],[Home Team Goals]]&gt;World_Cup_Matches[[#This Row],[Away Team Goals]],World_Cup_Matches[[#This Row],[Home Team Name]],IF(World_Cup_Matches[[#This Row],[Away Team Goals]]&gt;World_Cup_Matches[[#This Row],[Home Team Goals]], World_Cup_Matches[[#This Row],[Away Team Name]],"Draw"))</f>
        <v>Spain</v>
      </c>
      <c r="X556" s="4" t="str">
        <f>IF(World_Cup_Matches[[#This Row],[Home Team Goals]]&gt;World_Cup_Matches[[#This Row],[Away Team Goals]],"Hime Win",IF(World_Cup_Matches[[#This Row],[Away Team Goals]]&gt;World_Cup_Matches[[#This Row],[Home Team Goals]],"Away win","Draw"))</f>
        <v>Hime Win</v>
      </c>
    </row>
    <row r="557" spans="1:24" x14ac:dyDescent="0.2">
      <c r="A557" s="19">
        <v>1998</v>
      </c>
      <c r="B557" s="15" t="s">
        <v>1226</v>
      </c>
      <c r="C557" s="3" t="s">
        <v>811</v>
      </c>
      <c r="D557" s="3" t="s">
        <v>175</v>
      </c>
      <c r="E557" s="3" t="s">
        <v>176</v>
      </c>
      <c r="F557" s="3" t="s">
        <v>1055</v>
      </c>
      <c r="G557" s="11">
        <v>1</v>
      </c>
      <c r="H557" s="11">
        <v>3</v>
      </c>
      <c r="I557" s="3" t="s">
        <v>68</v>
      </c>
      <c r="J557" s="3" t="s">
        <v>1842</v>
      </c>
      <c r="K557" s="3">
        <v>33500</v>
      </c>
      <c r="L557" s="11">
        <v>1</v>
      </c>
      <c r="M557" s="11">
        <v>1</v>
      </c>
      <c r="N557" s="3" t="s">
        <v>1116</v>
      </c>
      <c r="O557" s="3" t="s">
        <v>1183</v>
      </c>
      <c r="P557" s="3" t="s">
        <v>1186</v>
      </c>
      <c r="Q557" s="11">
        <v>1014</v>
      </c>
      <c r="R557" s="11">
        <v>8763</v>
      </c>
      <c r="S557" s="3" t="s">
        <v>1057</v>
      </c>
      <c r="T557" s="4" t="s">
        <v>69</v>
      </c>
      <c r="U557" s="11">
        <f>World_Cup_Matches[[#This Row],[Home Team Goals]]+World_Cup_Matches[[#This Row],[Away Team Goals]]</f>
        <v>4</v>
      </c>
      <c r="V557" s="11">
        <f>World_Cup_Matches[[#This Row],[Home Team Goals]]-World_Cup_Matches[[#This Row],[Away Team Goals]]</f>
        <v>-2</v>
      </c>
      <c r="W557" s="4" t="str">
        <f>IF(World_Cup_Matches[[#This Row],[Home Team Goals]]&gt;World_Cup_Matches[[#This Row],[Away Team Goals]],World_Cup_Matches[[#This Row],[Home Team Name]],IF(World_Cup_Matches[[#This Row],[Away Team Goals]]&gt;World_Cup_Matches[[#This Row],[Home Team Goals]], World_Cup_Matches[[#This Row],[Away Team Name]],"Draw"))</f>
        <v>Paraguay</v>
      </c>
      <c r="X557" s="4" t="str">
        <f>IF(World_Cup_Matches[[#This Row],[Home Team Goals]]&gt;World_Cup_Matches[[#This Row],[Away Team Goals]],"Hime Win",IF(World_Cup_Matches[[#This Row],[Away Team Goals]]&gt;World_Cup_Matches[[#This Row],[Home Team Goals]],"Away win","Draw"))</f>
        <v>Away win</v>
      </c>
    </row>
    <row r="558" spans="1:24" x14ac:dyDescent="0.2">
      <c r="A558" s="19">
        <v>1998</v>
      </c>
      <c r="B558" s="15" t="s">
        <v>1227</v>
      </c>
      <c r="C558" s="3" t="s">
        <v>846</v>
      </c>
      <c r="D558" s="3" t="s">
        <v>160</v>
      </c>
      <c r="E558" s="3" t="s">
        <v>161</v>
      </c>
      <c r="F558" s="3" t="s">
        <v>34</v>
      </c>
      <c r="G558" s="11">
        <v>1</v>
      </c>
      <c r="H558" s="11">
        <v>1</v>
      </c>
      <c r="I558" s="3" t="s">
        <v>291</v>
      </c>
      <c r="J558" s="3" t="s">
        <v>1842</v>
      </c>
      <c r="K558" s="3">
        <v>45500</v>
      </c>
      <c r="L558" s="11">
        <v>1</v>
      </c>
      <c r="M558" s="11">
        <v>0</v>
      </c>
      <c r="N558" s="3" t="s">
        <v>1139</v>
      </c>
      <c r="O558" s="3" t="s">
        <v>1140</v>
      </c>
      <c r="P558" s="3" t="s">
        <v>1112</v>
      </c>
      <c r="Q558" s="11">
        <v>1014</v>
      </c>
      <c r="R558" s="11">
        <v>8765</v>
      </c>
      <c r="S558" s="3" t="s">
        <v>38</v>
      </c>
      <c r="T558" s="4" t="s">
        <v>295</v>
      </c>
      <c r="U558" s="11">
        <f>World_Cup_Matches[[#This Row],[Home Team Goals]]+World_Cup_Matches[[#This Row],[Away Team Goals]]</f>
        <v>2</v>
      </c>
      <c r="V558" s="11">
        <f>World_Cup_Matches[[#This Row],[Home Team Goals]]-World_Cup_Matches[[#This Row],[Away Team Goals]]</f>
        <v>0</v>
      </c>
      <c r="W558" s="4" t="str">
        <f>IF(World_Cup_Matches[[#This Row],[Home Team Goals]]&gt;World_Cup_Matches[[#This Row],[Away Team Goals]],World_Cup_Matches[[#This Row],[Home Team Name]],IF(World_Cup_Matches[[#This Row],[Away Team Goals]]&gt;World_Cup_Matches[[#This Row],[Home Team Goals]], World_Cup_Matches[[#This Row],[Away Team Name]],"Draw"))</f>
        <v>Draw</v>
      </c>
      <c r="X558" s="4" t="str">
        <f>IF(World_Cup_Matches[[#This Row],[Home Team Goals]]&gt;World_Cup_Matches[[#This Row],[Away Team Goals]],"Hime Win",IF(World_Cup_Matches[[#This Row],[Away Team Goals]]&gt;World_Cup_Matches[[#This Row],[Home Team Goals]],"Away win","Draw"))</f>
        <v>Draw</v>
      </c>
    </row>
    <row r="559" spans="1:24" x14ac:dyDescent="0.2">
      <c r="A559" s="19">
        <v>1998</v>
      </c>
      <c r="B559" s="15" t="s">
        <v>1227</v>
      </c>
      <c r="C559" s="3" t="s">
        <v>846</v>
      </c>
      <c r="D559" s="3" t="s">
        <v>1166</v>
      </c>
      <c r="E559" s="3" t="s">
        <v>1167</v>
      </c>
      <c r="F559" s="3" t="s">
        <v>109</v>
      </c>
      <c r="G559" s="11">
        <v>2</v>
      </c>
      <c r="H559" s="11">
        <v>2</v>
      </c>
      <c r="I559" s="3" t="s">
        <v>25</v>
      </c>
      <c r="J559" s="3" t="s">
        <v>1842</v>
      </c>
      <c r="K559" s="3">
        <v>30600</v>
      </c>
      <c r="L559" s="11">
        <v>2</v>
      </c>
      <c r="M559" s="11">
        <v>0</v>
      </c>
      <c r="N559" s="3" t="s">
        <v>1128</v>
      </c>
      <c r="O559" s="3" t="s">
        <v>1111</v>
      </c>
      <c r="P559" s="3" t="s">
        <v>1130</v>
      </c>
      <c r="Q559" s="11">
        <v>1014</v>
      </c>
      <c r="R559" s="11">
        <v>8766</v>
      </c>
      <c r="S559" s="3" t="s">
        <v>114</v>
      </c>
      <c r="T559" s="4" t="s">
        <v>30</v>
      </c>
      <c r="U559" s="11">
        <f>World_Cup_Matches[[#This Row],[Home Team Goals]]+World_Cup_Matches[[#This Row],[Away Team Goals]]</f>
        <v>4</v>
      </c>
      <c r="V559" s="11">
        <f>World_Cup_Matches[[#This Row],[Home Team Goals]]-World_Cup_Matches[[#This Row],[Away Team Goals]]</f>
        <v>0</v>
      </c>
      <c r="W559" s="4" t="str">
        <f>IF(World_Cup_Matches[[#This Row],[Home Team Goals]]&gt;World_Cup_Matches[[#This Row],[Away Team Goals]],World_Cup_Matches[[#This Row],[Home Team Name]],IF(World_Cup_Matches[[#This Row],[Away Team Goals]]&gt;World_Cup_Matches[[#This Row],[Home Team Goals]], World_Cup_Matches[[#This Row],[Away Team Name]],"Draw"))</f>
        <v>Draw</v>
      </c>
      <c r="X559" s="4" t="str">
        <f>IF(World_Cup_Matches[[#This Row],[Home Team Goals]]&gt;World_Cup_Matches[[#This Row],[Away Team Goals]],"Hime Win",IF(World_Cup_Matches[[#This Row],[Away Team Goals]]&gt;World_Cup_Matches[[#This Row],[Home Team Goals]],"Away win","Draw"))</f>
        <v>Draw</v>
      </c>
    </row>
    <row r="560" spans="1:24" x14ac:dyDescent="0.2">
      <c r="A560" s="19">
        <v>1998</v>
      </c>
      <c r="B560" s="15" t="s">
        <v>1228</v>
      </c>
      <c r="C560" s="3" t="s">
        <v>824</v>
      </c>
      <c r="D560" s="3" t="s">
        <v>1114</v>
      </c>
      <c r="E560" s="3" t="s">
        <v>1115</v>
      </c>
      <c r="F560" s="3" t="s">
        <v>124</v>
      </c>
      <c r="G560" s="11">
        <v>2</v>
      </c>
      <c r="H560" s="11">
        <v>0</v>
      </c>
      <c r="I560" s="3" t="s">
        <v>669</v>
      </c>
      <c r="J560" s="3" t="s">
        <v>1842</v>
      </c>
      <c r="K560" s="3">
        <v>29800</v>
      </c>
      <c r="L560" s="11">
        <v>0</v>
      </c>
      <c r="M560" s="11">
        <v>0</v>
      </c>
      <c r="N560" s="3" t="s">
        <v>1124</v>
      </c>
      <c r="O560" s="3" t="s">
        <v>1125</v>
      </c>
      <c r="P560" s="3" t="s">
        <v>1136</v>
      </c>
      <c r="Q560" s="11">
        <v>1014</v>
      </c>
      <c r="R560" s="11">
        <v>8767</v>
      </c>
      <c r="S560" s="3" t="s">
        <v>128</v>
      </c>
      <c r="T560" s="4" t="s">
        <v>650</v>
      </c>
      <c r="U560" s="11">
        <f>World_Cup_Matches[[#This Row],[Home Team Goals]]+World_Cup_Matches[[#This Row],[Away Team Goals]]</f>
        <v>2</v>
      </c>
      <c r="V560" s="11">
        <f>World_Cup_Matches[[#This Row],[Home Team Goals]]-World_Cup_Matches[[#This Row],[Away Team Goals]]</f>
        <v>2</v>
      </c>
      <c r="W560" s="4" t="str">
        <f>IF(World_Cup_Matches[[#This Row],[Home Team Goals]]&gt;World_Cup_Matches[[#This Row],[Away Team Goals]],World_Cup_Matches[[#This Row],[Home Team Name]],IF(World_Cup_Matches[[#This Row],[Away Team Goals]]&gt;World_Cup_Matches[[#This Row],[Home Team Goals]], World_Cup_Matches[[#This Row],[Away Team Name]],"Draw"))</f>
        <v>Germany</v>
      </c>
      <c r="X560" s="4" t="str">
        <f>IF(World_Cup_Matches[[#This Row],[Home Team Goals]]&gt;World_Cup_Matches[[#This Row],[Away Team Goals]],"Hime Win",IF(World_Cup_Matches[[#This Row],[Away Team Goals]]&gt;World_Cup_Matches[[#This Row],[Home Team Goals]],"Away win","Draw"))</f>
        <v>Hime Win</v>
      </c>
    </row>
    <row r="561" spans="1:24" x14ac:dyDescent="0.2">
      <c r="A561" s="19">
        <v>1998</v>
      </c>
      <c r="B561" s="15" t="s">
        <v>1228</v>
      </c>
      <c r="C561" s="3" t="s">
        <v>824</v>
      </c>
      <c r="D561" s="3" t="s">
        <v>1144</v>
      </c>
      <c r="E561" s="3" t="s">
        <v>1145</v>
      </c>
      <c r="F561" s="3" t="s">
        <v>33</v>
      </c>
      <c r="G561" s="11">
        <v>0</v>
      </c>
      <c r="H561" s="11">
        <v>1</v>
      </c>
      <c r="I561" s="3" t="s">
        <v>41</v>
      </c>
      <c r="J561" s="3" t="s">
        <v>1842</v>
      </c>
      <c r="K561" s="3">
        <v>35500</v>
      </c>
      <c r="L561" s="11">
        <v>0</v>
      </c>
      <c r="M561" s="11">
        <v>1</v>
      </c>
      <c r="N561" s="3" t="s">
        <v>1195</v>
      </c>
      <c r="O561" s="3" t="s">
        <v>1129</v>
      </c>
      <c r="P561" s="3" t="s">
        <v>1193</v>
      </c>
      <c r="Q561" s="11">
        <v>1014</v>
      </c>
      <c r="R561" s="11">
        <v>8768</v>
      </c>
      <c r="S561" s="3" t="s">
        <v>33</v>
      </c>
      <c r="T561" s="4" t="s">
        <v>46</v>
      </c>
      <c r="U561" s="11">
        <f>World_Cup_Matches[[#This Row],[Home Team Goals]]+World_Cup_Matches[[#This Row],[Away Team Goals]]</f>
        <v>1</v>
      </c>
      <c r="V561" s="11">
        <f>World_Cup_Matches[[#This Row],[Home Team Goals]]-World_Cup_Matches[[#This Row],[Away Team Goals]]</f>
        <v>-1</v>
      </c>
      <c r="W561" s="4" t="str">
        <f>IF(World_Cup_Matches[[#This Row],[Home Team Goals]]&gt;World_Cup_Matches[[#This Row],[Away Team Goals]],World_Cup_Matches[[#This Row],[Home Team Name]],IF(World_Cup_Matches[[#This Row],[Away Team Goals]]&gt;World_Cup_Matches[[#This Row],[Home Team Goals]], World_Cup_Matches[[#This Row],[Away Team Name]],"Draw"))</f>
        <v>Yugoslavia</v>
      </c>
      <c r="X561" s="4" t="str">
        <f>IF(World_Cup_Matches[[#This Row],[Home Team Goals]]&gt;World_Cup_Matches[[#This Row],[Away Team Goals]],"Hime Win",IF(World_Cup_Matches[[#This Row],[Away Team Goals]]&gt;World_Cup_Matches[[#This Row],[Home Team Goals]],"Away win","Draw"))</f>
        <v>Away win</v>
      </c>
    </row>
    <row r="562" spans="1:24" x14ac:dyDescent="0.2">
      <c r="A562" s="19">
        <v>1998</v>
      </c>
      <c r="B562" s="15" t="s">
        <v>1229</v>
      </c>
      <c r="C562" s="3" t="s">
        <v>1160</v>
      </c>
      <c r="D562" s="3" t="s">
        <v>1150</v>
      </c>
      <c r="E562" s="3" t="s">
        <v>1151</v>
      </c>
      <c r="F562" s="3" t="s">
        <v>1161</v>
      </c>
      <c r="G562" s="11">
        <v>1</v>
      </c>
      <c r="H562" s="11">
        <v>2</v>
      </c>
      <c r="I562" s="3" t="s">
        <v>1171</v>
      </c>
      <c r="J562" s="3" t="s">
        <v>1842</v>
      </c>
      <c r="K562" s="3">
        <v>39100</v>
      </c>
      <c r="L562" s="11">
        <v>0</v>
      </c>
      <c r="M562" s="11">
        <v>1</v>
      </c>
      <c r="N562" s="3" t="s">
        <v>1152</v>
      </c>
      <c r="O562" s="3" t="s">
        <v>1189</v>
      </c>
      <c r="P562" s="3" t="s">
        <v>1121</v>
      </c>
      <c r="Q562" s="11">
        <v>1014</v>
      </c>
      <c r="R562" s="11">
        <v>8771</v>
      </c>
      <c r="S562" s="3" t="s">
        <v>1164</v>
      </c>
      <c r="T562" s="4" t="s">
        <v>1176</v>
      </c>
      <c r="U562" s="11">
        <f>World_Cup_Matches[[#This Row],[Home Team Goals]]+World_Cup_Matches[[#This Row],[Away Team Goals]]</f>
        <v>3</v>
      </c>
      <c r="V562" s="11">
        <f>World_Cup_Matches[[#This Row],[Home Team Goals]]-World_Cup_Matches[[#This Row],[Away Team Goals]]</f>
        <v>-1</v>
      </c>
      <c r="W562" s="4" t="str">
        <f>IF(World_Cup_Matches[[#This Row],[Home Team Goals]]&gt;World_Cup_Matches[[#This Row],[Away Team Goals]],World_Cup_Matches[[#This Row],[Home Team Name]],IF(World_Cup_Matches[[#This Row],[Away Team Goals]]&gt;World_Cup_Matches[[#This Row],[Home Team Goals]], World_Cup_Matches[[#This Row],[Away Team Name]],"Draw"))</f>
        <v>Jamaica</v>
      </c>
      <c r="X562" s="4" t="str">
        <f>IF(World_Cup_Matches[[#This Row],[Home Team Goals]]&gt;World_Cup_Matches[[#This Row],[Away Team Goals]],"Hime Win",IF(World_Cup_Matches[[#This Row],[Away Team Goals]]&gt;World_Cup_Matches[[#This Row],[Home Team Goals]],"Away win","Draw"))</f>
        <v>Away win</v>
      </c>
    </row>
    <row r="563" spans="1:24" x14ac:dyDescent="0.2">
      <c r="A563" s="19">
        <v>1998</v>
      </c>
      <c r="B563" s="15" t="s">
        <v>1229</v>
      </c>
      <c r="C563" s="3" t="s">
        <v>1160</v>
      </c>
      <c r="D563" s="3" t="s">
        <v>205</v>
      </c>
      <c r="E563" s="3" t="s">
        <v>206</v>
      </c>
      <c r="F563" s="3" t="s">
        <v>56</v>
      </c>
      <c r="G563" s="11">
        <v>1</v>
      </c>
      <c r="H563" s="11">
        <v>0</v>
      </c>
      <c r="I563" s="3" t="s">
        <v>1172</v>
      </c>
      <c r="J563" s="3" t="s">
        <v>1842</v>
      </c>
      <c r="K563" s="3">
        <v>31800</v>
      </c>
      <c r="L563" s="11">
        <v>1</v>
      </c>
      <c r="M563" s="11">
        <v>0</v>
      </c>
      <c r="N563" s="3" t="s">
        <v>1185</v>
      </c>
      <c r="O563" s="3" t="s">
        <v>1205</v>
      </c>
      <c r="P563" s="3" t="s">
        <v>1122</v>
      </c>
      <c r="Q563" s="11">
        <v>1014</v>
      </c>
      <c r="R563" s="11">
        <v>8772</v>
      </c>
      <c r="S563" s="3" t="s">
        <v>59</v>
      </c>
      <c r="T563" s="4" t="s">
        <v>1177</v>
      </c>
      <c r="U563" s="11">
        <f>World_Cup_Matches[[#This Row],[Home Team Goals]]+World_Cup_Matches[[#This Row],[Away Team Goals]]</f>
        <v>1</v>
      </c>
      <c r="V563" s="11">
        <f>World_Cup_Matches[[#This Row],[Home Team Goals]]-World_Cup_Matches[[#This Row],[Away Team Goals]]</f>
        <v>1</v>
      </c>
      <c r="W563" s="4" t="str">
        <f>IF(World_Cup_Matches[[#This Row],[Home Team Goals]]&gt;World_Cup_Matches[[#This Row],[Away Team Goals]],World_Cup_Matches[[#This Row],[Home Team Name]],IF(World_Cup_Matches[[#This Row],[Away Team Goals]]&gt;World_Cup_Matches[[#This Row],[Home Team Goals]], World_Cup_Matches[[#This Row],[Away Team Name]],"Draw"))</f>
        <v>Argentina</v>
      </c>
      <c r="X563" s="4" t="str">
        <f>IF(World_Cup_Matches[[#This Row],[Home Team Goals]]&gt;World_Cup_Matches[[#This Row],[Away Team Goals]],"Hime Win",IF(World_Cup_Matches[[#This Row],[Away Team Goals]]&gt;World_Cup_Matches[[#This Row],[Home Team Goals]],"Away win","Draw"))</f>
        <v>Hime Win</v>
      </c>
    </row>
    <row r="564" spans="1:24" x14ac:dyDescent="0.2">
      <c r="A564" s="19">
        <v>1998</v>
      </c>
      <c r="B564" s="15" t="s">
        <v>1230</v>
      </c>
      <c r="C564" s="3" t="s">
        <v>1179</v>
      </c>
      <c r="D564" s="3" t="s">
        <v>1108</v>
      </c>
      <c r="E564" s="3" t="s">
        <v>1109</v>
      </c>
      <c r="F564" s="3" t="s">
        <v>50</v>
      </c>
      <c r="G564" s="11">
        <v>1</v>
      </c>
      <c r="H564" s="11">
        <v>1</v>
      </c>
      <c r="I564" s="3" t="s">
        <v>628</v>
      </c>
      <c r="J564" s="3" t="s">
        <v>1842</v>
      </c>
      <c r="K564" s="3">
        <v>77000</v>
      </c>
      <c r="L564" s="11">
        <v>0</v>
      </c>
      <c r="M564" s="11">
        <v>1</v>
      </c>
      <c r="N564" s="3" t="s">
        <v>1197</v>
      </c>
      <c r="O564" s="3" t="s">
        <v>1169</v>
      </c>
      <c r="P564" s="3" t="s">
        <v>1148</v>
      </c>
      <c r="Q564" s="11">
        <v>1014</v>
      </c>
      <c r="R564" s="11">
        <v>8769</v>
      </c>
      <c r="S564" s="3" t="s">
        <v>53</v>
      </c>
      <c r="T564" s="4" t="s">
        <v>632</v>
      </c>
      <c r="U564" s="11">
        <f>World_Cup_Matches[[#This Row],[Home Team Goals]]+World_Cup_Matches[[#This Row],[Away Team Goals]]</f>
        <v>2</v>
      </c>
      <c r="V564" s="11">
        <f>World_Cup_Matches[[#This Row],[Home Team Goals]]-World_Cup_Matches[[#This Row],[Away Team Goals]]</f>
        <v>0</v>
      </c>
      <c r="W564" s="4" t="str">
        <f>IF(World_Cup_Matches[[#This Row],[Home Team Goals]]&gt;World_Cup_Matches[[#This Row],[Away Team Goals]],World_Cup_Matches[[#This Row],[Home Team Name]],IF(World_Cup_Matches[[#This Row],[Away Team Goals]]&gt;World_Cup_Matches[[#This Row],[Home Team Goals]], World_Cup_Matches[[#This Row],[Away Team Name]],"Draw"))</f>
        <v>Draw</v>
      </c>
      <c r="X564" s="4" t="str">
        <f>IF(World_Cup_Matches[[#This Row],[Home Team Goals]]&gt;World_Cup_Matches[[#This Row],[Away Team Goals]],"Hime Win",IF(World_Cup_Matches[[#This Row],[Away Team Goals]]&gt;World_Cup_Matches[[#This Row],[Home Team Goals]],"Away win","Draw"))</f>
        <v>Draw</v>
      </c>
    </row>
    <row r="565" spans="1:24" x14ac:dyDescent="0.2">
      <c r="A565" s="19">
        <v>1998</v>
      </c>
      <c r="B565" s="15" t="s">
        <v>1230</v>
      </c>
      <c r="C565" s="3" t="s">
        <v>1179</v>
      </c>
      <c r="D565" s="3" t="s">
        <v>1132</v>
      </c>
      <c r="E565" s="3" t="s">
        <v>1133</v>
      </c>
      <c r="F565" s="3" t="s">
        <v>390</v>
      </c>
      <c r="G565" s="11">
        <v>0</v>
      </c>
      <c r="H565" s="11">
        <v>2</v>
      </c>
      <c r="I565" s="3" t="s">
        <v>223</v>
      </c>
      <c r="J565" s="3" t="s">
        <v>1842</v>
      </c>
      <c r="K565" s="3">
        <v>38100</v>
      </c>
      <c r="L565" s="11">
        <v>0</v>
      </c>
      <c r="M565" s="11">
        <v>2</v>
      </c>
      <c r="N565" s="3" t="s">
        <v>1002</v>
      </c>
      <c r="O565" s="3" t="s">
        <v>1190</v>
      </c>
      <c r="P565" s="3" t="s">
        <v>1126</v>
      </c>
      <c r="Q565" s="11">
        <v>1014</v>
      </c>
      <c r="R565" s="11">
        <v>8770</v>
      </c>
      <c r="S565" s="3" t="s">
        <v>394</v>
      </c>
      <c r="T565" s="4" t="s">
        <v>227</v>
      </c>
      <c r="U565" s="11">
        <f>World_Cup_Matches[[#This Row],[Home Team Goals]]+World_Cup_Matches[[#This Row],[Away Team Goals]]</f>
        <v>2</v>
      </c>
      <c r="V565" s="11">
        <f>World_Cup_Matches[[#This Row],[Home Team Goals]]-World_Cup_Matches[[#This Row],[Away Team Goals]]</f>
        <v>-2</v>
      </c>
      <c r="W565" s="4" t="str">
        <f>IF(World_Cup_Matches[[#This Row],[Home Team Goals]]&gt;World_Cup_Matches[[#This Row],[Away Team Goals]],World_Cup_Matches[[#This Row],[Home Team Name]],IF(World_Cup_Matches[[#This Row],[Away Team Goals]]&gt;World_Cup_Matches[[#This Row],[Home Team Goals]], World_Cup_Matches[[#This Row],[Away Team Name]],"Draw"))</f>
        <v>England</v>
      </c>
      <c r="X565" s="4" t="str">
        <f>IF(World_Cup_Matches[[#This Row],[Home Team Goals]]&gt;World_Cup_Matches[[#This Row],[Away Team Goals]],"Hime Win",IF(World_Cup_Matches[[#This Row],[Away Team Goals]]&gt;World_Cup_Matches[[#This Row],[Home Team Goals]],"Away win","Draw"))</f>
        <v>Away win</v>
      </c>
    </row>
    <row r="566" spans="1:24" x14ac:dyDescent="0.2">
      <c r="A566" s="19">
        <v>1998</v>
      </c>
      <c r="B566" s="15" t="s">
        <v>1231</v>
      </c>
      <c r="C566" s="3" t="s">
        <v>878</v>
      </c>
      <c r="D566" s="3" t="s">
        <v>181</v>
      </c>
      <c r="E566" s="3" t="s">
        <v>182</v>
      </c>
      <c r="F566" s="3" t="s">
        <v>138</v>
      </c>
      <c r="G566" s="11">
        <v>1</v>
      </c>
      <c r="H566" s="11">
        <v>0</v>
      </c>
      <c r="I566" s="3" t="s">
        <v>183</v>
      </c>
      <c r="J566" s="3" t="s">
        <v>1842</v>
      </c>
      <c r="K566" s="3">
        <v>55000</v>
      </c>
      <c r="L566" s="11">
        <v>1</v>
      </c>
      <c r="M566" s="11">
        <v>0</v>
      </c>
      <c r="N566" s="3" t="s">
        <v>1219</v>
      </c>
      <c r="O566" s="3" t="s">
        <v>1154</v>
      </c>
      <c r="P566" s="3" t="s">
        <v>1162</v>
      </c>
      <c r="Q566" s="11">
        <v>1024</v>
      </c>
      <c r="R566" s="11">
        <v>8774</v>
      </c>
      <c r="S566" s="3" t="s">
        <v>142</v>
      </c>
      <c r="T566" s="4" t="s">
        <v>186</v>
      </c>
      <c r="U566" s="11">
        <f>World_Cup_Matches[[#This Row],[Home Team Goals]]+World_Cup_Matches[[#This Row],[Away Team Goals]]</f>
        <v>1</v>
      </c>
      <c r="V566" s="11">
        <f>World_Cup_Matches[[#This Row],[Home Team Goals]]-World_Cup_Matches[[#This Row],[Away Team Goals]]</f>
        <v>1</v>
      </c>
      <c r="W566" s="4" t="str">
        <f>IF(World_Cup_Matches[[#This Row],[Home Team Goals]]&gt;World_Cup_Matches[[#This Row],[Away Team Goals]],World_Cup_Matches[[#This Row],[Home Team Name]],IF(World_Cup_Matches[[#This Row],[Away Team Goals]]&gt;World_Cup_Matches[[#This Row],[Home Team Goals]], World_Cup_Matches[[#This Row],[Away Team Name]],"Draw"))</f>
        <v>Italy</v>
      </c>
      <c r="X566" s="4" t="str">
        <f>IF(World_Cup_Matches[[#This Row],[Home Team Goals]]&gt;World_Cup_Matches[[#This Row],[Away Team Goals]],"Hime Win",IF(World_Cup_Matches[[#This Row],[Away Team Goals]]&gt;World_Cup_Matches[[#This Row],[Home Team Goals]],"Away win","Draw"))</f>
        <v>Hime Win</v>
      </c>
    </row>
    <row r="567" spans="1:24" x14ac:dyDescent="0.2">
      <c r="A567" s="19">
        <v>1998</v>
      </c>
      <c r="B567" s="15" t="s">
        <v>1232</v>
      </c>
      <c r="C567" s="3" t="s">
        <v>878</v>
      </c>
      <c r="D567" s="3" t="s">
        <v>160</v>
      </c>
      <c r="E567" s="3" t="s">
        <v>161</v>
      </c>
      <c r="F567" s="3" t="s">
        <v>42</v>
      </c>
      <c r="G567" s="11">
        <v>4</v>
      </c>
      <c r="H567" s="11">
        <v>1</v>
      </c>
      <c r="I567" s="3" t="s">
        <v>61</v>
      </c>
      <c r="J567" s="3" t="s">
        <v>1842</v>
      </c>
      <c r="K567" s="3">
        <v>45500</v>
      </c>
      <c r="L567" s="11">
        <v>3</v>
      </c>
      <c r="M567" s="11">
        <v>0</v>
      </c>
      <c r="N567" s="3" t="s">
        <v>1221</v>
      </c>
      <c r="O567" s="3" t="s">
        <v>1175</v>
      </c>
      <c r="P567" s="3" t="s">
        <v>1168</v>
      </c>
      <c r="Q567" s="11">
        <v>1024</v>
      </c>
      <c r="R567" s="11">
        <v>8773</v>
      </c>
      <c r="S567" s="3" t="s">
        <v>47</v>
      </c>
      <c r="T567" s="4" t="s">
        <v>63</v>
      </c>
      <c r="U567" s="11">
        <f>World_Cup_Matches[[#This Row],[Home Team Goals]]+World_Cup_Matches[[#This Row],[Away Team Goals]]</f>
        <v>5</v>
      </c>
      <c r="V567" s="11">
        <f>World_Cup_Matches[[#This Row],[Home Team Goals]]-World_Cup_Matches[[#This Row],[Away Team Goals]]</f>
        <v>3</v>
      </c>
      <c r="W567" s="4" t="str">
        <f>IF(World_Cup_Matches[[#This Row],[Home Team Goals]]&gt;World_Cup_Matches[[#This Row],[Away Team Goals]],World_Cup_Matches[[#This Row],[Home Team Name]],IF(World_Cup_Matches[[#This Row],[Away Team Goals]]&gt;World_Cup_Matches[[#This Row],[Home Team Goals]], World_Cup_Matches[[#This Row],[Away Team Name]],"Draw"))</f>
        <v>Brazil</v>
      </c>
      <c r="X567" s="4" t="str">
        <f>IF(World_Cup_Matches[[#This Row],[Home Team Goals]]&gt;World_Cup_Matches[[#This Row],[Away Team Goals]],"Hime Win",IF(World_Cup_Matches[[#This Row],[Away Team Goals]]&gt;World_Cup_Matches[[#This Row],[Home Team Goals]],"Away win","Draw"))</f>
        <v>Hime Win</v>
      </c>
    </row>
    <row r="568" spans="1:24" x14ac:dyDescent="0.2">
      <c r="A568" s="19">
        <v>1998</v>
      </c>
      <c r="B568" s="15" t="s">
        <v>1233</v>
      </c>
      <c r="C568" s="3" t="s">
        <v>878</v>
      </c>
      <c r="D568" s="3" t="s">
        <v>1132</v>
      </c>
      <c r="E568" s="3" t="s">
        <v>1133</v>
      </c>
      <c r="F568" s="3" t="s">
        <v>24</v>
      </c>
      <c r="G568" s="11">
        <v>1</v>
      </c>
      <c r="H568" s="11">
        <v>0</v>
      </c>
      <c r="I568" s="3" t="s">
        <v>68</v>
      </c>
      <c r="J568" s="3" t="s">
        <v>897</v>
      </c>
      <c r="K568" s="3">
        <v>31800</v>
      </c>
      <c r="L568" s="11">
        <v>0</v>
      </c>
      <c r="M568" s="11">
        <v>0</v>
      </c>
      <c r="N568" s="3" t="s">
        <v>1081</v>
      </c>
      <c r="O568" s="3" t="s">
        <v>1118</v>
      </c>
      <c r="P568" s="3" t="s">
        <v>1153</v>
      </c>
      <c r="Q568" s="11">
        <v>1024</v>
      </c>
      <c r="R568" s="11">
        <v>8776</v>
      </c>
      <c r="S568" s="3" t="s">
        <v>29</v>
      </c>
      <c r="T568" s="4" t="s">
        <v>69</v>
      </c>
      <c r="U568" s="11">
        <f>World_Cup_Matches[[#This Row],[Home Team Goals]]+World_Cup_Matches[[#This Row],[Away Team Goals]]</f>
        <v>1</v>
      </c>
      <c r="V568" s="11">
        <f>World_Cup_Matches[[#This Row],[Home Team Goals]]-World_Cup_Matches[[#This Row],[Away Team Goals]]</f>
        <v>1</v>
      </c>
      <c r="W568" s="4" t="str">
        <f>IF(World_Cup_Matches[[#This Row],[Home Team Goals]]&gt;World_Cup_Matches[[#This Row],[Away Team Goals]],World_Cup_Matches[[#This Row],[Home Team Name]],IF(World_Cup_Matches[[#This Row],[Away Team Goals]]&gt;World_Cup_Matches[[#This Row],[Home Team Goals]], World_Cup_Matches[[#This Row],[Away Team Name]],"Draw"))</f>
        <v>France</v>
      </c>
      <c r="X568" s="4" t="str">
        <f>IF(World_Cup_Matches[[#This Row],[Home Team Goals]]&gt;World_Cup_Matches[[#This Row],[Away Team Goals]],"Hime Win",IF(World_Cup_Matches[[#This Row],[Away Team Goals]]&gt;World_Cup_Matches[[#This Row],[Home Team Goals]],"Away win","Draw"))</f>
        <v>Hime Win</v>
      </c>
    </row>
    <row r="569" spans="1:24" x14ac:dyDescent="0.2">
      <c r="A569" s="19">
        <v>1998</v>
      </c>
      <c r="B569" s="15" t="s">
        <v>1234</v>
      </c>
      <c r="C569" s="3" t="s">
        <v>878</v>
      </c>
      <c r="D569" s="3" t="s">
        <v>1108</v>
      </c>
      <c r="E569" s="3" t="s">
        <v>1109</v>
      </c>
      <c r="F569" s="3" t="s">
        <v>1055</v>
      </c>
      <c r="G569" s="11">
        <v>1</v>
      </c>
      <c r="H569" s="11">
        <v>4</v>
      </c>
      <c r="I569" s="3" t="s">
        <v>849</v>
      </c>
      <c r="J569" s="3" t="s">
        <v>1842</v>
      </c>
      <c r="K569" s="3">
        <v>77000</v>
      </c>
      <c r="L569" s="11">
        <v>0</v>
      </c>
      <c r="M569" s="11">
        <v>2</v>
      </c>
      <c r="N569" s="3" t="s">
        <v>1217</v>
      </c>
      <c r="O569" s="3" t="s">
        <v>1130</v>
      </c>
      <c r="P569" s="3" t="s">
        <v>1111</v>
      </c>
      <c r="Q569" s="11">
        <v>1024</v>
      </c>
      <c r="R569" s="11">
        <v>8775</v>
      </c>
      <c r="S569" s="3" t="s">
        <v>1057</v>
      </c>
      <c r="T569" s="4" t="s">
        <v>853</v>
      </c>
      <c r="U569" s="11">
        <f>World_Cup_Matches[[#This Row],[Home Team Goals]]+World_Cup_Matches[[#This Row],[Away Team Goals]]</f>
        <v>5</v>
      </c>
      <c r="V569" s="11">
        <f>World_Cup_Matches[[#This Row],[Home Team Goals]]-World_Cup_Matches[[#This Row],[Away Team Goals]]</f>
        <v>-3</v>
      </c>
      <c r="W569" s="4" t="str">
        <f>IF(World_Cup_Matches[[#This Row],[Home Team Goals]]&gt;World_Cup_Matches[[#This Row],[Away Team Goals]],World_Cup_Matches[[#This Row],[Home Team Name]],IF(World_Cup_Matches[[#This Row],[Away Team Goals]]&gt;World_Cup_Matches[[#This Row],[Home Team Goals]], World_Cup_Matches[[#This Row],[Away Team Name]],"Draw"))</f>
        <v>Denmark</v>
      </c>
      <c r="X569" s="4" t="str">
        <f>IF(World_Cup_Matches[[#This Row],[Home Team Goals]]&gt;World_Cup_Matches[[#This Row],[Away Team Goals]],"Hime Win",IF(World_Cup_Matches[[#This Row],[Away Team Goals]]&gt;World_Cup_Matches[[#This Row],[Home Team Goals]],"Away win","Draw"))</f>
        <v>Away win</v>
      </c>
    </row>
    <row r="570" spans="1:24" x14ac:dyDescent="0.2">
      <c r="A570" s="19">
        <v>1998</v>
      </c>
      <c r="B570" s="15" t="s">
        <v>1235</v>
      </c>
      <c r="C570" s="3" t="s">
        <v>878</v>
      </c>
      <c r="D570" s="3" t="s">
        <v>1114</v>
      </c>
      <c r="E570" s="3" t="s">
        <v>1115</v>
      </c>
      <c r="F570" s="3" t="s">
        <v>124</v>
      </c>
      <c r="G570" s="11">
        <v>2</v>
      </c>
      <c r="H570" s="11">
        <v>1</v>
      </c>
      <c r="I570" s="3" t="s">
        <v>25</v>
      </c>
      <c r="J570" s="3" t="s">
        <v>1842</v>
      </c>
      <c r="K570" s="3">
        <v>29800</v>
      </c>
      <c r="L570" s="11">
        <v>0</v>
      </c>
      <c r="M570" s="11">
        <v>0</v>
      </c>
      <c r="N570" s="3" t="s">
        <v>1173</v>
      </c>
      <c r="O570" s="3" t="s">
        <v>1122</v>
      </c>
      <c r="P570" s="3" t="s">
        <v>1129</v>
      </c>
      <c r="Q570" s="11">
        <v>1024</v>
      </c>
      <c r="R570" s="11">
        <v>8777</v>
      </c>
      <c r="S570" s="3" t="s">
        <v>128</v>
      </c>
      <c r="T570" s="4" t="s">
        <v>30</v>
      </c>
      <c r="U570" s="11">
        <f>World_Cup_Matches[[#This Row],[Home Team Goals]]+World_Cup_Matches[[#This Row],[Away Team Goals]]</f>
        <v>3</v>
      </c>
      <c r="V570" s="11">
        <f>World_Cup_Matches[[#This Row],[Home Team Goals]]-World_Cup_Matches[[#This Row],[Away Team Goals]]</f>
        <v>1</v>
      </c>
      <c r="W570" s="4" t="str">
        <f>IF(World_Cup_Matches[[#This Row],[Home Team Goals]]&gt;World_Cup_Matches[[#This Row],[Away Team Goals]],World_Cup_Matches[[#This Row],[Home Team Name]],IF(World_Cup_Matches[[#This Row],[Away Team Goals]]&gt;World_Cup_Matches[[#This Row],[Home Team Goals]], World_Cup_Matches[[#This Row],[Away Team Name]],"Draw"))</f>
        <v>Germany</v>
      </c>
      <c r="X570" s="4" t="str">
        <f>IF(World_Cup_Matches[[#This Row],[Home Team Goals]]&gt;World_Cup_Matches[[#This Row],[Away Team Goals]],"Hime Win",IF(World_Cup_Matches[[#This Row],[Away Team Goals]]&gt;World_Cup_Matches[[#This Row],[Home Team Goals]],"Away win","Draw"))</f>
        <v>Hime Win</v>
      </c>
    </row>
    <row r="571" spans="1:24" x14ac:dyDescent="0.2">
      <c r="A571" s="19">
        <v>1998</v>
      </c>
      <c r="B571" s="15" t="s">
        <v>1236</v>
      </c>
      <c r="C571" s="3" t="s">
        <v>878</v>
      </c>
      <c r="D571" s="3" t="s">
        <v>175</v>
      </c>
      <c r="E571" s="3" t="s">
        <v>176</v>
      </c>
      <c r="F571" s="3" t="s">
        <v>109</v>
      </c>
      <c r="G571" s="11">
        <v>2</v>
      </c>
      <c r="H571" s="11">
        <v>1</v>
      </c>
      <c r="I571" s="3" t="s">
        <v>41</v>
      </c>
      <c r="J571" s="3" t="s">
        <v>1842</v>
      </c>
      <c r="K571" s="3">
        <v>33500</v>
      </c>
      <c r="L571" s="11">
        <v>1</v>
      </c>
      <c r="M571" s="11">
        <v>0</v>
      </c>
      <c r="N571" s="3" t="s">
        <v>1110</v>
      </c>
      <c r="O571" s="3" t="s">
        <v>1190</v>
      </c>
      <c r="P571" s="3" t="s">
        <v>1174</v>
      </c>
      <c r="Q571" s="11">
        <v>1024</v>
      </c>
      <c r="R571" s="11">
        <v>8778</v>
      </c>
      <c r="S571" s="3" t="s">
        <v>114</v>
      </c>
      <c r="T571" s="4" t="s">
        <v>46</v>
      </c>
      <c r="U571" s="11">
        <f>World_Cup_Matches[[#This Row],[Home Team Goals]]+World_Cup_Matches[[#This Row],[Away Team Goals]]</f>
        <v>3</v>
      </c>
      <c r="V571" s="11">
        <f>World_Cup_Matches[[#This Row],[Home Team Goals]]-World_Cup_Matches[[#This Row],[Away Team Goals]]</f>
        <v>1</v>
      </c>
      <c r="W571" s="4" t="str">
        <f>IF(World_Cup_Matches[[#This Row],[Home Team Goals]]&gt;World_Cup_Matches[[#This Row],[Away Team Goals]],World_Cup_Matches[[#This Row],[Home Team Name]],IF(World_Cup_Matches[[#This Row],[Away Team Goals]]&gt;World_Cup_Matches[[#This Row],[Home Team Goals]], World_Cup_Matches[[#This Row],[Away Team Name]],"Draw"))</f>
        <v>Netherlands</v>
      </c>
      <c r="X571" s="4" t="str">
        <f>IF(World_Cup_Matches[[#This Row],[Home Team Goals]]&gt;World_Cup_Matches[[#This Row],[Away Team Goals]],"Hime Win",IF(World_Cup_Matches[[#This Row],[Away Team Goals]]&gt;World_Cup_Matches[[#This Row],[Home Team Goals]],"Away win","Draw"))</f>
        <v>Hime Win</v>
      </c>
    </row>
    <row r="572" spans="1:24" x14ac:dyDescent="0.2">
      <c r="A572" s="19">
        <v>1998</v>
      </c>
      <c r="B572" s="15" t="s">
        <v>1237</v>
      </c>
      <c r="C572" s="3" t="s">
        <v>878</v>
      </c>
      <c r="D572" s="3" t="s">
        <v>205</v>
      </c>
      <c r="E572" s="3" t="s">
        <v>206</v>
      </c>
      <c r="F572" s="3" t="s">
        <v>50</v>
      </c>
      <c r="G572" s="11">
        <v>0</v>
      </c>
      <c r="H572" s="11">
        <v>1</v>
      </c>
      <c r="I572" s="3" t="s">
        <v>1172</v>
      </c>
      <c r="J572" s="3" t="s">
        <v>1842</v>
      </c>
      <c r="K572" s="3">
        <v>31800</v>
      </c>
      <c r="L572" s="11">
        <v>0</v>
      </c>
      <c r="M572" s="11">
        <v>1</v>
      </c>
      <c r="N572" s="3" t="s">
        <v>1134</v>
      </c>
      <c r="O572" s="3" t="s">
        <v>1135</v>
      </c>
      <c r="P572" s="3" t="s">
        <v>1140</v>
      </c>
      <c r="Q572" s="11">
        <v>1024</v>
      </c>
      <c r="R572" s="11">
        <v>8780</v>
      </c>
      <c r="S572" s="3" t="s">
        <v>53</v>
      </c>
      <c r="T572" s="4" t="s">
        <v>1177</v>
      </c>
      <c r="U572" s="11">
        <f>World_Cup_Matches[[#This Row],[Home Team Goals]]+World_Cup_Matches[[#This Row],[Away Team Goals]]</f>
        <v>1</v>
      </c>
      <c r="V572" s="11">
        <f>World_Cup_Matches[[#This Row],[Home Team Goals]]-World_Cup_Matches[[#This Row],[Away Team Goals]]</f>
        <v>-1</v>
      </c>
      <c r="W572" s="4" t="str">
        <f>IF(World_Cup_Matches[[#This Row],[Home Team Goals]]&gt;World_Cup_Matches[[#This Row],[Away Team Goals]],World_Cup_Matches[[#This Row],[Home Team Name]],IF(World_Cup_Matches[[#This Row],[Away Team Goals]]&gt;World_Cup_Matches[[#This Row],[Home Team Goals]], World_Cup_Matches[[#This Row],[Away Team Name]],"Draw"))</f>
        <v>Croatia</v>
      </c>
      <c r="X572" s="4" t="str">
        <f>IF(World_Cup_Matches[[#This Row],[Home Team Goals]]&gt;World_Cup_Matches[[#This Row],[Away Team Goals]],"Hime Win",IF(World_Cup_Matches[[#This Row],[Away Team Goals]]&gt;World_Cup_Matches[[#This Row],[Home Team Goals]],"Away win","Draw"))</f>
        <v>Away win</v>
      </c>
    </row>
    <row r="573" spans="1:24" x14ac:dyDescent="0.2">
      <c r="A573" s="19">
        <v>1998</v>
      </c>
      <c r="B573" s="15" t="s">
        <v>1238</v>
      </c>
      <c r="C573" s="3" t="s">
        <v>878</v>
      </c>
      <c r="D573" s="3" t="s">
        <v>1166</v>
      </c>
      <c r="E573" s="3" t="s">
        <v>1167</v>
      </c>
      <c r="F573" s="3" t="s">
        <v>56</v>
      </c>
      <c r="G573" s="11">
        <v>2</v>
      </c>
      <c r="H573" s="11">
        <v>2</v>
      </c>
      <c r="I573" s="3" t="s">
        <v>223</v>
      </c>
      <c r="J573" s="3" t="s">
        <v>1239</v>
      </c>
      <c r="K573" s="3">
        <v>30600</v>
      </c>
      <c r="L573" s="11">
        <v>0</v>
      </c>
      <c r="M573" s="11">
        <v>0</v>
      </c>
      <c r="N573" s="3" t="s">
        <v>1213</v>
      </c>
      <c r="O573" s="3" t="s">
        <v>1117</v>
      </c>
      <c r="P573" s="3" t="s">
        <v>1183</v>
      </c>
      <c r="Q573" s="11">
        <v>1024</v>
      </c>
      <c r="R573" s="11">
        <v>8779</v>
      </c>
      <c r="S573" s="3" t="s">
        <v>59</v>
      </c>
      <c r="T573" s="4" t="s">
        <v>227</v>
      </c>
      <c r="U573" s="11">
        <f>World_Cup_Matches[[#This Row],[Home Team Goals]]+World_Cup_Matches[[#This Row],[Away Team Goals]]</f>
        <v>4</v>
      </c>
      <c r="V573" s="11">
        <f>World_Cup_Matches[[#This Row],[Home Team Goals]]-World_Cup_Matches[[#This Row],[Away Team Goals]]</f>
        <v>0</v>
      </c>
      <c r="W573" s="4" t="str">
        <f>IF(World_Cup_Matches[[#This Row],[Home Team Goals]]&gt;World_Cup_Matches[[#This Row],[Away Team Goals]],World_Cup_Matches[[#This Row],[Home Team Name]],IF(World_Cup_Matches[[#This Row],[Away Team Goals]]&gt;World_Cup_Matches[[#This Row],[Home Team Goals]], World_Cup_Matches[[#This Row],[Away Team Name]],"Draw"))</f>
        <v>Draw</v>
      </c>
      <c r="X573" s="4" t="str">
        <f>IF(World_Cup_Matches[[#This Row],[Home Team Goals]]&gt;World_Cup_Matches[[#This Row],[Away Team Goals]],"Hime Win",IF(World_Cup_Matches[[#This Row],[Away Team Goals]]&gt;World_Cup_Matches[[#This Row],[Home Team Goals]],"Away win","Draw"))</f>
        <v>Draw</v>
      </c>
    </row>
    <row r="574" spans="1:24" x14ac:dyDescent="0.2">
      <c r="A574" s="19">
        <v>1998</v>
      </c>
      <c r="B574" s="15" t="s">
        <v>1240</v>
      </c>
      <c r="C574" s="3" t="s">
        <v>150</v>
      </c>
      <c r="D574" s="3" t="s">
        <v>1108</v>
      </c>
      <c r="E574" s="3" t="s">
        <v>1109</v>
      </c>
      <c r="F574" s="3" t="s">
        <v>138</v>
      </c>
      <c r="G574" s="11">
        <v>0</v>
      </c>
      <c r="H574" s="11">
        <v>0</v>
      </c>
      <c r="I574" s="3" t="s">
        <v>24</v>
      </c>
      <c r="J574" s="3" t="s">
        <v>888</v>
      </c>
      <c r="K574" s="3">
        <v>77000</v>
      </c>
      <c r="L574" s="11">
        <v>0</v>
      </c>
      <c r="M574" s="11">
        <v>0</v>
      </c>
      <c r="N574" s="3" t="s">
        <v>1209</v>
      </c>
      <c r="O574" s="3" t="s">
        <v>1193</v>
      </c>
      <c r="P574" s="3" t="s">
        <v>1174</v>
      </c>
      <c r="Q574" s="11">
        <v>1025</v>
      </c>
      <c r="R574" s="11">
        <v>8781</v>
      </c>
      <c r="S574" s="3" t="s">
        <v>142</v>
      </c>
      <c r="T574" s="4" t="s">
        <v>29</v>
      </c>
      <c r="U574" s="11">
        <f>World_Cup_Matches[[#This Row],[Home Team Goals]]+World_Cup_Matches[[#This Row],[Away Team Goals]]</f>
        <v>0</v>
      </c>
      <c r="V574" s="11">
        <f>World_Cup_Matches[[#This Row],[Home Team Goals]]-World_Cup_Matches[[#This Row],[Away Team Goals]]</f>
        <v>0</v>
      </c>
      <c r="W574" s="4" t="str">
        <f>IF(World_Cup_Matches[[#This Row],[Home Team Goals]]&gt;World_Cup_Matches[[#This Row],[Away Team Goals]],World_Cup_Matches[[#This Row],[Home Team Name]],IF(World_Cup_Matches[[#This Row],[Away Team Goals]]&gt;World_Cup_Matches[[#This Row],[Home Team Goals]], World_Cup_Matches[[#This Row],[Away Team Name]],"Draw"))</f>
        <v>Draw</v>
      </c>
      <c r="X574" s="4" t="str">
        <f>IF(World_Cup_Matches[[#This Row],[Home Team Goals]]&gt;World_Cup_Matches[[#This Row],[Away Team Goals]],"Hime Win",IF(World_Cup_Matches[[#This Row],[Away Team Goals]]&gt;World_Cup_Matches[[#This Row],[Home Team Goals]],"Away win","Draw"))</f>
        <v>Draw</v>
      </c>
    </row>
    <row r="575" spans="1:24" x14ac:dyDescent="0.2">
      <c r="A575" s="19">
        <v>1998</v>
      </c>
      <c r="B575" s="15" t="s">
        <v>1241</v>
      </c>
      <c r="C575" s="3" t="s">
        <v>150</v>
      </c>
      <c r="D575" s="3" t="s">
        <v>1144</v>
      </c>
      <c r="E575" s="3" t="s">
        <v>1145</v>
      </c>
      <c r="F575" s="3" t="s">
        <v>42</v>
      </c>
      <c r="G575" s="11">
        <v>3</v>
      </c>
      <c r="H575" s="11">
        <v>2</v>
      </c>
      <c r="I575" s="3" t="s">
        <v>849</v>
      </c>
      <c r="J575" s="3" t="s">
        <v>1842</v>
      </c>
      <c r="K575" s="3">
        <v>35500</v>
      </c>
      <c r="L575" s="11">
        <v>2</v>
      </c>
      <c r="M575" s="11">
        <v>1</v>
      </c>
      <c r="N575" s="3" t="s">
        <v>1195</v>
      </c>
      <c r="O575" s="3" t="s">
        <v>1122</v>
      </c>
      <c r="P575" s="3" t="s">
        <v>1121</v>
      </c>
      <c r="Q575" s="11">
        <v>1025</v>
      </c>
      <c r="R575" s="11">
        <v>8782</v>
      </c>
      <c r="S575" s="3" t="s">
        <v>47</v>
      </c>
      <c r="T575" s="4" t="s">
        <v>853</v>
      </c>
      <c r="U575" s="11">
        <f>World_Cup_Matches[[#This Row],[Home Team Goals]]+World_Cup_Matches[[#This Row],[Away Team Goals]]</f>
        <v>5</v>
      </c>
      <c r="V575" s="11">
        <f>World_Cup_Matches[[#This Row],[Home Team Goals]]-World_Cup_Matches[[#This Row],[Away Team Goals]]</f>
        <v>1</v>
      </c>
      <c r="W575" s="4" t="str">
        <f>IF(World_Cup_Matches[[#This Row],[Home Team Goals]]&gt;World_Cup_Matches[[#This Row],[Away Team Goals]],World_Cup_Matches[[#This Row],[Home Team Name]],IF(World_Cup_Matches[[#This Row],[Away Team Goals]]&gt;World_Cup_Matches[[#This Row],[Home Team Goals]], World_Cup_Matches[[#This Row],[Away Team Name]],"Draw"))</f>
        <v>Brazil</v>
      </c>
      <c r="X575" s="4" t="str">
        <f>IF(World_Cup_Matches[[#This Row],[Home Team Goals]]&gt;World_Cup_Matches[[#This Row],[Away Team Goals]],"Hime Win",IF(World_Cup_Matches[[#This Row],[Away Team Goals]]&gt;World_Cup_Matches[[#This Row],[Home Team Goals]],"Away win","Draw"))</f>
        <v>Hime Win</v>
      </c>
    </row>
    <row r="576" spans="1:24" x14ac:dyDescent="0.2">
      <c r="A576" s="19">
        <v>1998</v>
      </c>
      <c r="B576" s="15" t="s">
        <v>1242</v>
      </c>
      <c r="C576" s="3" t="s">
        <v>150</v>
      </c>
      <c r="D576" s="3" t="s">
        <v>181</v>
      </c>
      <c r="E576" s="3" t="s">
        <v>182</v>
      </c>
      <c r="F576" s="3" t="s">
        <v>109</v>
      </c>
      <c r="G576" s="11">
        <v>2</v>
      </c>
      <c r="H576" s="11">
        <v>1</v>
      </c>
      <c r="I576" s="3" t="s">
        <v>56</v>
      </c>
      <c r="J576" s="3" t="s">
        <v>1842</v>
      </c>
      <c r="K576" s="3">
        <v>55000</v>
      </c>
      <c r="L576" s="11">
        <v>1</v>
      </c>
      <c r="M576" s="11">
        <v>1</v>
      </c>
      <c r="N576" s="3" t="s">
        <v>1002</v>
      </c>
      <c r="O576" s="3" t="s">
        <v>1168</v>
      </c>
      <c r="P576" s="3" t="s">
        <v>1126</v>
      </c>
      <c r="Q576" s="11">
        <v>1025</v>
      </c>
      <c r="R576" s="11">
        <v>8784</v>
      </c>
      <c r="S576" s="3" t="s">
        <v>114</v>
      </c>
      <c r="T576" s="4" t="s">
        <v>59</v>
      </c>
      <c r="U576" s="11">
        <f>World_Cup_Matches[[#This Row],[Home Team Goals]]+World_Cup_Matches[[#This Row],[Away Team Goals]]</f>
        <v>3</v>
      </c>
      <c r="V576" s="11">
        <f>World_Cup_Matches[[#This Row],[Home Team Goals]]-World_Cup_Matches[[#This Row],[Away Team Goals]]</f>
        <v>1</v>
      </c>
      <c r="W576" s="4" t="str">
        <f>IF(World_Cup_Matches[[#This Row],[Home Team Goals]]&gt;World_Cup_Matches[[#This Row],[Away Team Goals]],World_Cup_Matches[[#This Row],[Home Team Name]],IF(World_Cup_Matches[[#This Row],[Away Team Goals]]&gt;World_Cup_Matches[[#This Row],[Home Team Goals]], World_Cup_Matches[[#This Row],[Away Team Name]],"Draw"))</f>
        <v>Netherlands</v>
      </c>
      <c r="X576" s="4" t="str">
        <f>IF(World_Cup_Matches[[#This Row],[Home Team Goals]]&gt;World_Cup_Matches[[#This Row],[Away Team Goals]],"Hime Win",IF(World_Cup_Matches[[#This Row],[Away Team Goals]]&gt;World_Cup_Matches[[#This Row],[Home Team Goals]],"Away win","Draw"))</f>
        <v>Hime Win</v>
      </c>
    </row>
    <row r="577" spans="1:24" x14ac:dyDescent="0.2">
      <c r="A577" s="19">
        <v>1998</v>
      </c>
      <c r="B577" s="15" t="s">
        <v>1243</v>
      </c>
      <c r="C577" s="3" t="s">
        <v>150</v>
      </c>
      <c r="D577" s="3" t="s">
        <v>1150</v>
      </c>
      <c r="E577" s="3" t="s">
        <v>1151</v>
      </c>
      <c r="F577" s="3" t="s">
        <v>124</v>
      </c>
      <c r="G577" s="11">
        <v>0</v>
      </c>
      <c r="H577" s="11">
        <v>3</v>
      </c>
      <c r="I577" s="3" t="s">
        <v>1172</v>
      </c>
      <c r="J577" s="3" t="s">
        <v>1842</v>
      </c>
      <c r="K577" s="3">
        <v>39100</v>
      </c>
      <c r="L577" s="11">
        <v>0</v>
      </c>
      <c r="M577" s="11">
        <v>1</v>
      </c>
      <c r="N577" s="3" t="s">
        <v>1215</v>
      </c>
      <c r="O577" s="3" t="s">
        <v>1186</v>
      </c>
      <c r="P577" s="3" t="s">
        <v>1162</v>
      </c>
      <c r="Q577" s="11">
        <v>1025</v>
      </c>
      <c r="R577" s="11">
        <v>8783</v>
      </c>
      <c r="S577" s="3" t="s">
        <v>128</v>
      </c>
      <c r="T577" s="4" t="s">
        <v>1177</v>
      </c>
      <c r="U577" s="11">
        <f>World_Cup_Matches[[#This Row],[Home Team Goals]]+World_Cup_Matches[[#This Row],[Away Team Goals]]</f>
        <v>3</v>
      </c>
      <c r="V577" s="11">
        <f>World_Cup_Matches[[#This Row],[Home Team Goals]]-World_Cup_Matches[[#This Row],[Away Team Goals]]</f>
        <v>-3</v>
      </c>
      <c r="W577" s="4" t="str">
        <f>IF(World_Cup_Matches[[#This Row],[Home Team Goals]]&gt;World_Cup_Matches[[#This Row],[Away Team Goals]],World_Cup_Matches[[#This Row],[Home Team Name]],IF(World_Cup_Matches[[#This Row],[Away Team Goals]]&gt;World_Cup_Matches[[#This Row],[Home Team Goals]], World_Cup_Matches[[#This Row],[Away Team Name]],"Draw"))</f>
        <v>Croatia</v>
      </c>
      <c r="X577" s="4" t="str">
        <f>IF(World_Cup_Matches[[#This Row],[Home Team Goals]]&gt;World_Cup_Matches[[#This Row],[Away Team Goals]],"Hime Win",IF(World_Cup_Matches[[#This Row],[Away Team Goals]]&gt;World_Cup_Matches[[#This Row],[Home Team Goals]],"Away win","Draw"))</f>
        <v>Away win</v>
      </c>
    </row>
    <row r="578" spans="1:24" x14ac:dyDescent="0.2">
      <c r="A578" s="19">
        <v>1998</v>
      </c>
      <c r="B578" s="15" t="s">
        <v>1244</v>
      </c>
      <c r="C578" s="3" t="s">
        <v>83</v>
      </c>
      <c r="D578" s="3" t="s">
        <v>181</v>
      </c>
      <c r="E578" s="3" t="s">
        <v>182</v>
      </c>
      <c r="F578" s="3" t="s">
        <v>42</v>
      </c>
      <c r="G578" s="11">
        <v>1</v>
      </c>
      <c r="H578" s="11">
        <v>1</v>
      </c>
      <c r="I578" s="3" t="s">
        <v>109</v>
      </c>
      <c r="J578" s="3" t="s">
        <v>1245</v>
      </c>
      <c r="K578" s="3">
        <v>54000</v>
      </c>
      <c r="L578" s="11">
        <v>0</v>
      </c>
      <c r="M578" s="11">
        <v>0</v>
      </c>
      <c r="N578" s="3" t="s">
        <v>1081</v>
      </c>
      <c r="O578" s="3" t="s">
        <v>1130</v>
      </c>
      <c r="P578" s="3" t="s">
        <v>1183</v>
      </c>
      <c r="Q578" s="11">
        <v>1026</v>
      </c>
      <c r="R578" s="11">
        <v>8785</v>
      </c>
      <c r="S578" s="3" t="s">
        <v>47</v>
      </c>
      <c r="T578" s="4" t="s">
        <v>114</v>
      </c>
      <c r="U578" s="11">
        <f>World_Cup_Matches[[#This Row],[Home Team Goals]]+World_Cup_Matches[[#This Row],[Away Team Goals]]</f>
        <v>2</v>
      </c>
      <c r="V578" s="11">
        <f>World_Cup_Matches[[#This Row],[Home Team Goals]]-World_Cup_Matches[[#This Row],[Away Team Goals]]</f>
        <v>0</v>
      </c>
      <c r="W578" s="4" t="str">
        <f>IF(World_Cup_Matches[[#This Row],[Home Team Goals]]&gt;World_Cup_Matches[[#This Row],[Away Team Goals]],World_Cup_Matches[[#This Row],[Home Team Name]],IF(World_Cup_Matches[[#This Row],[Away Team Goals]]&gt;World_Cup_Matches[[#This Row],[Home Team Goals]], World_Cup_Matches[[#This Row],[Away Team Name]],"Draw"))</f>
        <v>Draw</v>
      </c>
      <c r="X578" s="4" t="str">
        <f>IF(World_Cup_Matches[[#This Row],[Home Team Goals]]&gt;World_Cup_Matches[[#This Row],[Away Team Goals]],"Hime Win",IF(World_Cup_Matches[[#This Row],[Away Team Goals]]&gt;World_Cup_Matches[[#This Row],[Home Team Goals]],"Away win","Draw"))</f>
        <v>Draw</v>
      </c>
    </row>
    <row r="579" spans="1:24" x14ac:dyDescent="0.2">
      <c r="A579" s="19">
        <v>1998</v>
      </c>
      <c r="B579" s="15" t="s">
        <v>1246</v>
      </c>
      <c r="C579" s="3" t="s">
        <v>83</v>
      </c>
      <c r="D579" s="3" t="s">
        <v>1108</v>
      </c>
      <c r="E579" s="3" t="s">
        <v>1109</v>
      </c>
      <c r="F579" s="3" t="s">
        <v>24</v>
      </c>
      <c r="G579" s="11">
        <v>2</v>
      </c>
      <c r="H579" s="11">
        <v>1</v>
      </c>
      <c r="I579" s="3" t="s">
        <v>1172</v>
      </c>
      <c r="J579" s="3" t="s">
        <v>1842</v>
      </c>
      <c r="K579" s="3">
        <v>76000</v>
      </c>
      <c r="L579" s="11">
        <v>0</v>
      </c>
      <c r="M579" s="11">
        <v>0</v>
      </c>
      <c r="N579" s="3" t="s">
        <v>1110</v>
      </c>
      <c r="O579" s="3" t="s">
        <v>1111</v>
      </c>
      <c r="P579" s="3" t="s">
        <v>1136</v>
      </c>
      <c r="Q579" s="11">
        <v>1026</v>
      </c>
      <c r="R579" s="11">
        <v>8786</v>
      </c>
      <c r="S579" s="3" t="s">
        <v>29</v>
      </c>
      <c r="T579" s="4" t="s">
        <v>1177</v>
      </c>
      <c r="U579" s="11">
        <f>World_Cup_Matches[[#This Row],[Home Team Goals]]+World_Cup_Matches[[#This Row],[Away Team Goals]]</f>
        <v>3</v>
      </c>
      <c r="V579" s="11">
        <f>World_Cup_Matches[[#This Row],[Home Team Goals]]-World_Cup_Matches[[#This Row],[Away Team Goals]]</f>
        <v>1</v>
      </c>
      <c r="W579" s="4" t="str">
        <f>IF(World_Cup_Matches[[#This Row],[Home Team Goals]]&gt;World_Cup_Matches[[#This Row],[Away Team Goals]],World_Cup_Matches[[#This Row],[Home Team Name]],IF(World_Cup_Matches[[#This Row],[Away Team Goals]]&gt;World_Cup_Matches[[#This Row],[Home Team Goals]], World_Cup_Matches[[#This Row],[Away Team Name]],"Draw"))</f>
        <v>France</v>
      </c>
      <c r="X579" s="4" t="str">
        <f>IF(World_Cup_Matches[[#This Row],[Home Team Goals]]&gt;World_Cup_Matches[[#This Row],[Away Team Goals]],"Hime Win",IF(World_Cup_Matches[[#This Row],[Away Team Goals]]&gt;World_Cup_Matches[[#This Row],[Home Team Goals]],"Away win","Draw"))</f>
        <v>Hime Win</v>
      </c>
    </row>
    <row r="580" spans="1:24" x14ac:dyDescent="0.2">
      <c r="A580" s="19">
        <v>1998</v>
      </c>
      <c r="B580" s="15" t="s">
        <v>1247</v>
      </c>
      <c r="C580" s="3" t="s">
        <v>155</v>
      </c>
      <c r="D580" s="3" t="s">
        <v>160</v>
      </c>
      <c r="E580" s="3" t="s">
        <v>161</v>
      </c>
      <c r="F580" s="3" t="s">
        <v>109</v>
      </c>
      <c r="G580" s="11">
        <v>1</v>
      </c>
      <c r="H580" s="11">
        <v>2</v>
      </c>
      <c r="I580" s="3" t="s">
        <v>1172</v>
      </c>
      <c r="J580" s="3" t="s">
        <v>1842</v>
      </c>
      <c r="K580" s="3">
        <v>45500</v>
      </c>
      <c r="L580" s="11">
        <v>1</v>
      </c>
      <c r="M580" s="11">
        <v>2</v>
      </c>
      <c r="N580" s="3" t="s">
        <v>1124</v>
      </c>
      <c r="O580" s="3" t="s">
        <v>1158</v>
      </c>
      <c r="P580" s="3" t="s">
        <v>1153</v>
      </c>
      <c r="Q580" s="11">
        <v>1028</v>
      </c>
      <c r="R580" s="11">
        <v>8787</v>
      </c>
      <c r="S580" s="3" t="s">
        <v>114</v>
      </c>
      <c r="T580" s="4" t="s">
        <v>1177</v>
      </c>
      <c r="U580" s="11">
        <f>World_Cup_Matches[[#This Row],[Home Team Goals]]+World_Cup_Matches[[#This Row],[Away Team Goals]]</f>
        <v>3</v>
      </c>
      <c r="V580" s="11">
        <f>World_Cup_Matches[[#This Row],[Home Team Goals]]-World_Cup_Matches[[#This Row],[Away Team Goals]]</f>
        <v>-1</v>
      </c>
      <c r="W580" s="4" t="str">
        <f>IF(World_Cup_Matches[[#This Row],[Home Team Goals]]&gt;World_Cup_Matches[[#This Row],[Away Team Goals]],World_Cup_Matches[[#This Row],[Home Team Name]],IF(World_Cup_Matches[[#This Row],[Away Team Goals]]&gt;World_Cup_Matches[[#This Row],[Home Team Goals]], World_Cup_Matches[[#This Row],[Away Team Name]],"Draw"))</f>
        <v>Croatia</v>
      </c>
      <c r="X580" s="4" t="str">
        <f>IF(World_Cup_Matches[[#This Row],[Home Team Goals]]&gt;World_Cup_Matches[[#This Row],[Away Team Goals]],"Hime Win",IF(World_Cup_Matches[[#This Row],[Away Team Goals]]&gt;World_Cup_Matches[[#This Row],[Home Team Goals]],"Away win","Draw"))</f>
        <v>Away win</v>
      </c>
    </row>
    <row r="581" spans="1:24" x14ac:dyDescent="0.2">
      <c r="A581" s="19">
        <v>1998</v>
      </c>
      <c r="B581" s="15" t="s">
        <v>1248</v>
      </c>
      <c r="C581" s="3" t="s">
        <v>86</v>
      </c>
      <c r="D581" s="3" t="s">
        <v>1108</v>
      </c>
      <c r="E581" s="3" t="s">
        <v>1109</v>
      </c>
      <c r="F581" s="3" t="s">
        <v>42</v>
      </c>
      <c r="G581" s="11">
        <v>0</v>
      </c>
      <c r="H581" s="11">
        <v>3</v>
      </c>
      <c r="I581" s="3" t="s">
        <v>24</v>
      </c>
      <c r="J581" s="3" t="s">
        <v>1842</v>
      </c>
      <c r="K581" s="3">
        <v>80000</v>
      </c>
      <c r="L581" s="11">
        <v>0</v>
      </c>
      <c r="M581" s="11">
        <v>2</v>
      </c>
      <c r="N581" s="3" t="s">
        <v>1185</v>
      </c>
      <c r="O581" s="3" t="s">
        <v>1193</v>
      </c>
      <c r="P581" s="3" t="s">
        <v>1129</v>
      </c>
      <c r="Q581" s="11">
        <v>1027</v>
      </c>
      <c r="R581" s="11">
        <v>8788</v>
      </c>
      <c r="S581" s="3" t="s">
        <v>47</v>
      </c>
      <c r="T581" s="4" t="s">
        <v>29</v>
      </c>
      <c r="U581" s="11">
        <f>World_Cup_Matches[[#This Row],[Home Team Goals]]+World_Cup_Matches[[#This Row],[Away Team Goals]]</f>
        <v>3</v>
      </c>
      <c r="V581" s="11">
        <f>World_Cup_Matches[[#This Row],[Home Team Goals]]-World_Cup_Matches[[#This Row],[Away Team Goals]]</f>
        <v>-3</v>
      </c>
      <c r="W581" s="4" t="str">
        <f>IF(World_Cup_Matches[[#This Row],[Home Team Goals]]&gt;World_Cup_Matches[[#This Row],[Away Team Goals]],World_Cup_Matches[[#This Row],[Home Team Name]],IF(World_Cup_Matches[[#This Row],[Away Team Goals]]&gt;World_Cup_Matches[[#This Row],[Home Team Goals]], World_Cup_Matches[[#This Row],[Away Team Name]],"Draw"))</f>
        <v>France</v>
      </c>
      <c r="X581" s="4" t="str">
        <f>IF(World_Cup_Matches[[#This Row],[Home Team Goals]]&gt;World_Cup_Matches[[#This Row],[Away Team Goals]],"Hime Win",IF(World_Cup_Matches[[#This Row],[Away Team Goals]]&gt;World_Cup_Matches[[#This Row],[Home Team Goals]],"Away win","Draw"))</f>
        <v>Away win</v>
      </c>
    </row>
    <row r="582" spans="1:24" x14ac:dyDescent="0.2">
      <c r="A582" s="19">
        <v>2002</v>
      </c>
      <c r="B582" s="15" t="s">
        <v>1249</v>
      </c>
      <c r="C582" s="3" t="s">
        <v>609</v>
      </c>
      <c r="D582" s="3" t="s">
        <v>1250</v>
      </c>
      <c r="E582" s="3" t="s">
        <v>1251</v>
      </c>
      <c r="F582" s="3" t="s">
        <v>24</v>
      </c>
      <c r="G582" s="11">
        <v>0</v>
      </c>
      <c r="H582" s="11">
        <v>1</v>
      </c>
      <c r="I582" s="3" t="s">
        <v>1252</v>
      </c>
      <c r="J582" s="3" t="s">
        <v>1842</v>
      </c>
      <c r="K582" s="3">
        <v>62561</v>
      </c>
      <c r="L582" s="11">
        <v>0</v>
      </c>
      <c r="M582" s="11">
        <v>1</v>
      </c>
      <c r="N582" s="3" t="s">
        <v>1081</v>
      </c>
      <c r="O582" s="3" t="s">
        <v>1253</v>
      </c>
      <c r="P582" s="3" t="s">
        <v>1254</v>
      </c>
      <c r="Q582" s="11">
        <v>43950100</v>
      </c>
      <c r="R582" s="11">
        <v>43950001</v>
      </c>
      <c r="S582" s="3" t="s">
        <v>29</v>
      </c>
      <c r="T582" s="4" t="s">
        <v>1255</v>
      </c>
      <c r="U582" s="11">
        <f>World_Cup_Matches[[#This Row],[Home Team Goals]]+World_Cup_Matches[[#This Row],[Away Team Goals]]</f>
        <v>1</v>
      </c>
      <c r="V582" s="11">
        <f>World_Cup_Matches[[#This Row],[Home Team Goals]]-World_Cup_Matches[[#This Row],[Away Team Goals]]</f>
        <v>-1</v>
      </c>
      <c r="W582" s="4" t="str">
        <f>IF(World_Cup_Matches[[#This Row],[Home Team Goals]]&gt;World_Cup_Matches[[#This Row],[Away Team Goals]],World_Cup_Matches[[#This Row],[Home Team Name]],IF(World_Cup_Matches[[#This Row],[Away Team Goals]]&gt;World_Cup_Matches[[#This Row],[Home Team Goals]], World_Cup_Matches[[#This Row],[Away Team Name]],"Draw"))</f>
        <v>Senegal</v>
      </c>
      <c r="X582" s="4" t="str">
        <f>IF(World_Cup_Matches[[#This Row],[Home Team Goals]]&gt;World_Cup_Matches[[#This Row],[Away Team Goals]],"Hime Win",IF(World_Cup_Matches[[#This Row],[Away Team Goals]]&gt;World_Cup_Matches[[#This Row],[Home Team Goals]],"Away win","Draw"))</f>
        <v>Away win</v>
      </c>
    </row>
    <row r="583" spans="1:24" x14ac:dyDescent="0.2">
      <c r="A583" s="19">
        <v>2002</v>
      </c>
      <c r="B583" s="15" t="s">
        <v>1256</v>
      </c>
      <c r="C583" s="3" t="s">
        <v>609</v>
      </c>
      <c r="D583" s="3" t="s">
        <v>1257</v>
      </c>
      <c r="E583" s="3" t="s">
        <v>1258</v>
      </c>
      <c r="F583" s="3" t="s">
        <v>72</v>
      </c>
      <c r="G583" s="11">
        <v>1</v>
      </c>
      <c r="H583" s="11">
        <v>2</v>
      </c>
      <c r="I583" s="3" t="s">
        <v>849</v>
      </c>
      <c r="J583" s="3" t="s">
        <v>1842</v>
      </c>
      <c r="K583" s="3">
        <v>30157</v>
      </c>
      <c r="L583" s="11">
        <v>0</v>
      </c>
      <c r="M583" s="11">
        <v>1</v>
      </c>
      <c r="N583" s="3" t="s">
        <v>1259</v>
      </c>
      <c r="O583" s="3" t="s">
        <v>1260</v>
      </c>
      <c r="P583" s="3" t="s">
        <v>1121</v>
      </c>
      <c r="Q583" s="11">
        <v>43950100</v>
      </c>
      <c r="R583" s="11">
        <v>43950003</v>
      </c>
      <c r="S583" s="3" t="s">
        <v>73</v>
      </c>
      <c r="T583" s="4" t="s">
        <v>853</v>
      </c>
      <c r="U583" s="11">
        <f>World_Cup_Matches[[#This Row],[Home Team Goals]]+World_Cup_Matches[[#This Row],[Away Team Goals]]</f>
        <v>3</v>
      </c>
      <c r="V583" s="11">
        <f>World_Cup_Matches[[#This Row],[Home Team Goals]]-World_Cup_Matches[[#This Row],[Away Team Goals]]</f>
        <v>-1</v>
      </c>
      <c r="W583" s="4" t="str">
        <f>IF(World_Cup_Matches[[#This Row],[Home Team Goals]]&gt;World_Cup_Matches[[#This Row],[Away Team Goals]],World_Cup_Matches[[#This Row],[Home Team Name]],IF(World_Cup_Matches[[#This Row],[Away Team Goals]]&gt;World_Cup_Matches[[#This Row],[Home Team Goals]], World_Cup_Matches[[#This Row],[Away Team Name]],"Draw"))</f>
        <v>Denmark</v>
      </c>
      <c r="X583" s="4" t="str">
        <f>IF(World_Cup_Matches[[#This Row],[Home Team Goals]]&gt;World_Cup_Matches[[#This Row],[Away Team Goals]],"Hime Win",IF(World_Cup_Matches[[#This Row],[Away Team Goals]]&gt;World_Cup_Matches[[#This Row],[Home Team Goals]],"Away win","Draw"))</f>
        <v>Away win</v>
      </c>
    </row>
    <row r="584" spans="1:24" x14ac:dyDescent="0.2">
      <c r="A584" s="19">
        <v>2002</v>
      </c>
      <c r="B584" s="15" t="s">
        <v>1261</v>
      </c>
      <c r="C584" s="3" t="s">
        <v>846</v>
      </c>
      <c r="D584" s="3" t="s">
        <v>1262</v>
      </c>
      <c r="E584" s="3" t="s">
        <v>1263</v>
      </c>
      <c r="F584" s="3" t="s">
        <v>933</v>
      </c>
      <c r="G584" s="11">
        <v>1</v>
      </c>
      <c r="H584" s="11">
        <v>1</v>
      </c>
      <c r="I584" s="3" t="s">
        <v>700</v>
      </c>
      <c r="J584" s="3" t="s">
        <v>1842</v>
      </c>
      <c r="K584" s="3">
        <v>33679</v>
      </c>
      <c r="L584" s="11">
        <v>0</v>
      </c>
      <c r="M584" s="11">
        <v>1</v>
      </c>
      <c r="N584" s="3" t="s">
        <v>1264</v>
      </c>
      <c r="O584" s="3" t="s">
        <v>1265</v>
      </c>
      <c r="P584" s="3" t="s">
        <v>1266</v>
      </c>
      <c r="Q584" s="11">
        <v>43950100</v>
      </c>
      <c r="R584" s="11">
        <v>43950002</v>
      </c>
      <c r="S584" s="3" t="s">
        <v>934</v>
      </c>
      <c r="T584" s="4" t="s">
        <v>702</v>
      </c>
      <c r="U584" s="11">
        <f>World_Cup_Matches[[#This Row],[Home Team Goals]]+World_Cup_Matches[[#This Row],[Away Team Goals]]</f>
        <v>2</v>
      </c>
      <c r="V584" s="11">
        <f>World_Cup_Matches[[#This Row],[Home Team Goals]]-World_Cup_Matches[[#This Row],[Away Team Goals]]</f>
        <v>0</v>
      </c>
      <c r="W584" s="4" t="str">
        <f>IF(World_Cup_Matches[[#This Row],[Home Team Goals]]&gt;World_Cup_Matches[[#This Row],[Away Team Goals]],World_Cup_Matches[[#This Row],[Home Team Name]],IF(World_Cup_Matches[[#This Row],[Away Team Goals]]&gt;World_Cup_Matches[[#This Row],[Home Team Goals]], World_Cup_Matches[[#This Row],[Away Team Name]],"Draw"))</f>
        <v>Draw</v>
      </c>
      <c r="X584" s="4" t="str">
        <f>IF(World_Cup_Matches[[#This Row],[Home Team Goals]]&gt;World_Cup_Matches[[#This Row],[Away Team Goals]],"Hime Win",IF(World_Cup_Matches[[#This Row],[Away Team Goals]]&gt;World_Cup_Matches[[#This Row],[Home Team Goals]],"Away win","Draw"))</f>
        <v>Draw</v>
      </c>
    </row>
    <row r="585" spans="1:24" x14ac:dyDescent="0.2">
      <c r="A585" s="19">
        <v>2002</v>
      </c>
      <c r="B585" s="15" t="s">
        <v>1267</v>
      </c>
      <c r="C585" s="3" t="s">
        <v>846</v>
      </c>
      <c r="D585" s="3" t="s">
        <v>1268</v>
      </c>
      <c r="E585" s="3" t="s">
        <v>1269</v>
      </c>
      <c r="F585" s="3" t="s">
        <v>124</v>
      </c>
      <c r="G585" s="11">
        <v>8</v>
      </c>
      <c r="H585" s="11">
        <v>0</v>
      </c>
      <c r="I585" s="3" t="s">
        <v>1037</v>
      </c>
      <c r="J585" s="3" t="s">
        <v>1842</v>
      </c>
      <c r="K585" s="3">
        <v>32218</v>
      </c>
      <c r="L585" s="11">
        <v>4</v>
      </c>
      <c r="M585" s="11">
        <v>0</v>
      </c>
      <c r="N585" s="3" t="s">
        <v>1270</v>
      </c>
      <c r="O585" s="3" t="s">
        <v>1271</v>
      </c>
      <c r="P585" s="3" t="s">
        <v>1272</v>
      </c>
      <c r="Q585" s="11">
        <v>43950100</v>
      </c>
      <c r="R585" s="11">
        <v>43950004</v>
      </c>
      <c r="S585" s="3" t="s">
        <v>128</v>
      </c>
      <c r="T585" s="4" t="s">
        <v>1039</v>
      </c>
      <c r="U585" s="11">
        <f>World_Cup_Matches[[#This Row],[Home Team Goals]]+World_Cup_Matches[[#This Row],[Away Team Goals]]</f>
        <v>8</v>
      </c>
      <c r="V585" s="11">
        <f>World_Cup_Matches[[#This Row],[Home Team Goals]]-World_Cup_Matches[[#This Row],[Away Team Goals]]</f>
        <v>8</v>
      </c>
      <c r="W585" s="4" t="str">
        <f>IF(World_Cup_Matches[[#This Row],[Home Team Goals]]&gt;World_Cup_Matches[[#This Row],[Away Team Goals]],World_Cup_Matches[[#This Row],[Home Team Name]],IF(World_Cup_Matches[[#This Row],[Away Team Goals]]&gt;World_Cup_Matches[[#This Row],[Home Team Goals]], World_Cup_Matches[[#This Row],[Away Team Name]],"Draw"))</f>
        <v>Germany</v>
      </c>
      <c r="X585" s="4" t="str">
        <f>IF(World_Cup_Matches[[#This Row],[Home Team Goals]]&gt;World_Cup_Matches[[#This Row],[Away Team Goals]],"Hime Win",IF(World_Cup_Matches[[#This Row],[Away Team Goals]]&gt;World_Cup_Matches[[#This Row],[Home Team Goals]],"Away win","Draw"))</f>
        <v>Hime Win</v>
      </c>
    </row>
    <row r="586" spans="1:24" x14ac:dyDescent="0.2">
      <c r="A586" s="19">
        <v>2002</v>
      </c>
      <c r="B586" s="15" t="s">
        <v>1273</v>
      </c>
      <c r="C586" s="3" t="s">
        <v>824</v>
      </c>
      <c r="D586" s="3" t="s">
        <v>1274</v>
      </c>
      <c r="E586" s="3" t="s">
        <v>1275</v>
      </c>
      <c r="F586" s="3" t="s">
        <v>56</v>
      </c>
      <c r="G586" s="11">
        <v>1</v>
      </c>
      <c r="H586" s="11">
        <v>0</v>
      </c>
      <c r="I586" s="3" t="s">
        <v>1055</v>
      </c>
      <c r="J586" s="3" t="s">
        <v>1842</v>
      </c>
      <c r="K586" s="3">
        <v>34050</v>
      </c>
      <c r="L586" s="11">
        <v>0</v>
      </c>
      <c r="M586" s="11">
        <v>0</v>
      </c>
      <c r="N586" s="3" t="s">
        <v>1276</v>
      </c>
      <c r="O586" s="3" t="s">
        <v>1277</v>
      </c>
      <c r="P586" s="3" t="s">
        <v>1278</v>
      </c>
      <c r="Q586" s="11">
        <v>43950100</v>
      </c>
      <c r="R586" s="11">
        <v>43950007</v>
      </c>
      <c r="S586" s="3" t="s">
        <v>59</v>
      </c>
      <c r="T586" s="4" t="s">
        <v>1057</v>
      </c>
      <c r="U586" s="11">
        <f>World_Cup_Matches[[#This Row],[Home Team Goals]]+World_Cup_Matches[[#This Row],[Away Team Goals]]</f>
        <v>1</v>
      </c>
      <c r="V586" s="11">
        <f>World_Cup_Matches[[#This Row],[Home Team Goals]]-World_Cup_Matches[[#This Row],[Away Team Goals]]</f>
        <v>1</v>
      </c>
      <c r="W586" s="4" t="str">
        <f>IF(World_Cup_Matches[[#This Row],[Home Team Goals]]&gt;World_Cup_Matches[[#This Row],[Away Team Goals]],World_Cup_Matches[[#This Row],[Home Team Name]],IF(World_Cup_Matches[[#This Row],[Away Team Goals]]&gt;World_Cup_Matches[[#This Row],[Home Team Goals]], World_Cup_Matches[[#This Row],[Away Team Name]],"Draw"))</f>
        <v>Argentina</v>
      </c>
      <c r="X586" s="4" t="str">
        <f>IF(World_Cup_Matches[[#This Row],[Home Team Goals]]&gt;World_Cup_Matches[[#This Row],[Away Team Goals]],"Hime Win",IF(World_Cup_Matches[[#This Row],[Away Team Goals]]&gt;World_Cup_Matches[[#This Row],[Home Team Goals]],"Away win","Draw"))</f>
        <v>Hime Win</v>
      </c>
    </row>
    <row r="587" spans="1:24" x14ac:dyDescent="0.2">
      <c r="A587" s="19">
        <v>2002</v>
      </c>
      <c r="B587" s="15" t="s">
        <v>1279</v>
      </c>
      <c r="C587" s="3" t="s">
        <v>607</v>
      </c>
      <c r="D587" s="3" t="s">
        <v>1280</v>
      </c>
      <c r="E587" s="3" t="s">
        <v>1281</v>
      </c>
      <c r="F587" s="3" t="s">
        <v>68</v>
      </c>
      <c r="G587" s="11">
        <v>2</v>
      </c>
      <c r="H587" s="11">
        <v>2</v>
      </c>
      <c r="I587" s="3" t="s">
        <v>1138</v>
      </c>
      <c r="J587" s="3" t="s">
        <v>1842</v>
      </c>
      <c r="K587" s="3">
        <v>25186</v>
      </c>
      <c r="L587" s="11">
        <v>1</v>
      </c>
      <c r="M587" s="11">
        <v>0</v>
      </c>
      <c r="N587" s="3" t="s">
        <v>1282</v>
      </c>
      <c r="O587" s="3" t="s">
        <v>1283</v>
      </c>
      <c r="P587" s="3" t="s">
        <v>1284</v>
      </c>
      <c r="Q587" s="11">
        <v>43950100</v>
      </c>
      <c r="R587" s="11">
        <v>43950006</v>
      </c>
      <c r="S587" s="3" t="s">
        <v>69</v>
      </c>
      <c r="T587" s="4" t="s">
        <v>1142</v>
      </c>
      <c r="U587" s="11">
        <f>World_Cup_Matches[[#This Row],[Home Team Goals]]+World_Cup_Matches[[#This Row],[Away Team Goals]]</f>
        <v>4</v>
      </c>
      <c r="V587" s="11">
        <f>World_Cup_Matches[[#This Row],[Home Team Goals]]-World_Cup_Matches[[#This Row],[Away Team Goals]]</f>
        <v>0</v>
      </c>
      <c r="W587" s="4" t="str">
        <f>IF(World_Cup_Matches[[#This Row],[Home Team Goals]]&gt;World_Cup_Matches[[#This Row],[Away Team Goals]],World_Cup_Matches[[#This Row],[Home Team Name]],IF(World_Cup_Matches[[#This Row],[Away Team Goals]]&gt;World_Cup_Matches[[#This Row],[Home Team Goals]], World_Cup_Matches[[#This Row],[Away Team Name]],"Draw"))</f>
        <v>Draw</v>
      </c>
      <c r="X587" s="4" t="str">
        <f>IF(World_Cup_Matches[[#This Row],[Home Team Goals]]&gt;World_Cup_Matches[[#This Row],[Away Team Goals]],"Hime Win",IF(World_Cup_Matches[[#This Row],[Away Team Goals]]&gt;World_Cup_Matches[[#This Row],[Home Team Goals]],"Away win","Draw"))</f>
        <v>Draw</v>
      </c>
    </row>
    <row r="588" spans="1:24" x14ac:dyDescent="0.2">
      <c r="A588" s="19">
        <v>2002</v>
      </c>
      <c r="B588" s="15" t="s">
        <v>1285</v>
      </c>
      <c r="C588" s="3" t="s">
        <v>824</v>
      </c>
      <c r="D588" s="3" t="s">
        <v>1286</v>
      </c>
      <c r="E588" s="3" t="s">
        <v>1287</v>
      </c>
      <c r="F588" s="3" t="s">
        <v>223</v>
      </c>
      <c r="G588" s="11">
        <v>1</v>
      </c>
      <c r="H588" s="11">
        <v>1</v>
      </c>
      <c r="I588" s="3" t="s">
        <v>117</v>
      </c>
      <c r="J588" s="3" t="s">
        <v>1842</v>
      </c>
      <c r="K588" s="3">
        <v>52721</v>
      </c>
      <c r="L588" s="11">
        <v>1</v>
      </c>
      <c r="M588" s="11">
        <v>0</v>
      </c>
      <c r="N588" s="3" t="s">
        <v>1288</v>
      </c>
      <c r="O588" s="3" t="s">
        <v>1289</v>
      </c>
      <c r="P588" s="3" t="s">
        <v>1148</v>
      </c>
      <c r="Q588" s="11">
        <v>43950100</v>
      </c>
      <c r="R588" s="11">
        <v>43950005</v>
      </c>
      <c r="S588" s="3" t="s">
        <v>227</v>
      </c>
      <c r="T588" s="4" t="s">
        <v>121</v>
      </c>
      <c r="U588" s="11">
        <f>World_Cup_Matches[[#This Row],[Home Team Goals]]+World_Cup_Matches[[#This Row],[Away Team Goals]]</f>
        <v>2</v>
      </c>
      <c r="V588" s="11">
        <f>World_Cup_Matches[[#This Row],[Home Team Goals]]-World_Cup_Matches[[#This Row],[Away Team Goals]]</f>
        <v>0</v>
      </c>
      <c r="W588" s="4" t="str">
        <f>IF(World_Cup_Matches[[#This Row],[Home Team Goals]]&gt;World_Cup_Matches[[#This Row],[Away Team Goals]],World_Cup_Matches[[#This Row],[Home Team Name]],IF(World_Cup_Matches[[#This Row],[Away Team Goals]]&gt;World_Cup_Matches[[#This Row],[Home Team Goals]], World_Cup_Matches[[#This Row],[Away Team Name]],"Draw"))</f>
        <v>Draw</v>
      </c>
      <c r="X588" s="4" t="str">
        <f>IF(World_Cup_Matches[[#This Row],[Home Team Goals]]&gt;World_Cup_Matches[[#This Row],[Away Team Goals]],"Hime Win",IF(World_Cup_Matches[[#This Row],[Away Team Goals]]&gt;World_Cup_Matches[[#This Row],[Home Team Goals]],"Away win","Draw"))</f>
        <v>Draw</v>
      </c>
    </row>
    <row r="589" spans="1:24" x14ac:dyDescent="0.2">
      <c r="A589" s="19">
        <v>2002</v>
      </c>
      <c r="B589" s="15" t="s">
        <v>1290</v>
      </c>
      <c r="C589" s="3" t="s">
        <v>607</v>
      </c>
      <c r="D589" s="3" t="s">
        <v>1291</v>
      </c>
      <c r="E589" s="3" t="s">
        <v>1292</v>
      </c>
      <c r="F589" s="3" t="s">
        <v>131</v>
      </c>
      <c r="G589" s="11">
        <v>3</v>
      </c>
      <c r="H589" s="11">
        <v>1</v>
      </c>
      <c r="I589" s="3" t="s">
        <v>1293</v>
      </c>
      <c r="J589" s="3" t="s">
        <v>1842</v>
      </c>
      <c r="K589" s="3">
        <v>28598</v>
      </c>
      <c r="L589" s="11">
        <v>1</v>
      </c>
      <c r="M589" s="11">
        <v>0</v>
      </c>
      <c r="N589" s="3" t="s">
        <v>1294</v>
      </c>
      <c r="O589" s="3" t="s">
        <v>1295</v>
      </c>
      <c r="P589" s="3" t="s">
        <v>1296</v>
      </c>
      <c r="Q589" s="11">
        <v>43950100</v>
      </c>
      <c r="R589" s="11">
        <v>43950008</v>
      </c>
      <c r="S589" s="3" t="s">
        <v>135</v>
      </c>
      <c r="T589" s="4" t="s">
        <v>1297</v>
      </c>
      <c r="U589" s="11">
        <f>World_Cup_Matches[[#This Row],[Home Team Goals]]+World_Cup_Matches[[#This Row],[Away Team Goals]]</f>
        <v>4</v>
      </c>
      <c r="V589" s="11">
        <f>World_Cup_Matches[[#This Row],[Home Team Goals]]-World_Cup_Matches[[#This Row],[Away Team Goals]]</f>
        <v>2</v>
      </c>
      <c r="W589" s="4" t="str">
        <f>IF(World_Cup_Matches[[#This Row],[Home Team Goals]]&gt;World_Cup_Matches[[#This Row],[Away Team Goals]],World_Cup_Matches[[#This Row],[Home Team Name]],IF(World_Cup_Matches[[#This Row],[Away Team Goals]]&gt;World_Cup_Matches[[#This Row],[Home Team Goals]], World_Cup_Matches[[#This Row],[Away Team Name]],"Draw"))</f>
        <v>Spain</v>
      </c>
      <c r="X589" s="4" t="str">
        <f>IF(World_Cup_Matches[[#This Row],[Home Team Goals]]&gt;World_Cup_Matches[[#This Row],[Away Team Goals]],"Hime Win",IF(World_Cup_Matches[[#This Row],[Away Team Goals]]&gt;World_Cup_Matches[[#This Row],[Home Team Goals]],"Away win","Draw"))</f>
        <v>Hime Win</v>
      </c>
    </row>
    <row r="590" spans="1:24" x14ac:dyDescent="0.2">
      <c r="A590" s="19">
        <v>2002</v>
      </c>
      <c r="B590" s="15" t="s">
        <v>1298</v>
      </c>
      <c r="C590" s="3" t="s">
        <v>805</v>
      </c>
      <c r="D590" s="3" t="s">
        <v>1257</v>
      </c>
      <c r="E590" s="3" t="s">
        <v>1258</v>
      </c>
      <c r="F590" s="3" t="s">
        <v>42</v>
      </c>
      <c r="G590" s="11">
        <v>2</v>
      </c>
      <c r="H590" s="11">
        <v>1</v>
      </c>
      <c r="I590" s="3" t="s">
        <v>286</v>
      </c>
      <c r="J590" s="3" t="s">
        <v>1842</v>
      </c>
      <c r="K590" s="3">
        <v>33842</v>
      </c>
      <c r="L590" s="11">
        <v>0</v>
      </c>
      <c r="M590" s="11">
        <v>1</v>
      </c>
      <c r="N590" s="3" t="s">
        <v>1299</v>
      </c>
      <c r="O590" s="3" t="s">
        <v>1300</v>
      </c>
      <c r="P590" s="3" t="s">
        <v>1301</v>
      </c>
      <c r="Q590" s="11">
        <v>43950100</v>
      </c>
      <c r="R590" s="11">
        <v>43950010</v>
      </c>
      <c r="S590" s="3" t="s">
        <v>47</v>
      </c>
      <c r="T590" s="4" t="s">
        <v>290</v>
      </c>
      <c r="U590" s="11">
        <f>World_Cup_Matches[[#This Row],[Home Team Goals]]+World_Cup_Matches[[#This Row],[Away Team Goals]]</f>
        <v>3</v>
      </c>
      <c r="V590" s="11">
        <f>World_Cup_Matches[[#This Row],[Home Team Goals]]-World_Cup_Matches[[#This Row],[Away Team Goals]]</f>
        <v>1</v>
      </c>
      <c r="W590" s="4" t="str">
        <f>IF(World_Cup_Matches[[#This Row],[Home Team Goals]]&gt;World_Cup_Matches[[#This Row],[Away Team Goals]],World_Cup_Matches[[#This Row],[Home Team Name]],IF(World_Cup_Matches[[#This Row],[Away Team Goals]]&gt;World_Cup_Matches[[#This Row],[Home Team Goals]], World_Cup_Matches[[#This Row],[Away Team Name]],"Draw"))</f>
        <v>Brazil</v>
      </c>
      <c r="X590" s="4" t="str">
        <f>IF(World_Cup_Matches[[#This Row],[Home Team Goals]]&gt;World_Cup_Matches[[#This Row],[Away Team Goals]],"Hime Win",IF(World_Cup_Matches[[#This Row],[Away Team Goals]]&gt;World_Cup_Matches[[#This Row],[Home Team Goals]],"Away win","Draw"))</f>
        <v>Hime Win</v>
      </c>
    </row>
    <row r="591" spans="1:24" x14ac:dyDescent="0.2">
      <c r="A591" s="19">
        <v>2002</v>
      </c>
      <c r="B591" s="15" t="s">
        <v>1302</v>
      </c>
      <c r="C591" s="3" t="s">
        <v>1179</v>
      </c>
      <c r="D591" s="3" t="s">
        <v>1268</v>
      </c>
      <c r="E591" s="3" t="s">
        <v>1269</v>
      </c>
      <c r="F591" s="3" t="s">
        <v>138</v>
      </c>
      <c r="G591" s="11">
        <v>2</v>
      </c>
      <c r="H591" s="11">
        <v>0</v>
      </c>
      <c r="I591" s="3" t="s">
        <v>1303</v>
      </c>
      <c r="J591" s="3" t="s">
        <v>1842</v>
      </c>
      <c r="K591" s="3">
        <v>31081</v>
      </c>
      <c r="L591" s="11">
        <v>2</v>
      </c>
      <c r="M591" s="11">
        <v>0</v>
      </c>
      <c r="N591" s="3" t="s">
        <v>1304</v>
      </c>
      <c r="O591" s="3" t="s">
        <v>1305</v>
      </c>
      <c r="P591" s="3" t="s">
        <v>1306</v>
      </c>
      <c r="Q591" s="11">
        <v>43950100</v>
      </c>
      <c r="R591" s="11">
        <v>43950011</v>
      </c>
      <c r="S591" s="3" t="s">
        <v>142</v>
      </c>
      <c r="T591" s="4" t="s">
        <v>1307</v>
      </c>
      <c r="U591" s="11">
        <f>World_Cup_Matches[[#This Row],[Home Team Goals]]+World_Cup_Matches[[#This Row],[Away Team Goals]]</f>
        <v>2</v>
      </c>
      <c r="V591" s="11">
        <f>World_Cup_Matches[[#This Row],[Home Team Goals]]-World_Cup_Matches[[#This Row],[Away Team Goals]]</f>
        <v>2</v>
      </c>
      <c r="W591" s="4" t="str">
        <f>IF(World_Cup_Matches[[#This Row],[Home Team Goals]]&gt;World_Cup_Matches[[#This Row],[Away Team Goals]],World_Cup_Matches[[#This Row],[Home Team Name]],IF(World_Cup_Matches[[#This Row],[Away Team Goals]]&gt;World_Cup_Matches[[#This Row],[Home Team Goals]], World_Cup_Matches[[#This Row],[Away Team Name]],"Draw"))</f>
        <v>Italy</v>
      </c>
      <c r="X591" s="4" t="str">
        <f>IF(World_Cup_Matches[[#This Row],[Home Team Goals]]&gt;World_Cup_Matches[[#This Row],[Away Team Goals]],"Hime Win",IF(World_Cup_Matches[[#This Row],[Away Team Goals]]&gt;World_Cup_Matches[[#This Row],[Home Team Goals]],"Away win","Draw"))</f>
        <v>Hime Win</v>
      </c>
    </row>
    <row r="592" spans="1:24" x14ac:dyDescent="0.2">
      <c r="A592" s="19">
        <v>2002</v>
      </c>
      <c r="B592" s="15" t="s">
        <v>1308</v>
      </c>
      <c r="C592" s="3" t="s">
        <v>1179</v>
      </c>
      <c r="D592" s="3" t="s">
        <v>1262</v>
      </c>
      <c r="E592" s="3" t="s">
        <v>1263</v>
      </c>
      <c r="F592" s="3" t="s">
        <v>1172</v>
      </c>
      <c r="G592" s="11">
        <v>0</v>
      </c>
      <c r="H592" s="11">
        <v>1</v>
      </c>
      <c r="I592" s="3" t="s">
        <v>25</v>
      </c>
      <c r="J592" s="3" t="s">
        <v>1842</v>
      </c>
      <c r="K592" s="3">
        <v>32239</v>
      </c>
      <c r="L592" s="11">
        <v>0</v>
      </c>
      <c r="M592" s="11">
        <v>0</v>
      </c>
      <c r="N592" s="3" t="s">
        <v>1309</v>
      </c>
      <c r="O592" s="3" t="s">
        <v>1310</v>
      </c>
      <c r="P592" s="3" t="s">
        <v>1311</v>
      </c>
      <c r="Q592" s="11">
        <v>43950100</v>
      </c>
      <c r="R592" s="11">
        <v>43950009</v>
      </c>
      <c r="S592" s="3" t="s">
        <v>1177</v>
      </c>
      <c r="T592" s="4" t="s">
        <v>30</v>
      </c>
      <c r="U592" s="11">
        <f>World_Cup_Matches[[#This Row],[Home Team Goals]]+World_Cup_Matches[[#This Row],[Away Team Goals]]</f>
        <v>1</v>
      </c>
      <c r="V592" s="11">
        <f>World_Cup_Matches[[#This Row],[Home Team Goals]]-World_Cup_Matches[[#This Row],[Away Team Goals]]</f>
        <v>-1</v>
      </c>
      <c r="W592" s="4" t="str">
        <f>IF(World_Cup_Matches[[#This Row],[Home Team Goals]]&gt;World_Cup_Matches[[#This Row],[Away Team Goals]],World_Cup_Matches[[#This Row],[Home Team Name]],IF(World_Cup_Matches[[#This Row],[Away Team Goals]]&gt;World_Cup_Matches[[#This Row],[Home Team Goals]], World_Cup_Matches[[#This Row],[Away Team Name]],"Draw"))</f>
        <v>Mexico</v>
      </c>
      <c r="X592" s="4" t="str">
        <f>IF(World_Cup_Matches[[#This Row],[Home Team Goals]]&gt;World_Cup_Matches[[#This Row],[Away Team Goals]],"Hime Win",IF(World_Cup_Matches[[#This Row],[Away Team Goals]]&gt;World_Cup_Matches[[#This Row],[Home Team Goals]],"Away win","Draw"))</f>
        <v>Away win</v>
      </c>
    </row>
    <row r="593" spans="1:24" x14ac:dyDescent="0.2">
      <c r="A593" s="19">
        <v>2002</v>
      </c>
      <c r="B593" s="15" t="s">
        <v>1312</v>
      </c>
      <c r="C593" s="3" t="s">
        <v>805</v>
      </c>
      <c r="D593" s="3" t="s">
        <v>1291</v>
      </c>
      <c r="E593" s="3" t="s">
        <v>1292</v>
      </c>
      <c r="F593" s="3" t="s">
        <v>1313</v>
      </c>
      <c r="G593" s="11">
        <v>0</v>
      </c>
      <c r="H593" s="11">
        <v>2</v>
      </c>
      <c r="I593" s="3" t="s">
        <v>925</v>
      </c>
      <c r="J593" s="3" t="s">
        <v>1842</v>
      </c>
      <c r="K593" s="3">
        <v>27217</v>
      </c>
      <c r="L593" s="11">
        <v>0</v>
      </c>
      <c r="M593" s="11">
        <v>0</v>
      </c>
      <c r="N593" s="3" t="s">
        <v>1314</v>
      </c>
      <c r="O593" s="3" t="s">
        <v>1315</v>
      </c>
      <c r="P593" s="3" t="s">
        <v>1316</v>
      </c>
      <c r="Q593" s="11">
        <v>43950100</v>
      </c>
      <c r="R593" s="11">
        <v>43950012</v>
      </c>
      <c r="S593" s="3" t="s">
        <v>1317</v>
      </c>
      <c r="T593" s="4" t="s">
        <v>929</v>
      </c>
      <c r="U593" s="11">
        <f>World_Cup_Matches[[#This Row],[Home Team Goals]]+World_Cup_Matches[[#This Row],[Away Team Goals]]</f>
        <v>2</v>
      </c>
      <c r="V593" s="11">
        <f>World_Cup_Matches[[#This Row],[Home Team Goals]]-World_Cup_Matches[[#This Row],[Away Team Goals]]</f>
        <v>-2</v>
      </c>
      <c r="W593" s="4" t="str">
        <f>IF(World_Cup_Matches[[#This Row],[Home Team Goals]]&gt;World_Cup_Matches[[#This Row],[Away Team Goals]],World_Cup_Matches[[#This Row],[Home Team Name]],IF(World_Cup_Matches[[#This Row],[Away Team Goals]]&gt;World_Cup_Matches[[#This Row],[Home Team Goals]], World_Cup_Matches[[#This Row],[Away Team Name]],"Draw"))</f>
        <v>Costa Rica</v>
      </c>
      <c r="X593" s="4" t="str">
        <f>IF(World_Cup_Matches[[#This Row],[Home Team Goals]]&gt;World_Cup_Matches[[#This Row],[Away Team Goals]],"Hime Win",IF(World_Cup_Matches[[#This Row],[Away Team Goals]]&gt;World_Cup_Matches[[#This Row],[Home Team Goals]],"Away win","Draw"))</f>
        <v>Away win</v>
      </c>
    </row>
    <row r="594" spans="1:24" x14ac:dyDescent="0.2">
      <c r="A594" s="19">
        <v>2002</v>
      </c>
      <c r="B594" s="15" t="s">
        <v>1318</v>
      </c>
      <c r="C594" s="3" t="s">
        <v>1160</v>
      </c>
      <c r="D594" s="3" t="s">
        <v>1286</v>
      </c>
      <c r="E594" s="3" t="s">
        <v>1287</v>
      </c>
      <c r="F594" s="3" t="s">
        <v>1161</v>
      </c>
      <c r="G594" s="11">
        <v>2</v>
      </c>
      <c r="H594" s="11">
        <v>2</v>
      </c>
      <c r="I594" s="3" t="s">
        <v>34</v>
      </c>
      <c r="J594" s="3" t="s">
        <v>1842</v>
      </c>
      <c r="K594" s="3">
        <v>55256</v>
      </c>
      <c r="L594" s="11">
        <v>0</v>
      </c>
      <c r="M594" s="11">
        <v>0</v>
      </c>
      <c r="N594" s="3" t="s">
        <v>1319</v>
      </c>
      <c r="O594" s="3" t="s">
        <v>1320</v>
      </c>
      <c r="P594" s="3" t="s">
        <v>1148</v>
      </c>
      <c r="Q594" s="11">
        <v>43950100</v>
      </c>
      <c r="R594" s="11">
        <v>43950013</v>
      </c>
      <c r="S594" s="3" t="s">
        <v>1164</v>
      </c>
      <c r="T594" s="4" t="s">
        <v>38</v>
      </c>
      <c r="U594" s="11">
        <f>World_Cup_Matches[[#This Row],[Home Team Goals]]+World_Cup_Matches[[#This Row],[Away Team Goals]]</f>
        <v>4</v>
      </c>
      <c r="V594" s="11">
        <f>World_Cup_Matches[[#This Row],[Home Team Goals]]-World_Cup_Matches[[#This Row],[Away Team Goals]]</f>
        <v>0</v>
      </c>
      <c r="W594" s="4" t="str">
        <f>IF(World_Cup_Matches[[#This Row],[Home Team Goals]]&gt;World_Cup_Matches[[#This Row],[Away Team Goals]],World_Cup_Matches[[#This Row],[Home Team Name]],IF(World_Cup_Matches[[#This Row],[Away Team Goals]]&gt;World_Cup_Matches[[#This Row],[Home Team Goals]], World_Cup_Matches[[#This Row],[Away Team Name]],"Draw"))</f>
        <v>Draw</v>
      </c>
      <c r="X594" s="4" t="str">
        <f>IF(World_Cup_Matches[[#This Row],[Home Team Goals]]&gt;World_Cup_Matches[[#This Row],[Away Team Goals]],"Hime Win",IF(World_Cup_Matches[[#This Row],[Away Team Goals]]&gt;World_Cup_Matches[[#This Row],[Home Team Goals]],"Away win","Draw"))</f>
        <v>Draw</v>
      </c>
    </row>
    <row r="595" spans="1:24" x14ac:dyDescent="0.2">
      <c r="A595" s="19">
        <v>2002</v>
      </c>
      <c r="B595" s="15" t="s">
        <v>1321</v>
      </c>
      <c r="C595" s="3" t="s">
        <v>811</v>
      </c>
      <c r="D595" s="3" t="s">
        <v>1280</v>
      </c>
      <c r="E595" s="3" t="s">
        <v>1281</v>
      </c>
      <c r="F595" s="3" t="s">
        <v>291</v>
      </c>
      <c r="G595" s="11">
        <v>2</v>
      </c>
      <c r="H595" s="11">
        <v>0</v>
      </c>
      <c r="I595" s="3" t="s">
        <v>190</v>
      </c>
      <c r="J595" s="3" t="s">
        <v>1842</v>
      </c>
      <c r="K595" s="3">
        <v>48760</v>
      </c>
      <c r="L595" s="11">
        <v>1</v>
      </c>
      <c r="M595" s="11">
        <v>0</v>
      </c>
      <c r="N595" s="3" t="s">
        <v>1322</v>
      </c>
      <c r="O595" s="3" t="s">
        <v>1323</v>
      </c>
      <c r="P595" s="3" t="s">
        <v>1324</v>
      </c>
      <c r="Q595" s="11">
        <v>43950100</v>
      </c>
      <c r="R595" s="11">
        <v>43950014</v>
      </c>
      <c r="S595" s="3" t="s">
        <v>295</v>
      </c>
      <c r="T595" s="4" t="s">
        <v>194</v>
      </c>
      <c r="U595" s="11">
        <f>World_Cup_Matches[[#This Row],[Home Team Goals]]+World_Cup_Matches[[#This Row],[Away Team Goals]]</f>
        <v>2</v>
      </c>
      <c r="V595" s="11">
        <f>World_Cup_Matches[[#This Row],[Home Team Goals]]-World_Cup_Matches[[#This Row],[Away Team Goals]]</f>
        <v>2</v>
      </c>
      <c r="W595" s="4" t="str">
        <f>IF(World_Cup_Matches[[#This Row],[Home Team Goals]]&gt;World_Cup_Matches[[#This Row],[Away Team Goals]],World_Cup_Matches[[#This Row],[Home Team Name]],IF(World_Cup_Matches[[#This Row],[Away Team Goals]]&gt;World_Cup_Matches[[#This Row],[Home Team Goals]], World_Cup_Matches[[#This Row],[Away Team Name]],"Draw"))</f>
        <v>Korea Republic</v>
      </c>
      <c r="X595" s="4" t="str">
        <f>IF(World_Cup_Matches[[#This Row],[Home Team Goals]]&gt;World_Cup_Matches[[#This Row],[Away Team Goals]],"Hime Win",IF(World_Cup_Matches[[#This Row],[Away Team Goals]]&gt;World_Cup_Matches[[#This Row],[Home Team Goals]],"Away win","Draw"))</f>
        <v>Hime Win</v>
      </c>
    </row>
    <row r="596" spans="1:24" x14ac:dyDescent="0.2">
      <c r="A596" s="19">
        <v>2002</v>
      </c>
      <c r="B596" s="15" t="s">
        <v>1325</v>
      </c>
      <c r="C596" s="3" t="s">
        <v>1160</v>
      </c>
      <c r="D596" s="3" t="s">
        <v>1326</v>
      </c>
      <c r="E596" s="3" t="s">
        <v>1327</v>
      </c>
      <c r="F596" s="3" t="s">
        <v>1043</v>
      </c>
      <c r="G596" s="11">
        <v>2</v>
      </c>
      <c r="H596" s="11">
        <v>0</v>
      </c>
      <c r="I596" s="3" t="s">
        <v>628</v>
      </c>
      <c r="J596" s="3" t="s">
        <v>1842</v>
      </c>
      <c r="K596" s="3">
        <v>30957</v>
      </c>
      <c r="L596" s="11">
        <v>0</v>
      </c>
      <c r="M596" s="11">
        <v>0</v>
      </c>
      <c r="N596" s="3" t="s">
        <v>1328</v>
      </c>
      <c r="O596" s="3" t="s">
        <v>1272</v>
      </c>
      <c r="P596" s="3" t="s">
        <v>1329</v>
      </c>
      <c r="Q596" s="11">
        <v>43950100</v>
      </c>
      <c r="R596" s="11">
        <v>43950015</v>
      </c>
      <c r="S596" s="3" t="s">
        <v>1047</v>
      </c>
      <c r="T596" s="4" t="s">
        <v>632</v>
      </c>
      <c r="U596" s="11">
        <f>World_Cup_Matches[[#This Row],[Home Team Goals]]+World_Cup_Matches[[#This Row],[Away Team Goals]]</f>
        <v>2</v>
      </c>
      <c r="V596" s="11">
        <f>World_Cup_Matches[[#This Row],[Home Team Goals]]-World_Cup_Matches[[#This Row],[Away Team Goals]]</f>
        <v>2</v>
      </c>
      <c r="W596" s="4" t="str">
        <f>IF(World_Cup_Matches[[#This Row],[Home Team Goals]]&gt;World_Cup_Matches[[#This Row],[Away Team Goals]],World_Cup_Matches[[#This Row],[Home Team Name]],IF(World_Cup_Matches[[#This Row],[Away Team Goals]]&gt;World_Cup_Matches[[#This Row],[Home Team Goals]], World_Cup_Matches[[#This Row],[Away Team Name]],"Draw"))</f>
        <v>Russia</v>
      </c>
      <c r="X596" s="4" t="str">
        <f>IF(World_Cup_Matches[[#This Row],[Home Team Goals]]&gt;World_Cup_Matches[[#This Row],[Away Team Goals]],"Hime Win",IF(World_Cup_Matches[[#This Row],[Away Team Goals]]&gt;World_Cup_Matches[[#This Row],[Home Team Goals]],"Away win","Draw"))</f>
        <v>Hime Win</v>
      </c>
    </row>
    <row r="597" spans="1:24" x14ac:dyDescent="0.2">
      <c r="A597" s="19">
        <v>2002</v>
      </c>
      <c r="B597" s="15" t="s">
        <v>1330</v>
      </c>
      <c r="C597" s="3" t="s">
        <v>811</v>
      </c>
      <c r="D597" s="3" t="s">
        <v>1331</v>
      </c>
      <c r="E597" s="3" t="s">
        <v>1332</v>
      </c>
      <c r="F597" s="3" t="s">
        <v>33</v>
      </c>
      <c r="G597" s="11">
        <v>3</v>
      </c>
      <c r="H597" s="11">
        <v>2</v>
      </c>
      <c r="I597" s="3" t="s">
        <v>458</v>
      </c>
      <c r="J597" s="3" t="s">
        <v>1842</v>
      </c>
      <c r="K597" s="3">
        <v>37306</v>
      </c>
      <c r="L597" s="11">
        <v>3</v>
      </c>
      <c r="M597" s="11">
        <v>1</v>
      </c>
      <c r="N597" s="3" t="s">
        <v>1333</v>
      </c>
      <c r="O597" s="3" t="s">
        <v>1334</v>
      </c>
      <c r="P597" s="3" t="s">
        <v>1260</v>
      </c>
      <c r="Q597" s="11">
        <v>43950100</v>
      </c>
      <c r="R597" s="11">
        <v>43950016</v>
      </c>
      <c r="S597" s="3" t="s">
        <v>33</v>
      </c>
      <c r="T597" s="4" t="s">
        <v>462</v>
      </c>
      <c r="U597" s="11">
        <f>World_Cup_Matches[[#This Row],[Home Team Goals]]+World_Cup_Matches[[#This Row],[Away Team Goals]]</f>
        <v>5</v>
      </c>
      <c r="V597" s="11">
        <f>World_Cup_Matches[[#This Row],[Home Team Goals]]-World_Cup_Matches[[#This Row],[Away Team Goals]]</f>
        <v>1</v>
      </c>
      <c r="W597" s="4" t="str">
        <f>IF(World_Cup_Matches[[#This Row],[Home Team Goals]]&gt;World_Cup_Matches[[#This Row],[Away Team Goals]],World_Cup_Matches[[#This Row],[Home Team Name]],IF(World_Cup_Matches[[#This Row],[Away Team Goals]]&gt;World_Cup_Matches[[#This Row],[Home Team Goals]], World_Cup_Matches[[#This Row],[Away Team Name]],"Draw"))</f>
        <v>USA</v>
      </c>
      <c r="X597" s="4" t="str">
        <f>IF(World_Cup_Matches[[#This Row],[Home Team Goals]]&gt;World_Cup_Matches[[#This Row],[Away Team Goals]],"Hime Win",IF(World_Cup_Matches[[#This Row],[Away Team Goals]]&gt;World_Cup_Matches[[#This Row],[Home Team Goals]],"Away win","Draw"))</f>
        <v>Hime Win</v>
      </c>
    </row>
    <row r="598" spans="1:24" x14ac:dyDescent="0.2">
      <c r="A598" s="19">
        <v>2002</v>
      </c>
      <c r="B598" s="15" t="s">
        <v>1335</v>
      </c>
      <c r="C598" s="3" t="s">
        <v>846</v>
      </c>
      <c r="D598" s="3" t="s">
        <v>1274</v>
      </c>
      <c r="E598" s="3" t="s">
        <v>1275</v>
      </c>
      <c r="F598" s="3" t="s">
        <v>124</v>
      </c>
      <c r="G598" s="11">
        <v>1</v>
      </c>
      <c r="H598" s="11">
        <v>1</v>
      </c>
      <c r="I598" s="3" t="s">
        <v>933</v>
      </c>
      <c r="J598" s="3" t="s">
        <v>1842</v>
      </c>
      <c r="K598" s="3">
        <v>35854</v>
      </c>
      <c r="L598" s="11">
        <v>1</v>
      </c>
      <c r="M598" s="11">
        <v>0</v>
      </c>
      <c r="N598" s="3" t="s">
        <v>1213</v>
      </c>
      <c r="O598" s="3" t="s">
        <v>1336</v>
      </c>
      <c r="P598" s="3" t="s">
        <v>1189</v>
      </c>
      <c r="Q598" s="11">
        <v>43950100</v>
      </c>
      <c r="R598" s="11">
        <v>43950017</v>
      </c>
      <c r="S598" s="3" t="s">
        <v>128</v>
      </c>
      <c r="T598" s="4" t="s">
        <v>934</v>
      </c>
      <c r="U598" s="11">
        <f>World_Cup_Matches[[#This Row],[Home Team Goals]]+World_Cup_Matches[[#This Row],[Away Team Goals]]</f>
        <v>2</v>
      </c>
      <c r="V598" s="11">
        <f>World_Cup_Matches[[#This Row],[Home Team Goals]]-World_Cup_Matches[[#This Row],[Away Team Goals]]</f>
        <v>0</v>
      </c>
      <c r="W598" s="4" t="str">
        <f>IF(World_Cup_Matches[[#This Row],[Home Team Goals]]&gt;World_Cup_Matches[[#This Row],[Away Team Goals]],World_Cup_Matches[[#This Row],[Home Team Name]],IF(World_Cup_Matches[[#This Row],[Away Team Goals]]&gt;World_Cup_Matches[[#This Row],[Home Team Goals]], World_Cup_Matches[[#This Row],[Away Team Name]],"Draw"))</f>
        <v>Draw</v>
      </c>
      <c r="X598" s="4" t="str">
        <f>IF(World_Cup_Matches[[#This Row],[Home Team Goals]]&gt;World_Cup_Matches[[#This Row],[Away Team Goals]],"Hime Win",IF(World_Cup_Matches[[#This Row],[Away Team Goals]]&gt;World_Cup_Matches[[#This Row],[Home Team Goals]],"Away win","Draw"))</f>
        <v>Draw</v>
      </c>
    </row>
    <row r="599" spans="1:24" x14ac:dyDescent="0.2">
      <c r="A599" s="19">
        <v>2002</v>
      </c>
      <c r="B599" s="15" t="s">
        <v>1337</v>
      </c>
      <c r="C599" s="3" t="s">
        <v>609</v>
      </c>
      <c r="D599" s="3" t="s">
        <v>1338</v>
      </c>
      <c r="E599" s="3" t="s">
        <v>1339</v>
      </c>
      <c r="F599" s="3" t="s">
        <v>849</v>
      </c>
      <c r="G599" s="11">
        <v>1</v>
      </c>
      <c r="H599" s="11">
        <v>1</v>
      </c>
      <c r="I599" s="3" t="s">
        <v>1252</v>
      </c>
      <c r="J599" s="3" t="s">
        <v>1842</v>
      </c>
      <c r="K599" s="3">
        <v>43500</v>
      </c>
      <c r="L599" s="11">
        <v>1</v>
      </c>
      <c r="M599" s="11">
        <v>0</v>
      </c>
      <c r="N599" s="3" t="s">
        <v>1340</v>
      </c>
      <c r="O599" s="3" t="s">
        <v>1341</v>
      </c>
      <c r="P599" s="3" t="s">
        <v>1300</v>
      </c>
      <c r="Q599" s="11">
        <v>43950100</v>
      </c>
      <c r="R599" s="11">
        <v>43950020</v>
      </c>
      <c r="S599" s="3" t="s">
        <v>853</v>
      </c>
      <c r="T599" s="4" t="s">
        <v>1255</v>
      </c>
      <c r="U599" s="11">
        <f>World_Cup_Matches[[#This Row],[Home Team Goals]]+World_Cup_Matches[[#This Row],[Away Team Goals]]</f>
        <v>2</v>
      </c>
      <c r="V599" s="11">
        <f>World_Cup_Matches[[#This Row],[Home Team Goals]]-World_Cup_Matches[[#This Row],[Away Team Goals]]</f>
        <v>0</v>
      </c>
      <c r="W599" s="4" t="str">
        <f>IF(World_Cup_Matches[[#This Row],[Home Team Goals]]&gt;World_Cup_Matches[[#This Row],[Away Team Goals]],World_Cup_Matches[[#This Row],[Home Team Name]],IF(World_Cup_Matches[[#This Row],[Away Team Goals]]&gt;World_Cup_Matches[[#This Row],[Home Team Goals]], World_Cup_Matches[[#This Row],[Away Team Name]],"Draw"))</f>
        <v>Draw</v>
      </c>
      <c r="X599" s="4" t="str">
        <f>IF(World_Cup_Matches[[#This Row],[Home Team Goals]]&gt;World_Cup_Matches[[#This Row],[Away Team Goals]],"Hime Win",IF(World_Cup_Matches[[#This Row],[Away Team Goals]]&gt;World_Cup_Matches[[#This Row],[Home Team Goals]],"Away win","Draw"))</f>
        <v>Draw</v>
      </c>
    </row>
    <row r="600" spans="1:24" x14ac:dyDescent="0.2">
      <c r="A600" s="19">
        <v>2002</v>
      </c>
      <c r="B600" s="15" t="s">
        <v>1342</v>
      </c>
      <c r="C600" s="3" t="s">
        <v>846</v>
      </c>
      <c r="D600" s="3" t="s">
        <v>1286</v>
      </c>
      <c r="E600" s="3" t="s">
        <v>1287</v>
      </c>
      <c r="F600" s="3" t="s">
        <v>700</v>
      </c>
      <c r="G600" s="11">
        <v>1</v>
      </c>
      <c r="H600" s="11">
        <v>0</v>
      </c>
      <c r="I600" s="3" t="s">
        <v>1037</v>
      </c>
      <c r="J600" s="3" t="s">
        <v>1842</v>
      </c>
      <c r="K600" s="3">
        <v>52328</v>
      </c>
      <c r="L600" s="11">
        <v>0</v>
      </c>
      <c r="M600" s="11">
        <v>0</v>
      </c>
      <c r="N600" s="3" t="s">
        <v>1343</v>
      </c>
      <c r="O600" s="3" t="s">
        <v>1266</v>
      </c>
      <c r="P600" s="3" t="s">
        <v>1344</v>
      </c>
      <c r="Q600" s="11">
        <v>43950100</v>
      </c>
      <c r="R600" s="11">
        <v>43950019</v>
      </c>
      <c r="S600" s="3" t="s">
        <v>702</v>
      </c>
      <c r="T600" s="4" t="s">
        <v>1039</v>
      </c>
      <c r="U600" s="11">
        <f>World_Cup_Matches[[#This Row],[Home Team Goals]]+World_Cup_Matches[[#This Row],[Away Team Goals]]</f>
        <v>1</v>
      </c>
      <c r="V600" s="11">
        <f>World_Cup_Matches[[#This Row],[Home Team Goals]]-World_Cup_Matches[[#This Row],[Away Team Goals]]</f>
        <v>1</v>
      </c>
      <c r="W600" s="4" t="str">
        <f>IF(World_Cup_Matches[[#This Row],[Home Team Goals]]&gt;World_Cup_Matches[[#This Row],[Away Team Goals]],World_Cup_Matches[[#This Row],[Home Team Name]],IF(World_Cup_Matches[[#This Row],[Away Team Goals]]&gt;World_Cup_Matches[[#This Row],[Home Team Goals]], World_Cup_Matches[[#This Row],[Away Team Name]],"Draw"))</f>
        <v>Cameroon</v>
      </c>
      <c r="X600" s="4" t="str">
        <f>IF(World_Cup_Matches[[#This Row],[Home Team Goals]]&gt;World_Cup_Matches[[#This Row],[Away Team Goals]],"Hime Win",IF(World_Cup_Matches[[#This Row],[Away Team Goals]]&gt;World_Cup_Matches[[#This Row],[Home Team Goals]],"Away win","Draw"))</f>
        <v>Hime Win</v>
      </c>
    </row>
    <row r="601" spans="1:24" x14ac:dyDescent="0.2">
      <c r="A601" s="19">
        <v>2002</v>
      </c>
      <c r="B601" s="15" t="s">
        <v>1345</v>
      </c>
      <c r="C601" s="3" t="s">
        <v>609</v>
      </c>
      <c r="D601" s="3" t="s">
        <v>1280</v>
      </c>
      <c r="E601" s="3" t="s">
        <v>1281</v>
      </c>
      <c r="F601" s="3" t="s">
        <v>24</v>
      </c>
      <c r="G601" s="11">
        <v>0</v>
      </c>
      <c r="H601" s="11">
        <v>0</v>
      </c>
      <c r="I601" s="3" t="s">
        <v>72</v>
      </c>
      <c r="J601" s="3" t="s">
        <v>1842</v>
      </c>
      <c r="K601" s="3">
        <v>38289</v>
      </c>
      <c r="L601" s="11">
        <v>0</v>
      </c>
      <c r="M601" s="11">
        <v>0</v>
      </c>
      <c r="N601" s="3" t="s">
        <v>1346</v>
      </c>
      <c r="O601" s="3" t="s">
        <v>1301</v>
      </c>
      <c r="P601" s="3" t="s">
        <v>1284</v>
      </c>
      <c r="Q601" s="11">
        <v>43950100</v>
      </c>
      <c r="R601" s="11">
        <v>43950018</v>
      </c>
      <c r="S601" s="3" t="s">
        <v>29</v>
      </c>
      <c r="T601" s="4" t="s">
        <v>73</v>
      </c>
      <c r="U601" s="11">
        <f>World_Cup_Matches[[#This Row],[Home Team Goals]]+World_Cup_Matches[[#This Row],[Away Team Goals]]</f>
        <v>0</v>
      </c>
      <c r="V601" s="11">
        <f>World_Cup_Matches[[#This Row],[Home Team Goals]]-World_Cup_Matches[[#This Row],[Away Team Goals]]</f>
        <v>0</v>
      </c>
      <c r="W601" s="4" t="str">
        <f>IF(World_Cup_Matches[[#This Row],[Home Team Goals]]&gt;World_Cup_Matches[[#This Row],[Away Team Goals]],World_Cup_Matches[[#This Row],[Home Team Name]],IF(World_Cup_Matches[[#This Row],[Away Team Goals]]&gt;World_Cup_Matches[[#This Row],[Home Team Goals]], World_Cup_Matches[[#This Row],[Away Team Name]],"Draw"))</f>
        <v>Draw</v>
      </c>
      <c r="X601" s="4" t="str">
        <f>IF(World_Cup_Matches[[#This Row],[Home Team Goals]]&gt;World_Cup_Matches[[#This Row],[Away Team Goals]],"Hime Win",IF(World_Cup_Matches[[#This Row],[Away Team Goals]]&gt;World_Cup_Matches[[#This Row],[Home Team Goals]],"Away win","Draw"))</f>
        <v>Draw</v>
      </c>
    </row>
    <row r="602" spans="1:24" x14ac:dyDescent="0.2">
      <c r="A602" s="19">
        <v>2002</v>
      </c>
      <c r="B602" s="15" t="s">
        <v>1347</v>
      </c>
      <c r="C602" s="3" t="s">
        <v>824</v>
      </c>
      <c r="D602" s="3" t="s">
        <v>1326</v>
      </c>
      <c r="E602" s="3" t="s">
        <v>1327</v>
      </c>
      <c r="F602" s="3" t="s">
        <v>117</v>
      </c>
      <c r="G602" s="11">
        <v>2</v>
      </c>
      <c r="H602" s="11">
        <v>1</v>
      </c>
      <c r="I602" s="3" t="s">
        <v>1055</v>
      </c>
      <c r="J602" s="3" t="s">
        <v>1842</v>
      </c>
      <c r="K602" s="3">
        <v>36194</v>
      </c>
      <c r="L602" s="11">
        <v>1</v>
      </c>
      <c r="M602" s="11">
        <v>1</v>
      </c>
      <c r="N602" s="3" t="s">
        <v>1348</v>
      </c>
      <c r="O602" s="3" t="s">
        <v>1271</v>
      </c>
      <c r="P602" s="3" t="s">
        <v>1265</v>
      </c>
      <c r="Q602" s="11">
        <v>43950100</v>
      </c>
      <c r="R602" s="11">
        <v>43950021</v>
      </c>
      <c r="S602" s="3" t="s">
        <v>121</v>
      </c>
      <c r="T602" s="4" t="s">
        <v>1057</v>
      </c>
      <c r="U602" s="11">
        <f>World_Cup_Matches[[#This Row],[Home Team Goals]]+World_Cup_Matches[[#This Row],[Away Team Goals]]</f>
        <v>3</v>
      </c>
      <c r="V602" s="11">
        <f>World_Cup_Matches[[#This Row],[Home Team Goals]]-World_Cup_Matches[[#This Row],[Away Team Goals]]</f>
        <v>1</v>
      </c>
      <c r="W602" s="4" t="str">
        <f>IF(World_Cup_Matches[[#This Row],[Home Team Goals]]&gt;World_Cup_Matches[[#This Row],[Away Team Goals]],World_Cup_Matches[[#This Row],[Home Team Name]],IF(World_Cup_Matches[[#This Row],[Away Team Goals]]&gt;World_Cup_Matches[[#This Row],[Home Team Goals]], World_Cup_Matches[[#This Row],[Away Team Name]],"Draw"))</f>
        <v>Sweden</v>
      </c>
      <c r="X602" s="4" t="str">
        <f>IF(World_Cup_Matches[[#This Row],[Home Team Goals]]&gt;World_Cup_Matches[[#This Row],[Away Team Goals]],"Hime Win",IF(World_Cup_Matches[[#This Row],[Away Team Goals]]&gt;World_Cup_Matches[[#This Row],[Home Team Goals]],"Away win","Draw"))</f>
        <v>Hime Win</v>
      </c>
    </row>
    <row r="603" spans="1:24" x14ac:dyDescent="0.2">
      <c r="A603" s="19">
        <v>2002</v>
      </c>
      <c r="B603" s="15" t="s">
        <v>1349</v>
      </c>
      <c r="C603" s="3" t="s">
        <v>824</v>
      </c>
      <c r="D603" s="3" t="s">
        <v>1268</v>
      </c>
      <c r="E603" s="3" t="s">
        <v>1269</v>
      </c>
      <c r="F603" s="3" t="s">
        <v>56</v>
      </c>
      <c r="G603" s="11">
        <v>0</v>
      </c>
      <c r="H603" s="11">
        <v>1</v>
      </c>
      <c r="I603" s="3" t="s">
        <v>223</v>
      </c>
      <c r="J603" s="3" t="s">
        <v>1842</v>
      </c>
      <c r="K603" s="3">
        <v>35927</v>
      </c>
      <c r="L603" s="11">
        <v>0</v>
      </c>
      <c r="M603" s="11">
        <v>1</v>
      </c>
      <c r="N603" s="3" t="s">
        <v>1156</v>
      </c>
      <c r="O603" s="3" t="s">
        <v>1305</v>
      </c>
      <c r="P603" s="3" t="s">
        <v>1350</v>
      </c>
      <c r="Q603" s="11">
        <v>43950100</v>
      </c>
      <c r="R603" s="11">
        <v>43950023</v>
      </c>
      <c r="S603" s="3" t="s">
        <v>59</v>
      </c>
      <c r="T603" s="4" t="s">
        <v>227</v>
      </c>
      <c r="U603" s="11">
        <f>World_Cup_Matches[[#This Row],[Home Team Goals]]+World_Cup_Matches[[#This Row],[Away Team Goals]]</f>
        <v>1</v>
      </c>
      <c r="V603" s="11">
        <f>World_Cup_Matches[[#This Row],[Home Team Goals]]-World_Cup_Matches[[#This Row],[Away Team Goals]]</f>
        <v>-1</v>
      </c>
      <c r="W603" s="4" t="str">
        <f>IF(World_Cup_Matches[[#This Row],[Home Team Goals]]&gt;World_Cup_Matches[[#This Row],[Away Team Goals]],World_Cup_Matches[[#This Row],[Home Team Name]],IF(World_Cup_Matches[[#This Row],[Away Team Goals]]&gt;World_Cup_Matches[[#This Row],[Home Team Goals]], World_Cup_Matches[[#This Row],[Away Team Name]],"Draw"))</f>
        <v>England</v>
      </c>
      <c r="X603" s="4" t="str">
        <f>IF(World_Cup_Matches[[#This Row],[Home Team Goals]]&gt;World_Cup_Matches[[#This Row],[Away Team Goals]],"Hime Win",IF(World_Cup_Matches[[#This Row],[Away Team Goals]]&gt;World_Cup_Matches[[#This Row],[Home Team Goals]],"Away win","Draw"))</f>
        <v>Away win</v>
      </c>
    </row>
    <row r="604" spans="1:24" x14ac:dyDescent="0.2">
      <c r="A604" s="19">
        <v>2002</v>
      </c>
      <c r="B604" s="15" t="s">
        <v>1351</v>
      </c>
      <c r="C604" s="3" t="s">
        <v>607</v>
      </c>
      <c r="D604" s="3" t="s">
        <v>1352</v>
      </c>
      <c r="E604" s="3" t="s">
        <v>1353</v>
      </c>
      <c r="F604" s="3" t="s">
        <v>131</v>
      </c>
      <c r="G604" s="11">
        <v>3</v>
      </c>
      <c r="H604" s="11">
        <v>1</v>
      </c>
      <c r="I604" s="3" t="s">
        <v>68</v>
      </c>
      <c r="J604" s="3" t="s">
        <v>1842</v>
      </c>
      <c r="K604" s="3">
        <v>24000</v>
      </c>
      <c r="L604" s="11">
        <v>0</v>
      </c>
      <c r="M604" s="11">
        <v>1</v>
      </c>
      <c r="N604" s="3" t="s">
        <v>1195</v>
      </c>
      <c r="O604" s="3" t="s">
        <v>1354</v>
      </c>
      <c r="P604" s="3" t="s">
        <v>1355</v>
      </c>
      <c r="Q604" s="11">
        <v>43950100</v>
      </c>
      <c r="R604" s="11">
        <v>43950022</v>
      </c>
      <c r="S604" s="3" t="s">
        <v>135</v>
      </c>
      <c r="T604" s="4" t="s">
        <v>69</v>
      </c>
      <c r="U604" s="11">
        <f>World_Cup_Matches[[#This Row],[Home Team Goals]]+World_Cup_Matches[[#This Row],[Away Team Goals]]</f>
        <v>4</v>
      </c>
      <c r="V604" s="11">
        <f>World_Cup_Matches[[#This Row],[Home Team Goals]]-World_Cup_Matches[[#This Row],[Away Team Goals]]</f>
        <v>2</v>
      </c>
      <c r="W604" s="4" t="str">
        <f>IF(World_Cup_Matches[[#This Row],[Home Team Goals]]&gt;World_Cup_Matches[[#This Row],[Away Team Goals]],World_Cup_Matches[[#This Row],[Home Team Name]],IF(World_Cup_Matches[[#This Row],[Away Team Goals]]&gt;World_Cup_Matches[[#This Row],[Home Team Goals]], World_Cup_Matches[[#This Row],[Away Team Name]],"Draw"))</f>
        <v>Spain</v>
      </c>
      <c r="X604" s="4" t="str">
        <f>IF(World_Cup_Matches[[#This Row],[Home Team Goals]]&gt;World_Cup_Matches[[#This Row],[Away Team Goals]],"Hime Win",IF(World_Cup_Matches[[#This Row],[Away Team Goals]]&gt;World_Cup_Matches[[#This Row],[Home Team Goals]],"Away win","Draw"))</f>
        <v>Hime Win</v>
      </c>
    </row>
    <row r="605" spans="1:24" x14ac:dyDescent="0.2">
      <c r="A605" s="19">
        <v>2002</v>
      </c>
      <c r="B605" s="15" t="s">
        <v>1356</v>
      </c>
      <c r="C605" s="3" t="s">
        <v>607</v>
      </c>
      <c r="D605" s="3" t="s">
        <v>1338</v>
      </c>
      <c r="E605" s="3" t="s">
        <v>1339</v>
      </c>
      <c r="F605" s="3" t="s">
        <v>1138</v>
      </c>
      <c r="G605" s="11">
        <v>1</v>
      </c>
      <c r="H605" s="11">
        <v>0</v>
      </c>
      <c r="I605" s="3" t="s">
        <v>1293</v>
      </c>
      <c r="J605" s="3" t="s">
        <v>1842</v>
      </c>
      <c r="K605" s="3">
        <v>47226</v>
      </c>
      <c r="L605" s="11">
        <v>1</v>
      </c>
      <c r="M605" s="11">
        <v>0</v>
      </c>
      <c r="N605" s="3" t="s">
        <v>1357</v>
      </c>
      <c r="O605" s="3" t="s">
        <v>1254</v>
      </c>
      <c r="P605" s="3" t="s">
        <v>1253</v>
      </c>
      <c r="Q605" s="11">
        <v>43950100</v>
      </c>
      <c r="R605" s="11">
        <v>43950024</v>
      </c>
      <c r="S605" s="3" t="s">
        <v>1142</v>
      </c>
      <c r="T605" s="4" t="s">
        <v>1297</v>
      </c>
      <c r="U605" s="11">
        <f>World_Cup_Matches[[#This Row],[Home Team Goals]]+World_Cup_Matches[[#This Row],[Away Team Goals]]</f>
        <v>1</v>
      </c>
      <c r="V605" s="11">
        <f>World_Cup_Matches[[#This Row],[Home Team Goals]]-World_Cup_Matches[[#This Row],[Away Team Goals]]</f>
        <v>1</v>
      </c>
      <c r="W605" s="4" t="str">
        <f>IF(World_Cup_Matches[[#This Row],[Home Team Goals]]&gt;World_Cup_Matches[[#This Row],[Away Team Goals]],World_Cup_Matches[[#This Row],[Home Team Name]],IF(World_Cup_Matches[[#This Row],[Away Team Goals]]&gt;World_Cup_Matches[[#This Row],[Home Team Goals]], World_Cup_Matches[[#This Row],[Away Team Name]],"Draw"))</f>
        <v>South Africa</v>
      </c>
      <c r="X605" s="4" t="str">
        <f>IF(World_Cup_Matches[[#This Row],[Home Team Goals]]&gt;World_Cup_Matches[[#This Row],[Away Team Goals]],"Hime Win",IF(World_Cup_Matches[[#This Row],[Away Team Goals]]&gt;World_Cup_Matches[[#This Row],[Home Team Goals]],"Away win","Draw"))</f>
        <v>Hime Win</v>
      </c>
    </row>
    <row r="606" spans="1:24" x14ac:dyDescent="0.2">
      <c r="A606" s="19">
        <v>2002</v>
      </c>
      <c r="B606" s="15" t="s">
        <v>1358</v>
      </c>
      <c r="C606" s="3" t="s">
        <v>805</v>
      </c>
      <c r="D606" s="3" t="s">
        <v>1359</v>
      </c>
      <c r="E606" s="3" t="s">
        <v>1360</v>
      </c>
      <c r="F606" s="3" t="s">
        <v>42</v>
      </c>
      <c r="G606" s="11">
        <v>4</v>
      </c>
      <c r="H606" s="11">
        <v>0</v>
      </c>
      <c r="I606" s="3" t="s">
        <v>1313</v>
      </c>
      <c r="J606" s="3" t="s">
        <v>1842</v>
      </c>
      <c r="K606" s="3">
        <v>36750</v>
      </c>
      <c r="L606" s="11">
        <v>3</v>
      </c>
      <c r="M606" s="11">
        <v>0</v>
      </c>
      <c r="N606" s="3" t="s">
        <v>1361</v>
      </c>
      <c r="O606" s="3" t="s">
        <v>1324</v>
      </c>
      <c r="P606" s="3" t="s">
        <v>1334</v>
      </c>
      <c r="Q606" s="11">
        <v>43950100</v>
      </c>
      <c r="R606" s="11">
        <v>43950026</v>
      </c>
      <c r="S606" s="3" t="s">
        <v>47</v>
      </c>
      <c r="T606" s="4" t="s">
        <v>1317</v>
      </c>
      <c r="U606" s="11">
        <f>World_Cup_Matches[[#This Row],[Home Team Goals]]+World_Cup_Matches[[#This Row],[Away Team Goals]]</f>
        <v>4</v>
      </c>
      <c r="V606" s="11">
        <f>World_Cup_Matches[[#This Row],[Home Team Goals]]-World_Cup_Matches[[#This Row],[Away Team Goals]]</f>
        <v>4</v>
      </c>
      <c r="W606" s="4" t="str">
        <f>IF(World_Cup_Matches[[#This Row],[Home Team Goals]]&gt;World_Cup_Matches[[#This Row],[Away Team Goals]],World_Cup_Matches[[#This Row],[Home Team Name]],IF(World_Cup_Matches[[#This Row],[Away Team Goals]]&gt;World_Cup_Matches[[#This Row],[Home Team Goals]], World_Cup_Matches[[#This Row],[Away Team Name]],"Draw"))</f>
        <v>Brazil</v>
      </c>
      <c r="X606" s="4" t="str">
        <f>IF(World_Cup_Matches[[#This Row],[Home Team Goals]]&gt;World_Cup_Matches[[#This Row],[Away Team Goals]],"Hime Win",IF(World_Cup_Matches[[#This Row],[Away Team Goals]]&gt;World_Cup_Matches[[#This Row],[Home Team Goals]],"Away win","Draw"))</f>
        <v>Hime Win</v>
      </c>
    </row>
    <row r="607" spans="1:24" x14ac:dyDescent="0.2">
      <c r="A607" s="19">
        <v>2002</v>
      </c>
      <c r="B607" s="15" t="s">
        <v>1362</v>
      </c>
      <c r="C607" s="3" t="s">
        <v>1179</v>
      </c>
      <c r="D607" s="3" t="s">
        <v>1274</v>
      </c>
      <c r="E607" s="3" t="s">
        <v>1275</v>
      </c>
      <c r="F607" s="3" t="s">
        <v>138</v>
      </c>
      <c r="G607" s="11">
        <v>1</v>
      </c>
      <c r="H607" s="11">
        <v>2</v>
      </c>
      <c r="I607" s="3" t="s">
        <v>1172</v>
      </c>
      <c r="J607" s="3" t="s">
        <v>1842</v>
      </c>
      <c r="K607" s="3">
        <v>36472</v>
      </c>
      <c r="L607" s="11">
        <v>0</v>
      </c>
      <c r="M607" s="11">
        <v>0</v>
      </c>
      <c r="N607" s="3" t="s">
        <v>1363</v>
      </c>
      <c r="O607" s="3" t="s">
        <v>1306</v>
      </c>
      <c r="P607" s="3" t="s">
        <v>1336</v>
      </c>
      <c r="Q607" s="11">
        <v>43950100</v>
      </c>
      <c r="R607" s="11">
        <v>43950025</v>
      </c>
      <c r="S607" s="3" t="s">
        <v>142</v>
      </c>
      <c r="T607" s="4" t="s">
        <v>1177</v>
      </c>
      <c r="U607" s="11">
        <f>World_Cup_Matches[[#This Row],[Home Team Goals]]+World_Cup_Matches[[#This Row],[Away Team Goals]]</f>
        <v>3</v>
      </c>
      <c r="V607" s="11">
        <f>World_Cup_Matches[[#This Row],[Home Team Goals]]-World_Cup_Matches[[#This Row],[Away Team Goals]]</f>
        <v>-1</v>
      </c>
      <c r="W607" s="4" t="str">
        <f>IF(World_Cup_Matches[[#This Row],[Home Team Goals]]&gt;World_Cup_Matches[[#This Row],[Away Team Goals]],World_Cup_Matches[[#This Row],[Home Team Name]],IF(World_Cup_Matches[[#This Row],[Away Team Goals]]&gt;World_Cup_Matches[[#This Row],[Home Team Goals]], World_Cup_Matches[[#This Row],[Away Team Name]],"Draw"))</f>
        <v>Croatia</v>
      </c>
      <c r="X607" s="4" t="str">
        <f>IF(World_Cup_Matches[[#This Row],[Home Team Goals]]&gt;World_Cup_Matches[[#This Row],[Away Team Goals]],"Hime Win",IF(World_Cup_Matches[[#This Row],[Away Team Goals]]&gt;World_Cup_Matches[[#This Row],[Home Team Goals]],"Away win","Draw"))</f>
        <v>Away win</v>
      </c>
    </row>
    <row r="608" spans="1:24" x14ac:dyDescent="0.2">
      <c r="A608" s="19">
        <v>2002</v>
      </c>
      <c r="B608" s="15" t="s">
        <v>1364</v>
      </c>
      <c r="C608" s="3" t="s">
        <v>805</v>
      </c>
      <c r="D608" s="3" t="s">
        <v>1365</v>
      </c>
      <c r="E608" s="3" t="s">
        <v>1366</v>
      </c>
      <c r="F608" s="3" t="s">
        <v>925</v>
      </c>
      <c r="G608" s="11">
        <v>1</v>
      </c>
      <c r="H608" s="11">
        <v>1</v>
      </c>
      <c r="I608" s="3" t="s">
        <v>286</v>
      </c>
      <c r="J608" s="3" t="s">
        <v>1842</v>
      </c>
      <c r="K608" s="3">
        <v>42299</v>
      </c>
      <c r="L608" s="11">
        <v>0</v>
      </c>
      <c r="M608" s="11">
        <v>0</v>
      </c>
      <c r="N608" s="3" t="s">
        <v>1367</v>
      </c>
      <c r="O608" s="3" t="s">
        <v>1121</v>
      </c>
      <c r="P608" s="3" t="s">
        <v>1355</v>
      </c>
      <c r="Q608" s="11">
        <v>43950100</v>
      </c>
      <c r="R608" s="11">
        <v>43950028</v>
      </c>
      <c r="S608" s="3" t="s">
        <v>929</v>
      </c>
      <c r="T608" s="4" t="s">
        <v>290</v>
      </c>
      <c r="U608" s="11">
        <f>World_Cup_Matches[[#This Row],[Home Team Goals]]+World_Cup_Matches[[#This Row],[Away Team Goals]]</f>
        <v>2</v>
      </c>
      <c r="V608" s="11">
        <f>World_Cup_Matches[[#This Row],[Home Team Goals]]-World_Cup_Matches[[#This Row],[Away Team Goals]]</f>
        <v>0</v>
      </c>
      <c r="W608" s="4" t="str">
        <f>IF(World_Cup_Matches[[#This Row],[Home Team Goals]]&gt;World_Cup_Matches[[#This Row],[Away Team Goals]],World_Cup_Matches[[#This Row],[Home Team Name]],IF(World_Cup_Matches[[#This Row],[Away Team Goals]]&gt;World_Cup_Matches[[#This Row],[Home Team Goals]], World_Cup_Matches[[#This Row],[Away Team Name]],"Draw"))</f>
        <v>Draw</v>
      </c>
      <c r="X608" s="4" t="str">
        <f>IF(World_Cup_Matches[[#This Row],[Home Team Goals]]&gt;World_Cup_Matches[[#This Row],[Away Team Goals]],"Hime Win",IF(World_Cup_Matches[[#This Row],[Away Team Goals]]&gt;World_Cup_Matches[[#This Row],[Home Team Goals]],"Away win","Draw"))</f>
        <v>Draw</v>
      </c>
    </row>
    <row r="609" spans="1:24" x14ac:dyDescent="0.2">
      <c r="A609" s="19">
        <v>2002</v>
      </c>
      <c r="B609" s="15" t="s">
        <v>1368</v>
      </c>
      <c r="C609" s="3" t="s">
        <v>1160</v>
      </c>
      <c r="D609" s="3" t="s">
        <v>1369</v>
      </c>
      <c r="E609" s="3" t="s">
        <v>1370</v>
      </c>
      <c r="F609" s="3" t="s">
        <v>1161</v>
      </c>
      <c r="G609" s="11">
        <v>1</v>
      </c>
      <c r="H609" s="11">
        <v>0</v>
      </c>
      <c r="I609" s="3" t="s">
        <v>1043</v>
      </c>
      <c r="J609" s="3" t="s">
        <v>1842</v>
      </c>
      <c r="K609" s="3">
        <v>66108</v>
      </c>
      <c r="L609" s="11">
        <v>0</v>
      </c>
      <c r="M609" s="11">
        <v>0</v>
      </c>
      <c r="N609" s="3" t="s">
        <v>1371</v>
      </c>
      <c r="O609" s="3" t="s">
        <v>1278</v>
      </c>
      <c r="P609" s="3" t="s">
        <v>1189</v>
      </c>
      <c r="Q609" s="11">
        <v>43950100</v>
      </c>
      <c r="R609" s="11">
        <v>43950029</v>
      </c>
      <c r="S609" s="3" t="s">
        <v>1164</v>
      </c>
      <c r="T609" s="4" t="s">
        <v>1047</v>
      </c>
      <c r="U609" s="11">
        <f>World_Cup_Matches[[#This Row],[Home Team Goals]]+World_Cup_Matches[[#This Row],[Away Team Goals]]</f>
        <v>1</v>
      </c>
      <c r="V609" s="11">
        <f>World_Cup_Matches[[#This Row],[Home Team Goals]]-World_Cup_Matches[[#This Row],[Away Team Goals]]</f>
        <v>1</v>
      </c>
      <c r="W609" s="4" t="str">
        <f>IF(World_Cup_Matches[[#This Row],[Home Team Goals]]&gt;World_Cup_Matches[[#This Row],[Away Team Goals]],World_Cup_Matches[[#This Row],[Home Team Name]],IF(World_Cup_Matches[[#This Row],[Away Team Goals]]&gt;World_Cup_Matches[[#This Row],[Home Team Goals]], World_Cup_Matches[[#This Row],[Away Team Name]],"Draw"))</f>
        <v>Japan</v>
      </c>
      <c r="X609" s="4" t="str">
        <f>IF(World_Cup_Matches[[#This Row],[Home Team Goals]]&gt;World_Cup_Matches[[#This Row],[Away Team Goals]],"Hime Win",IF(World_Cup_Matches[[#This Row],[Away Team Goals]]&gt;World_Cup_Matches[[#This Row],[Home Team Goals]],"Away win","Draw"))</f>
        <v>Hime Win</v>
      </c>
    </row>
    <row r="610" spans="1:24" x14ac:dyDescent="0.2">
      <c r="A610" s="19">
        <v>2002</v>
      </c>
      <c r="B610" s="15" t="s">
        <v>1372</v>
      </c>
      <c r="C610" s="3" t="s">
        <v>1179</v>
      </c>
      <c r="D610" s="3" t="s">
        <v>1373</v>
      </c>
      <c r="E610" s="3" t="s">
        <v>1374</v>
      </c>
      <c r="F610" s="3" t="s">
        <v>25</v>
      </c>
      <c r="G610" s="11">
        <v>2</v>
      </c>
      <c r="H610" s="11">
        <v>1</v>
      </c>
      <c r="I610" s="3" t="s">
        <v>1303</v>
      </c>
      <c r="J610" s="3" t="s">
        <v>1842</v>
      </c>
      <c r="K610" s="3">
        <v>45610</v>
      </c>
      <c r="L610" s="11">
        <v>1</v>
      </c>
      <c r="M610" s="11">
        <v>1</v>
      </c>
      <c r="N610" s="3" t="s">
        <v>1375</v>
      </c>
      <c r="O610" s="3" t="s">
        <v>1311</v>
      </c>
      <c r="P610" s="3" t="s">
        <v>1320</v>
      </c>
      <c r="Q610" s="11">
        <v>43950100</v>
      </c>
      <c r="R610" s="11">
        <v>43950027</v>
      </c>
      <c r="S610" s="3" t="s">
        <v>30</v>
      </c>
      <c r="T610" s="4" t="s">
        <v>1307</v>
      </c>
      <c r="U610" s="11">
        <f>World_Cup_Matches[[#This Row],[Home Team Goals]]+World_Cup_Matches[[#This Row],[Away Team Goals]]</f>
        <v>3</v>
      </c>
      <c r="V610" s="11">
        <f>World_Cup_Matches[[#This Row],[Home Team Goals]]-World_Cup_Matches[[#This Row],[Away Team Goals]]</f>
        <v>1</v>
      </c>
      <c r="W610" s="4" t="str">
        <f>IF(World_Cup_Matches[[#This Row],[Home Team Goals]]&gt;World_Cup_Matches[[#This Row],[Away Team Goals]],World_Cup_Matches[[#This Row],[Home Team Name]],IF(World_Cup_Matches[[#This Row],[Away Team Goals]]&gt;World_Cup_Matches[[#This Row],[Home Team Goals]], World_Cup_Matches[[#This Row],[Away Team Name]],"Draw"))</f>
        <v>Mexico</v>
      </c>
      <c r="X610" s="4" t="str">
        <f>IF(World_Cup_Matches[[#This Row],[Home Team Goals]]&gt;World_Cup_Matches[[#This Row],[Away Team Goals]],"Hime Win",IF(World_Cup_Matches[[#This Row],[Away Team Goals]]&gt;World_Cup_Matches[[#This Row],[Home Team Goals]],"Away win","Draw"))</f>
        <v>Hime Win</v>
      </c>
    </row>
    <row r="611" spans="1:24" x14ac:dyDescent="0.2">
      <c r="A611" s="19">
        <v>2002</v>
      </c>
      <c r="B611" s="15" t="s">
        <v>1376</v>
      </c>
      <c r="C611" s="3" t="s">
        <v>811</v>
      </c>
      <c r="D611" s="3" t="s">
        <v>1338</v>
      </c>
      <c r="E611" s="3" t="s">
        <v>1339</v>
      </c>
      <c r="F611" s="3" t="s">
        <v>291</v>
      </c>
      <c r="G611" s="11">
        <v>1</v>
      </c>
      <c r="H611" s="11">
        <v>1</v>
      </c>
      <c r="I611" s="3" t="s">
        <v>33</v>
      </c>
      <c r="J611" s="3" t="s">
        <v>1842</v>
      </c>
      <c r="K611" s="3">
        <v>60778</v>
      </c>
      <c r="L611" s="11">
        <v>0</v>
      </c>
      <c r="M611" s="11">
        <v>1</v>
      </c>
      <c r="N611" s="3" t="s">
        <v>1217</v>
      </c>
      <c r="O611" s="3" t="s">
        <v>1296</v>
      </c>
      <c r="P611" s="3" t="s">
        <v>1295</v>
      </c>
      <c r="Q611" s="11">
        <v>43950100</v>
      </c>
      <c r="R611" s="11">
        <v>43950030</v>
      </c>
      <c r="S611" s="3" t="s">
        <v>295</v>
      </c>
      <c r="T611" s="4" t="s">
        <v>33</v>
      </c>
      <c r="U611" s="11">
        <f>World_Cup_Matches[[#This Row],[Home Team Goals]]+World_Cup_Matches[[#This Row],[Away Team Goals]]</f>
        <v>2</v>
      </c>
      <c r="V611" s="11">
        <f>World_Cup_Matches[[#This Row],[Home Team Goals]]-World_Cup_Matches[[#This Row],[Away Team Goals]]</f>
        <v>0</v>
      </c>
      <c r="W611" s="4" t="str">
        <f>IF(World_Cup_Matches[[#This Row],[Home Team Goals]]&gt;World_Cup_Matches[[#This Row],[Away Team Goals]],World_Cup_Matches[[#This Row],[Home Team Name]],IF(World_Cup_Matches[[#This Row],[Away Team Goals]]&gt;World_Cup_Matches[[#This Row],[Home Team Goals]], World_Cup_Matches[[#This Row],[Away Team Name]],"Draw"))</f>
        <v>Draw</v>
      </c>
      <c r="X611" s="4" t="str">
        <f>IF(World_Cup_Matches[[#This Row],[Home Team Goals]]&gt;World_Cup_Matches[[#This Row],[Away Team Goals]],"Hime Win",IF(World_Cup_Matches[[#This Row],[Away Team Goals]]&gt;World_Cup_Matches[[#This Row],[Home Team Goals]],"Away win","Draw"))</f>
        <v>Draw</v>
      </c>
    </row>
    <row r="612" spans="1:24" x14ac:dyDescent="0.2">
      <c r="A612" s="19">
        <v>2002</v>
      </c>
      <c r="B612" s="15" t="s">
        <v>1377</v>
      </c>
      <c r="C612" s="3" t="s">
        <v>811</v>
      </c>
      <c r="D612" s="3" t="s">
        <v>1352</v>
      </c>
      <c r="E612" s="3" t="s">
        <v>1353</v>
      </c>
      <c r="F612" s="3" t="s">
        <v>458</v>
      </c>
      <c r="G612" s="11">
        <v>4</v>
      </c>
      <c r="H612" s="11">
        <v>0</v>
      </c>
      <c r="I612" s="3" t="s">
        <v>190</v>
      </c>
      <c r="J612" s="3" t="s">
        <v>1842</v>
      </c>
      <c r="K612" s="3">
        <v>31000</v>
      </c>
      <c r="L612" s="11">
        <v>1</v>
      </c>
      <c r="M612" s="11">
        <v>0</v>
      </c>
      <c r="N612" s="3" t="s">
        <v>1209</v>
      </c>
      <c r="O612" s="3" t="s">
        <v>1283</v>
      </c>
      <c r="P612" s="3" t="s">
        <v>1354</v>
      </c>
      <c r="Q612" s="11">
        <v>43950100</v>
      </c>
      <c r="R612" s="11">
        <v>43950032</v>
      </c>
      <c r="S612" s="3" t="s">
        <v>462</v>
      </c>
      <c r="T612" s="4" t="s">
        <v>194</v>
      </c>
      <c r="U612" s="11">
        <f>World_Cup_Matches[[#This Row],[Home Team Goals]]+World_Cup_Matches[[#This Row],[Away Team Goals]]</f>
        <v>4</v>
      </c>
      <c r="V612" s="11">
        <f>World_Cup_Matches[[#This Row],[Home Team Goals]]-World_Cup_Matches[[#This Row],[Away Team Goals]]</f>
        <v>4</v>
      </c>
      <c r="W612" s="4" t="str">
        <f>IF(World_Cup_Matches[[#This Row],[Home Team Goals]]&gt;World_Cup_Matches[[#This Row],[Away Team Goals]],World_Cup_Matches[[#This Row],[Home Team Name]],IF(World_Cup_Matches[[#This Row],[Away Team Goals]]&gt;World_Cup_Matches[[#This Row],[Home Team Goals]], World_Cup_Matches[[#This Row],[Away Team Name]],"Draw"))</f>
        <v>Portugal</v>
      </c>
      <c r="X612" s="4" t="str">
        <f>IF(World_Cup_Matches[[#This Row],[Home Team Goals]]&gt;World_Cup_Matches[[#This Row],[Away Team Goals]],"Hime Win",IF(World_Cup_Matches[[#This Row],[Away Team Goals]]&gt;World_Cup_Matches[[#This Row],[Home Team Goals]],"Away win","Draw"))</f>
        <v>Hime Win</v>
      </c>
    </row>
    <row r="613" spans="1:24" x14ac:dyDescent="0.2">
      <c r="A613" s="19">
        <v>2002</v>
      </c>
      <c r="B613" s="15" t="s">
        <v>1378</v>
      </c>
      <c r="C613" s="3" t="s">
        <v>1160</v>
      </c>
      <c r="D613" s="3" t="s">
        <v>1379</v>
      </c>
      <c r="E613" s="3" t="s">
        <v>1380</v>
      </c>
      <c r="F613" s="3" t="s">
        <v>628</v>
      </c>
      <c r="G613" s="11">
        <v>1</v>
      </c>
      <c r="H613" s="11">
        <v>1</v>
      </c>
      <c r="I613" s="3" t="s">
        <v>34</v>
      </c>
      <c r="J613" s="3" t="s">
        <v>1842</v>
      </c>
      <c r="K613" s="3">
        <v>39700</v>
      </c>
      <c r="L613" s="11">
        <v>1</v>
      </c>
      <c r="M613" s="11">
        <v>1</v>
      </c>
      <c r="N613" s="3" t="s">
        <v>1381</v>
      </c>
      <c r="O613" s="3" t="s">
        <v>1329</v>
      </c>
      <c r="P613" s="3" t="s">
        <v>1310</v>
      </c>
      <c r="Q613" s="11">
        <v>43950100</v>
      </c>
      <c r="R613" s="11">
        <v>43950031</v>
      </c>
      <c r="S613" s="3" t="s">
        <v>632</v>
      </c>
      <c r="T613" s="4" t="s">
        <v>38</v>
      </c>
      <c r="U613" s="11">
        <f>World_Cup_Matches[[#This Row],[Home Team Goals]]+World_Cup_Matches[[#This Row],[Away Team Goals]]</f>
        <v>2</v>
      </c>
      <c r="V613" s="11">
        <f>World_Cup_Matches[[#This Row],[Home Team Goals]]-World_Cup_Matches[[#This Row],[Away Team Goals]]</f>
        <v>0</v>
      </c>
      <c r="W613" s="4" t="str">
        <f>IF(World_Cup_Matches[[#This Row],[Home Team Goals]]&gt;World_Cup_Matches[[#This Row],[Away Team Goals]],World_Cup_Matches[[#This Row],[Home Team Name]],IF(World_Cup_Matches[[#This Row],[Away Team Goals]]&gt;World_Cup_Matches[[#This Row],[Home Team Goals]], World_Cup_Matches[[#This Row],[Away Team Name]],"Draw"))</f>
        <v>Draw</v>
      </c>
      <c r="X613" s="4" t="str">
        <f>IF(World_Cup_Matches[[#This Row],[Home Team Goals]]&gt;World_Cup_Matches[[#This Row],[Away Team Goals]],"Hime Win",IF(World_Cup_Matches[[#This Row],[Away Team Goals]]&gt;World_Cup_Matches[[#This Row],[Home Team Goals]],"Away win","Draw"))</f>
        <v>Draw</v>
      </c>
    </row>
    <row r="614" spans="1:24" x14ac:dyDescent="0.2">
      <c r="A614" s="19">
        <v>2002</v>
      </c>
      <c r="B614" s="15" t="s">
        <v>1382</v>
      </c>
      <c r="C614" s="3" t="s">
        <v>609</v>
      </c>
      <c r="D614" s="3" t="s">
        <v>1365</v>
      </c>
      <c r="E614" s="3" t="s">
        <v>1366</v>
      </c>
      <c r="F614" s="3" t="s">
        <v>849</v>
      </c>
      <c r="G614" s="11">
        <v>2</v>
      </c>
      <c r="H614" s="11">
        <v>0</v>
      </c>
      <c r="I614" s="3" t="s">
        <v>24</v>
      </c>
      <c r="J614" s="3" t="s">
        <v>1842</v>
      </c>
      <c r="K614" s="3">
        <v>48100</v>
      </c>
      <c r="L614" s="11">
        <v>1</v>
      </c>
      <c r="M614" s="11">
        <v>0</v>
      </c>
      <c r="N614" s="3" t="s">
        <v>1173</v>
      </c>
      <c r="O614" s="3" t="s">
        <v>1315</v>
      </c>
      <c r="P614" s="3" t="s">
        <v>1323</v>
      </c>
      <c r="Q614" s="11">
        <v>43950100</v>
      </c>
      <c r="R614" s="11">
        <v>43950033</v>
      </c>
      <c r="S614" s="3" t="s">
        <v>853</v>
      </c>
      <c r="T614" s="4" t="s">
        <v>29</v>
      </c>
      <c r="U614" s="11">
        <f>World_Cup_Matches[[#This Row],[Home Team Goals]]+World_Cup_Matches[[#This Row],[Away Team Goals]]</f>
        <v>2</v>
      </c>
      <c r="V614" s="11">
        <f>World_Cup_Matches[[#This Row],[Home Team Goals]]-World_Cup_Matches[[#This Row],[Away Team Goals]]</f>
        <v>2</v>
      </c>
      <c r="W614" s="4" t="str">
        <f>IF(World_Cup_Matches[[#This Row],[Home Team Goals]]&gt;World_Cup_Matches[[#This Row],[Away Team Goals]],World_Cup_Matches[[#This Row],[Home Team Name]],IF(World_Cup_Matches[[#This Row],[Away Team Goals]]&gt;World_Cup_Matches[[#This Row],[Home Team Goals]], World_Cup_Matches[[#This Row],[Away Team Name]],"Draw"))</f>
        <v>Denmark</v>
      </c>
      <c r="X614" s="4" t="str">
        <f>IF(World_Cup_Matches[[#This Row],[Home Team Goals]]&gt;World_Cup_Matches[[#This Row],[Away Team Goals]],"Hime Win",IF(World_Cup_Matches[[#This Row],[Away Team Goals]]&gt;World_Cup_Matches[[#This Row],[Home Team Goals]],"Away win","Draw"))</f>
        <v>Hime Win</v>
      </c>
    </row>
    <row r="615" spans="1:24" x14ac:dyDescent="0.2">
      <c r="A615" s="19">
        <v>2002</v>
      </c>
      <c r="B615" s="15" t="s">
        <v>1383</v>
      </c>
      <c r="C615" s="3" t="s">
        <v>609</v>
      </c>
      <c r="D615" s="3" t="s">
        <v>1331</v>
      </c>
      <c r="E615" s="3" t="s">
        <v>1332</v>
      </c>
      <c r="F615" s="3" t="s">
        <v>1252</v>
      </c>
      <c r="G615" s="11">
        <v>3</v>
      </c>
      <c r="H615" s="11">
        <v>3</v>
      </c>
      <c r="I615" s="3" t="s">
        <v>72</v>
      </c>
      <c r="J615" s="3" t="s">
        <v>1842</v>
      </c>
      <c r="K615" s="3">
        <v>33681</v>
      </c>
      <c r="L615" s="11">
        <v>3</v>
      </c>
      <c r="M615" s="11">
        <v>0</v>
      </c>
      <c r="N615" s="3" t="s">
        <v>1384</v>
      </c>
      <c r="O615" s="3" t="s">
        <v>1316</v>
      </c>
      <c r="P615" s="3" t="s">
        <v>1341</v>
      </c>
      <c r="Q615" s="11">
        <v>43950100</v>
      </c>
      <c r="R615" s="11">
        <v>43950034</v>
      </c>
      <c r="S615" s="3" t="s">
        <v>1255</v>
      </c>
      <c r="T615" s="4" t="s">
        <v>73</v>
      </c>
      <c r="U615" s="11">
        <f>World_Cup_Matches[[#This Row],[Home Team Goals]]+World_Cup_Matches[[#This Row],[Away Team Goals]]</f>
        <v>6</v>
      </c>
      <c r="V615" s="11">
        <f>World_Cup_Matches[[#This Row],[Home Team Goals]]-World_Cup_Matches[[#This Row],[Away Team Goals]]</f>
        <v>0</v>
      </c>
      <c r="W615" s="4" t="str">
        <f>IF(World_Cup_Matches[[#This Row],[Home Team Goals]]&gt;World_Cup_Matches[[#This Row],[Away Team Goals]],World_Cup_Matches[[#This Row],[Home Team Name]],IF(World_Cup_Matches[[#This Row],[Away Team Goals]]&gt;World_Cup_Matches[[#This Row],[Home Team Goals]], World_Cup_Matches[[#This Row],[Away Team Name]],"Draw"))</f>
        <v>Draw</v>
      </c>
      <c r="X615" s="4" t="str">
        <f>IF(World_Cup_Matches[[#This Row],[Home Team Goals]]&gt;World_Cup_Matches[[#This Row],[Away Team Goals]],"Hime Win",IF(World_Cup_Matches[[#This Row],[Away Team Goals]]&gt;World_Cup_Matches[[#This Row],[Home Team Goals]],"Away win","Draw"))</f>
        <v>Draw</v>
      </c>
    </row>
    <row r="616" spans="1:24" x14ac:dyDescent="0.2">
      <c r="A616" s="19">
        <v>2002</v>
      </c>
      <c r="B616" s="15" t="s">
        <v>1385</v>
      </c>
      <c r="C616" s="3" t="s">
        <v>846</v>
      </c>
      <c r="D616" s="3" t="s">
        <v>1369</v>
      </c>
      <c r="E616" s="3" t="s">
        <v>1370</v>
      </c>
      <c r="F616" s="3" t="s">
        <v>1037</v>
      </c>
      <c r="G616" s="11">
        <v>0</v>
      </c>
      <c r="H616" s="11">
        <v>3</v>
      </c>
      <c r="I616" s="3" t="s">
        <v>933</v>
      </c>
      <c r="J616" s="3" t="s">
        <v>1842</v>
      </c>
      <c r="K616" s="3">
        <v>65320</v>
      </c>
      <c r="L616" s="11">
        <v>0</v>
      </c>
      <c r="M616" s="11">
        <v>1</v>
      </c>
      <c r="N616" s="3" t="s">
        <v>1386</v>
      </c>
      <c r="O616" s="3" t="s">
        <v>1344</v>
      </c>
      <c r="P616" s="3" t="s">
        <v>1277</v>
      </c>
      <c r="Q616" s="11">
        <v>43950100</v>
      </c>
      <c r="R616" s="11">
        <v>43950036</v>
      </c>
      <c r="S616" s="3" t="s">
        <v>1039</v>
      </c>
      <c r="T616" s="4" t="s">
        <v>934</v>
      </c>
      <c r="U616" s="11">
        <f>World_Cup_Matches[[#This Row],[Home Team Goals]]+World_Cup_Matches[[#This Row],[Away Team Goals]]</f>
        <v>3</v>
      </c>
      <c r="V616" s="11">
        <f>World_Cup_Matches[[#This Row],[Home Team Goals]]-World_Cup_Matches[[#This Row],[Away Team Goals]]</f>
        <v>-3</v>
      </c>
      <c r="W616" s="4" t="str">
        <f>IF(World_Cup_Matches[[#This Row],[Home Team Goals]]&gt;World_Cup_Matches[[#This Row],[Away Team Goals]],World_Cup_Matches[[#This Row],[Home Team Name]],IF(World_Cup_Matches[[#This Row],[Away Team Goals]]&gt;World_Cup_Matches[[#This Row],[Home Team Goals]], World_Cup_Matches[[#This Row],[Away Team Name]],"Draw"))</f>
        <v>rn"&gt;Republic of Ireland</v>
      </c>
      <c r="X616" s="4" t="str">
        <f>IF(World_Cup_Matches[[#This Row],[Home Team Goals]]&gt;World_Cup_Matches[[#This Row],[Away Team Goals]],"Hime Win",IF(World_Cup_Matches[[#This Row],[Away Team Goals]]&gt;World_Cup_Matches[[#This Row],[Home Team Goals]],"Away win","Draw"))</f>
        <v>Away win</v>
      </c>
    </row>
    <row r="617" spans="1:24" x14ac:dyDescent="0.2">
      <c r="A617" s="19">
        <v>2002</v>
      </c>
      <c r="B617" s="15" t="s">
        <v>1385</v>
      </c>
      <c r="C617" s="3" t="s">
        <v>846</v>
      </c>
      <c r="D617" s="3" t="s">
        <v>1387</v>
      </c>
      <c r="E617" s="3" t="s">
        <v>1388</v>
      </c>
      <c r="F617" s="3" t="s">
        <v>700</v>
      </c>
      <c r="G617" s="11">
        <v>0</v>
      </c>
      <c r="H617" s="11">
        <v>2</v>
      </c>
      <c r="I617" s="3" t="s">
        <v>124</v>
      </c>
      <c r="J617" s="3" t="s">
        <v>1842</v>
      </c>
      <c r="K617" s="3">
        <v>47085</v>
      </c>
      <c r="L617" s="11">
        <v>0</v>
      </c>
      <c r="M617" s="11">
        <v>0</v>
      </c>
      <c r="N617" s="3" t="s">
        <v>1389</v>
      </c>
      <c r="O617" s="3" t="s">
        <v>1350</v>
      </c>
      <c r="P617" s="3" t="s">
        <v>1289</v>
      </c>
      <c r="Q617" s="11">
        <v>43950100</v>
      </c>
      <c r="R617" s="11">
        <v>43950035</v>
      </c>
      <c r="S617" s="3" t="s">
        <v>702</v>
      </c>
      <c r="T617" s="4" t="s">
        <v>128</v>
      </c>
      <c r="U617" s="11">
        <f>World_Cup_Matches[[#This Row],[Home Team Goals]]+World_Cup_Matches[[#This Row],[Away Team Goals]]</f>
        <v>2</v>
      </c>
      <c r="V617" s="11">
        <f>World_Cup_Matches[[#This Row],[Home Team Goals]]-World_Cup_Matches[[#This Row],[Away Team Goals]]</f>
        <v>-2</v>
      </c>
      <c r="W617" s="4" t="str">
        <f>IF(World_Cup_Matches[[#This Row],[Home Team Goals]]&gt;World_Cup_Matches[[#This Row],[Away Team Goals]],World_Cup_Matches[[#This Row],[Home Team Name]],IF(World_Cup_Matches[[#This Row],[Away Team Goals]]&gt;World_Cup_Matches[[#This Row],[Home Team Goals]], World_Cup_Matches[[#This Row],[Away Team Name]],"Draw"))</f>
        <v>Germany</v>
      </c>
      <c r="X617" s="4" t="str">
        <f>IF(World_Cup_Matches[[#This Row],[Home Team Goals]]&gt;World_Cup_Matches[[#This Row],[Away Team Goals]],"Hime Win",IF(World_Cup_Matches[[#This Row],[Away Team Goals]]&gt;World_Cup_Matches[[#This Row],[Home Team Goals]],"Away win","Draw"))</f>
        <v>Away win</v>
      </c>
    </row>
    <row r="618" spans="1:24" x14ac:dyDescent="0.2">
      <c r="A618" s="19">
        <v>2002</v>
      </c>
      <c r="B618" s="15" t="s">
        <v>1390</v>
      </c>
      <c r="C618" s="3" t="s">
        <v>824</v>
      </c>
      <c r="D618" s="3" t="s">
        <v>1373</v>
      </c>
      <c r="E618" s="3" t="s">
        <v>1374</v>
      </c>
      <c r="F618" s="3" t="s">
        <v>117</v>
      </c>
      <c r="G618" s="11">
        <v>1</v>
      </c>
      <c r="H618" s="11">
        <v>1</v>
      </c>
      <c r="I618" s="3" t="s">
        <v>56</v>
      </c>
      <c r="J618" s="3" t="s">
        <v>1842</v>
      </c>
      <c r="K618" s="3">
        <v>45777</v>
      </c>
      <c r="L618" s="11">
        <v>0</v>
      </c>
      <c r="M618" s="11">
        <v>0</v>
      </c>
      <c r="N618" s="3" t="s">
        <v>1081</v>
      </c>
      <c r="O618" s="3" t="s">
        <v>1278</v>
      </c>
      <c r="P618" s="3" t="s">
        <v>1272</v>
      </c>
      <c r="Q618" s="11">
        <v>43950100</v>
      </c>
      <c r="R618" s="11">
        <v>43950037</v>
      </c>
      <c r="S618" s="3" t="s">
        <v>121</v>
      </c>
      <c r="T618" s="4" t="s">
        <v>59</v>
      </c>
      <c r="U618" s="11">
        <f>World_Cup_Matches[[#This Row],[Home Team Goals]]+World_Cup_Matches[[#This Row],[Away Team Goals]]</f>
        <v>2</v>
      </c>
      <c r="V618" s="11">
        <f>World_Cup_Matches[[#This Row],[Home Team Goals]]-World_Cup_Matches[[#This Row],[Away Team Goals]]</f>
        <v>0</v>
      </c>
      <c r="W618" s="4" t="str">
        <f>IF(World_Cup_Matches[[#This Row],[Home Team Goals]]&gt;World_Cup_Matches[[#This Row],[Away Team Goals]],World_Cup_Matches[[#This Row],[Home Team Name]],IF(World_Cup_Matches[[#This Row],[Away Team Goals]]&gt;World_Cup_Matches[[#This Row],[Home Team Goals]], World_Cup_Matches[[#This Row],[Away Team Name]],"Draw"))</f>
        <v>Draw</v>
      </c>
      <c r="X618" s="4" t="str">
        <f>IF(World_Cup_Matches[[#This Row],[Home Team Goals]]&gt;World_Cup_Matches[[#This Row],[Away Team Goals]],"Hime Win",IF(World_Cup_Matches[[#This Row],[Away Team Goals]]&gt;World_Cup_Matches[[#This Row],[Home Team Goals]],"Away win","Draw"))</f>
        <v>Draw</v>
      </c>
    </row>
    <row r="619" spans="1:24" x14ac:dyDescent="0.2">
      <c r="A619" s="19">
        <v>2002</v>
      </c>
      <c r="B619" s="15" t="s">
        <v>1390</v>
      </c>
      <c r="C619" s="3" t="s">
        <v>824</v>
      </c>
      <c r="D619" s="3" t="s">
        <v>1391</v>
      </c>
      <c r="E619" s="3" t="s">
        <v>1392</v>
      </c>
      <c r="F619" s="3" t="s">
        <v>1055</v>
      </c>
      <c r="G619" s="11">
        <v>0</v>
      </c>
      <c r="H619" s="11">
        <v>0</v>
      </c>
      <c r="I619" s="3" t="s">
        <v>223</v>
      </c>
      <c r="J619" s="3" t="s">
        <v>1842</v>
      </c>
      <c r="K619" s="3">
        <v>44864</v>
      </c>
      <c r="L619" s="11">
        <v>0</v>
      </c>
      <c r="M619" s="11">
        <v>0</v>
      </c>
      <c r="N619" s="3" t="s">
        <v>1304</v>
      </c>
      <c r="O619" s="3" t="s">
        <v>1305</v>
      </c>
      <c r="P619" s="3" t="s">
        <v>1189</v>
      </c>
      <c r="Q619" s="11">
        <v>43950100</v>
      </c>
      <c r="R619" s="11">
        <v>43950038</v>
      </c>
      <c r="S619" s="3" t="s">
        <v>1057</v>
      </c>
      <c r="T619" s="4" t="s">
        <v>227</v>
      </c>
      <c r="U619" s="11">
        <f>World_Cup_Matches[[#This Row],[Home Team Goals]]+World_Cup_Matches[[#This Row],[Away Team Goals]]</f>
        <v>0</v>
      </c>
      <c r="V619" s="11">
        <f>World_Cup_Matches[[#This Row],[Home Team Goals]]-World_Cup_Matches[[#This Row],[Away Team Goals]]</f>
        <v>0</v>
      </c>
      <c r="W619" s="4" t="str">
        <f>IF(World_Cup_Matches[[#This Row],[Home Team Goals]]&gt;World_Cup_Matches[[#This Row],[Away Team Goals]],World_Cup_Matches[[#This Row],[Home Team Name]],IF(World_Cup_Matches[[#This Row],[Away Team Goals]]&gt;World_Cup_Matches[[#This Row],[Home Team Goals]], World_Cup_Matches[[#This Row],[Away Team Name]],"Draw"))</f>
        <v>Draw</v>
      </c>
      <c r="X619" s="4" t="str">
        <f>IF(World_Cup_Matches[[#This Row],[Home Team Goals]]&gt;World_Cup_Matches[[#This Row],[Away Team Goals]],"Hime Win",IF(World_Cup_Matches[[#This Row],[Away Team Goals]]&gt;World_Cup_Matches[[#This Row],[Home Team Goals]],"Away win","Draw"))</f>
        <v>Draw</v>
      </c>
    </row>
    <row r="620" spans="1:24" x14ac:dyDescent="0.2">
      <c r="A620" s="19">
        <v>2002</v>
      </c>
      <c r="B620" s="15" t="s">
        <v>1393</v>
      </c>
      <c r="C620" s="3" t="s">
        <v>607</v>
      </c>
      <c r="D620" s="3" t="s">
        <v>1359</v>
      </c>
      <c r="E620" s="3" t="s">
        <v>1360</v>
      </c>
      <c r="F620" s="3" t="s">
        <v>1293</v>
      </c>
      <c r="G620" s="11">
        <v>1</v>
      </c>
      <c r="H620" s="11">
        <v>3</v>
      </c>
      <c r="I620" s="3" t="s">
        <v>68</v>
      </c>
      <c r="J620" s="3" t="s">
        <v>1842</v>
      </c>
      <c r="K620" s="3">
        <v>30176</v>
      </c>
      <c r="L620" s="11">
        <v>1</v>
      </c>
      <c r="M620" s="11">
        <v>0</v>
      </c>
      <c r="N620" s="3" t="s">
        <v>1346</v>
      </c>
      <c r="O620" s="3" t="s">
        <v>1324</v>
      </c>
      <c r="P620" s="3" t="s">
        <v>1300</v>
      </c>
      <c r="Q620" s="11">
        <v>43950100</v>
      </c>
      <c r="R620" s="11">
        <v>43950040</v>
      </c>
      <c r="S620" s="3" t="s">
        <v>1297</v>
      </c>
      <c r="T620" s="4" t="s">
        <v>69</v>
      </c>
      <c r="U620" s="11">
        <f>World_Cup_Matches[[#This Row],[Home Team Goals]]+World_Cup_Matches[[#This Row],[Away Team Goals]]</f>
        <v>4</v>
      </c>
      <c r="V620" s="11">
        <f>World_Cup_Matches[[#This Row],[Home Team Goals]]-World_Cup_Matches[[#This Row],[Away Team Goals]]</f>
        <v>-2</v>
      </c>
      <c r="W620" s="4" t="str">
        <f>IF(World_Cup_Matches[[#This Row],[Home Team Goals]]&gt;World_Cup_Matches[[#This Row],[Away Team Goals]],World_Cup_Matches[[#This Row],[Home Team Name]],IF(World_Cup_Matches[[#This Row],[Away Team Goals]]&gt;World_Cup_Matches[[#This Row],[Home Team Goals]], World_Cup_Matches[[#This Row],[Away Team Name]],"Draw"))</f>
        <v>Paraguay</v>
      </c>
      <c r="X620" s="4" t="str">
        <f>IF(World_Cup_Matches[[#This Row],[Home Team Goals]]&gt;World_Cup_Matches[[#This Row],[Away Team Goals]],"Hime Win",IF(World_Cup_Matches[[#This Row],[Away Team Goals]]&gt;World_Cup_Matches[[#This Row],[Home Team Goals]],"Away win","Draw"))</f>
        <v>Away win</v>
      </c>
    </row>
    <row r="621" spans="1:24" x14ac:dyDescent="0.2">
      <c r="A621" s="19">
        <v>2002</v>
      </c>
      <c r="B621" s="15" t="s">
        <v>1393</v>
      </c>
      <c r="C621" s="3" t="s">
        <v>607</v>
      </c>
      <c r="D621" s="3" t="s">
        <v>1394</v>
      </c>
      <c r="E621" s="3" t="s">
        <v>1395</v>
      </c>
      <c r="F621" s="3" t="s">
        <v>1138</v>
      </c>
      <c r="G621" s="11">
        <v>2</v>
      </c>
      <c r="H621" s="11">
        <v>3</v>
      </c>
      <c r="I621" s="3" t="s">
        <v>131</v>
      </c>
      <c r="J621" s="3" t="s">
        <v>1842</v>
      </c>
      <c r="K621" s="3">
        <v>31024</v>
      </c>
      <c r="L621" s="11">
        <v>1</v>
      </c>
      <c r="M621" s="11">
        <v>2</v>
      </c>
      <c r="N621" s="3" t="s">
        <v>1259</v>
      </c>
      <c r="O621" s="3" t="s">
        <v>1254</v>
      </c>
      <c r="P621" s="3" t="s">
        <v>1260</v>
      </c>
      <c r="Q621" s="11">
        <v>43950100</v>
      </c>
      <c r="R621" s="11">
        <v>43950039</v>
      </c>
      <c r="S621" s="3" t="s">
        <v>1142</v>
      </c>
      <c r="T621" s="4" t="s">
        <v>135</v>
      </c>
      <c r="U621" s="11">
        <f>World_Cup_Matches[[#This Row],[Home Team Goals]]+World_Cup_Matches[[#This Row],[Away Team Goals]]</f>
        <v>5</v>
      </c>
      <c r="V621" s="11">
        <f>World_Cup_Matches[[#This Row],[Home Team Goals]]-World_Cup_Matches[[#This Row],[Away Team Goals]]</f>
        <v>-1</v>
      </c>
      <c r="W621" s="4" t="str">
        <f>IF(World_Cup_Matches[[#This Row],[Home Team Goals]]&gt;World_Cup_Matches[[#This Row],[Away Team Goals]],World_Cup_Matches[[#This Row],[Home Team Name]],IF(World_Cup_Matches[[#This Row],[Away Team Goals]]&gt;World_Cup_Matches[[#This Row],[Home Team Goals]], World_Cup_Matches[[#This Row],[Away Team Name]],"Draw"))</f>
        <v>Spain</v>
      </c>
      <c r="X621" s="4" t="str">
        <f>IF(World_Cup_Matches[[#This Row],[Home Team Goals]]&gt;World_Cup_Matches[[#This Row],[Away Team Goals]],"Hime Win",IF(World_Cup_Matches[[#This Row],[Away Team Goals]]&gt;World_Cup_Matches[[#This Row],[Home Team Goals]],"Away win","Draw"))</f>
        <v>Away win</v>
      </c>
    </row>
    <row r="622" spans="1:24" x14ac:dyDescent="0.2">
      <c r="A622" s="19">
        <v>2002</v>
      </c>
      <c r="B622" s="15" t="s">
        <v>1396</v>
      </c>
      <c r="C622" s="3" t="s">
        <v>805</v>
      </c>
      <c r="D622" s="3" t="s">
        <v>1331</v>
      </c>
      <c r="E622" s="3" t="s">
        <v>1332</v>
      </c>
      <c r="F622" s="3" t="s">
        <v>925</v>
      </c>
      <c r="G622" s="11">
        <v>2</v>
      </c>
      <c r="H622" s="11">
        <v>5</v>
      </c>
      <c r="I622" s="3" t="s">
        <v>42</v>
      </c>
      <c r="J622" s="3" t="s">
        <v>1842</v>
      </c>
      <c r="K622" s="3">
        <v>38524</v>
      </c>
      <c r="L622" s="11">
        <v>1</v>
      </c>
      <c r="M622" s="11">
        <v>3</v>
      </c>
      <c r="N622" s="3" t="s">
        <v>1195</v>
      </c>
      <c r="O622" s="3" t="s">
        <v>1354</v>
      </c>
      <c r="P622" s="3" t="s">
        <v>1296</v>
      </c>
      <c r="Q622" s="11">
        <v>43950100</v>
      </c>
      <c r="R622" s="11">
        <v>43950041</v>
      </c>
      <c r="S622" s="3" t="s">
        <v>929</v>
      </c>
      <c r="T622" s="4" t="s">
        <v>47</v>
      </c>
      <c r="U622" s="11">
        <f>World_Cup_Matches[[#This Row],[Home Team Goals]]+World_Cup_Matches[[#This Row],[Away Team Goals]]</f>
        <v>7</v>
      </c>
      <c r="V622" s="11">
        <f>World_Cup_Matches[[#This Row],[Home Team Goals]]-World_Cup_Matches[[#This Row],[Away Team Goals]]</f>
        <v>-3</v>
      </c>
      <c r="W622" s="4" t="str">
        <f>IF(World_Cup_Matches[[#This Row],[Home Team Goals]]&gt;World_Cup_Matches[[#This Row],[Away Team Goals]],World_Cup_Matches[[#This Row],[Home Team Name]],IF(World_Cup_Matches[[#This Row],[Away Team Goals]]&gt;World_Cup_Matches[[#This Row],[Home Team Goals]], World_Cup_Matches[[#This Row],[Away Team Name]],"Draw"))</f>
        <v>Brazil</v>
      </c>
      <c r="X622" s="4" t="str">
        <f>IF(World_Cup_Matches[[#This Row],[Home Team Goals]]&gt;World_Cup_Matches[[#This Row],[Away Team Goals]],"Hime Win",IF(World_Cup_Matches[[#This Row],[Away Team Goals]]&gt;World_Cup_Matches[[#This Row],[Home Team Goals]],"Away win","Draw"))</f>
        <v>Away win</v>
      </c>
    </row>
    <row r="623" spans="1:24" x14ac:dyDescent="0.2">
      <c r="A623" s="19">
        <v>2002</v>
      </c>
      <c r="B623" s="15" t="s">
        <v>1396</v>
      </c>
      <c r="C623" s="3" t="s">
        <v>805</v>
      </c>
      <c r="D623" s="3" t="s">
        <v>1250</v>
      </c>
      <c r="E623" s="3" t="s">
        <v>1251</v>
      </c>
      <c r="F623" s="3" t="s">
        <v>286</v>
      </c>
      <c r="G623" s="11">
        <v>3</v>
      </c>
      <c r="H623" s="11">
        <v>0</v>
      </c>
      <c r="I623" s="3" t="s">
        <v>1313</v>
      </c>
      <c r="J623" s="3" t="s">
        <v>1842</v>
      </c>
      <c r="K623" s="3">
        <v>43605</v>
      </c>
      <c r="L623" s="11">
        <v>2</v>
      </c>
      <c r="M623" s="11">
        <v>0</v>
      </c>
      <c r="N623" s="3" t="s">
        <v>1322</v>
      </c>
      <c r="O623" s="3" t="s">
        <v>1295</v>
      </c>
      <c r="P623" s="3" t="s">
        <v>1284</v>
      </c>
      <c r="Q623" s="11">
        <v>43950100</v>
      </c>
      <c r="R623" s="11">
        <v>43950042</v>
      </c>
      <c r="S623" s="3" t="s">
        <v>290</v>
      </c>
      <c r="T623" s="4" t="s">
        <v>1317</v>
      </c>
      <c r="U623" s="11">
        <f>World_Cup_Matches[[#This Row],[Home Team Goals]]+World_Cup_Matches[[#This Row],[Away Team Goals]]</f>
        <v>3</v>
      </c>
      <c r="V623" s="11">
        <f>World_Cup_Matches[[#This Row],[Home Team Goals]]-World_Cup_Matches[[#This Row],[Away Team Goals]]</f>
        <v>3</v>
      </c>
      <c r="W623" s="4" t="str">
        <f>IF(World_Cup_Matches[[#This Row],[Home Team Goals]]&gt;World_Cup_Matches[[#This Row],[Away Team Goals]],World_Cup_Matches[[#This Row],[Home Team Name]],IF(World_Cup_Matches[[#This Row],[Away Team Goals]]&gt;World_Cup_Matches[[#This Row],[Home Team Goals]], World_Cup_Matches[[#This Row],[Away Team Name]],"Draw"))</f>
        <v>Turkey</v>
      </c>
      <c r="X623" s="4" t="str">
        <f>IF(World_Cup_Matches[[#This Row],[Home Team Goals]]&gt;World_Cup_Matches[[#This Row],[Away Team Goals]],"Hime Win",IF(World_Cup_Matches[[#This Row],[Away Team Goals]]&gt;World_Cup_Matches[[#This Row],[Home Team Goals]],"Away win","Draw"))</f>
        <v>Hime Win</v>
      </c>
    </row>
    <row r="624" spans="1:24" x14ac:dyDescent="0.2">
      <c r="A624" s="19">
        <v>2002</v>
      </c>
      <c r="B624" s="15" t="s">
        <v>1397</v>
      </c>
      <c r="C624" s="3" t="s">
        <v>1179</v>
      </c>
      <c r="D624" s="3" t="s">
        <v>1369</v>
      </c>
      <c r="E624" s="3" t="s">
        <v>1370</v>
      </c>
      <c r="F624" s="3" t="s">
        <v>1303</v>
      </c>
      <c r="G624" s="11">
        <v>1</v>
      </c>
      <c r="H624" s="11">
        <v>0</v>
      </c>
      <c r="I624" s="3" t="s">
        <v>1172</v>
      </c>
      <c r="J624" s="3" t="s">
        <v>1842</v>
      </c>
      <c r="K624" s="3">
        <v>65862</v>
      </c>
      <c r="L624" s="11">
        <v>0</v>
      </c>
      <c r="M624" s="11">
        <v>0</v>
      </c>
      <c r="N624" s="3" t="s">
        <v>1319</v>
      </c>
      <c r="O624" s="3" t="s">
        <v>1271</v>
      </c>
      <c r="P624" s="3" t="s">
        <v>1266</v>
      </c>
      <c r="Q624" s="11">
        <v>43950100</v>
      </c>
      <c r="R624" s="11">
        <v>43950044</v>
      </c>
      <c r="S624" s="3" t="s">
        <v>1307</v>
      </c>
      <c r="T624" s="4" t="s">
        <v>1177</v>
      </c>
      <c r="U624" s="11">
        <f>World_Cup_Matches[[#This Row],[Home Team Goals]]+World_Cup_Matches[[#This Row],[Away Team Goals]]</f>
        <v>1</v>
      </c>
      <c r="V624" s="11">
        <f>World_Cup_Matches[[#This Row],[Home Team Goals]]-World_Cup_Matches[[#This Row],[Away Team Goals]]</f>
        <v>1</v>
      </c>
      <c r="W624" s="4" t="str">
        <f>IF(World_Cup_Matches[[#This Row],[Home Team Goals]]&gt;World_Cup_Matches[[#This Row],[Away Team Goals]],World_Cup_Matches[[#This Row],[Home Team Name]],IF(World_Cup_Matches[[#This Row],[Away Team Goals]]&gt;World_Cup_Matches[[#This Row],[Home Team Goals]], World_Cup_Matches[[#This Row],[Away Team Name]],"Draw"))</f>
        <v>Ecuador</v>
      </c>
      <c r="X624" s="4" t="str">
        <f>IF(World_Cup_Matches[[#This Row],[Home Team Goals]]&gt;World_Cup_Matches[[#This Row],[Away Team Goals]],"Hime Win",IF(World_Cup_Matches[[#This Row],[Away Team Goals]]&gt;World_Cup_Matches[[#This Row],[Home Team Goals]],"Away win","Draw"))</f>
        <v>Hime Win</v>
      </c>
    </row>
    <row r="625" spans="1:24" x14ac:dyDescent="0.2">
      <c r="A625" s="19">
        <v>2002</v>
      </c>
      <c r="B625" s="15" t="s">
        <v>1397</v>
      </c>
      <c r="C625" s="3" t="s">
        <v>1179</v>
      </c>
      <c r="D625" s="3" t="s">
        <v>1379</v>
      </c>
      <c r="E625" s="3" t="s">
        <v>1380</v>
      </c>
      <c r="F625" s="3" t="s">
        <v>25</v>
      </c>
      <c r="G625" s="11">
        <v>1</v>
      </c>
      <c r="H625" s="11">
        <v>1</v>
      </c>
      <c r="I625" s="3" t="s">
        <v>138</v>
      </c>
      <c r="J625" s="3" t="s">
        <v>1842</v>
      </c>
      <c r="K625" s="3">
        <v>39291</v>
      </c>
      <c r="L625" s="11">
        <v>1</v>
      </c>
      <c r="M625" s="11">
        <v>0</v>
      </c>
      <c r="N625" s="3" t="s">
        <v>1288</v>
      </c>
      <c r="O625" s="3" t="s">
        <v>1289</v>
      </c>
      <c r="P625" s="3" t="s">
        <v>1265</v>
      </c>
      <c r="Q625" s="11">
        <v>43950100</v>
      </c>
      <c r="R625" s="11">
        <v>43950043</v>
      </c>
      <c r="S625" s="3" t="s">
        <v>30</v>
      </c>
      <c r="T625" s="4" t="s">
        <v>142</v>
      </c>
      <c r="U625" s="11">
        <f>World_Cup_Matches[[#This Row],[Home Team Goals]]+World_Cup_Matches[[#This Row],[Away Team Goals]]</f>
        <v>2</v>
      </c>
      <c r="V625" s="11">
        <f>World_Cup_Matches[[#This Row],[Home Team Goals]]-World_Cup_Matches[[#This Row],[Away Team Goals]]</f>
        <v>0</v>
      </c>
      <c r="W625" s="4" t="str">
        <f>IF(World_Cup_Matches[[#This Row],[Home Team Goals]]&gt;World_Cup_Matches[[#This Row],[Away Team Goals]],World_Cup_Matches[[#This Row],[Home Team Name]],IF(World_Cup_Matches[[#This Row],[Away Team Goals]]&gt;World_Cup_Matches[[#This Row],[Home Team Goals]], World_Cup_Matches[[#This Row],[Away Team Name]],"Draw"))</f>
        <v>Draw</v>
      </c>
      <c r="X625" s="4" t="str">
        <f>IF(World_Cup_Matches[[#This Row],[Home Team Goals]]&gt;World_Cup_Matches[[#This Row],[Away Team Goals]],"Hime Win",IF(World_Cup_Matches[[#This Row],[Away Team Goals]]&gt;World_Cup_Matches[[#This Row],[Home Team Goals]],"Away win","Draw"))</f>
        <v>Draw</v>
      </c>
    </row>
    <row r="626" spans="1:24" x14ac:dyDescent="0.2">
      <c r="A626" s="19">
        <v>2002</v>
      </c>
      <c r="B626" s="15" t="s">
        <v>1398</v>
      </c>
      <c r="C626" s="3" t="s">
        <v>1160</v>
      </c>
      <c r="D626" s="3" t="s">
        <v>1391</v>
      </c>
      <c r="E626" s="3" t="s">
        <v>1392</v>
      </c>
      <c r="F626" s="3" t="s">
        <v>628</v>
      </c>
      <c r="G626" s="11">
        <v>0</v>
      </c>
      <c r="H626" s="11">
        <v>2</v>
      </c>
      <c r="I626" s="3" t="s">
        <v>1161</v>
      </c>
      <c r="J626" s="3" t="s">
        <v>1842</v>
      </c>
      <c r="K626" s="3">
        <v>45213</v>
      </c>
      <c r="L626" s="11">
        <v>0</v>
      </c>
      <c r="M626" s="11">
        <v>0</v>
      </c>
      <c r="N626" s="3" t="s">
        <v>1276</v>
      </c>
      <c r="O626" s="3" t="s">
        <v>1277</v>
      </c>
      <c r="P626" s="3" t="s">
        <v>1320</v>
      </c>
      <c r="Q626" s="11">
        <v>43950100</v>
      </c>
      <c r="R626" s="11">
        <v>43950045</v>
      </c>
      <c r="S626" s="3" t="s">
        <v>632</v>
      </c>
      <c r="T626" s="4" t="s">
        <v>1164</v>
      </c>
      <c r="U626" s="11">
        <f>World_Cup_Matches[[#This Row],[Home Team Goals]]+World_Cup_Matches[[#This Row],[Away Team Goals]]</f>
        <v>2</v>
      </c>
      <c r="V626" s="11">
        <f>World_Cup_Matches[[#This Row],[Home Team Goals]]-World_Cup_Matches[[#This Row],[Away Team Goals]]</f>
        <v>-2</v>
      </c>
      <c r="W626" s="4" t="str">
        <f>IF(World_Cup_Matches[[#This Row],[Home Team Goals]]&gt;World_Cup_Matches[[#This Row],[Away Team Goals]],World_Cup_Matches[[#This Row],[Home Team Name]],IF(World_Cup_Matches[[#This Row],[Away Team Goals]]&gt;World_Cup_Matches[[#This Row],[Home Team Goals]], World_Cup_Matches[[#This Row],[Away Team Name]],"Draw"))</f>
        <v>Japan</v>
      </c>
      <c r="X626" s="4" t="str">
        <f>IF(World_Cup_Matches[[#This Row],[Home Team Goals]]&gt;World_Cup_Matches[[#This Row],[Away Team Goals]],"Hime Win",IF(World_Cup_Matches[[#This Row],[Away Team Goals]]&gt;World_Cup_Matches[[#This Row],[Home Team Goals]],"Away win","Draw"))</f>
        <v>Away win</v>
      </c>
    </row>
    <row r="627" spans="1:24" x14ac:dyDescent="0.2">
      <c r="A627" s="19">
        <v>2002</v>
      </c>
      <c r="B627" s="15" t="s">
        <v>1399</v>
      </c>
      <c r="C627" s="3" t="s">
        <v>811</v>
      </c>
      <c r="D627" s="3" t="s">
        <v>1365</v>
      </c>
      <c r="E627" s="3" t="s">
        <v>1366</v>
      </c>
      <c r="F627" s="3" t="s">
        <v>458</v>
      </c>
      <c r="G627" s="11">
        <v>0</v>
      </c>
      <c r="H627" s="11">
        <v>1</v>
      </c>
      <c r="I627" s="3" t="s">
        <v>291</v>
      </c>
      <c r="J627" s="3" t="s">
        <v>1842</v>
      </c>
      <c r="K627" s="3">
        <v>50239</v>
      </c>
      <c r="L627" s="11">
        <v>0</v>
      </c>
      <c r="M627" s="11">
        <v>0</v>
      </c>
      <c r="N627" s="3" t="s">
        <v>1357</v>
      </c>
      <c r="O627" s="3" t="s">
        <v>1253</v>
      </c>
      <c r="P627" s="3" t="s">
        <v>1341</v>
      </c>
      <c r="Q627" s="11">
        <v>43950100</v>
      </c>
      <c r="R627" s="11">
        <v>43950047</v>
      </c>
      <c r="S627" s="3" t="s">
        <v>462</v>
      </c>
      <c r="T627" s="4" t="s">
        <v>295</v>
      </c>
      <c r="U627" s="11">
        <f>World_Cup_Matches[[#This Row],[Home Team Goals]]+World_Cup_Matches[[#This Row],[Away Team Goals]]</f>
        <v>1</v>
      </c>
      <c r="V627" s="11">
        <f>World_Cup_Matches[[#This Row],[Home Team Goals]]-World_Cup_Matches[[#This Row],[Away Team Goals]]</f>
        <v>-1</v>
      </c>
      <c r="W627" s="4" t="str">
        <f>IF(World_Cup_Matches[[#This Row],[Home Team Goals]]&gt;World_Cup_Matches[[#This Row],[Away Team Goals]],World_Cup_Matches[[#This Row],[Home Team Name]],IF(World_Cup_Matches[[#This Row],[Away Team Goals]]&gt;World_Cup_Matches[[#This Row],[Home Team Goals]], World_Cup_Matches[[#This Row],[Away Team Name]],"Draw"))</f>
        <v>Korea Republic</v>
      </c>
      <c r="X627" s="4" t="str">
        <f>IF(World_Cup_Matches[[#This Row],[Home Team Goals]]&gt;World_Cup_Matches[[#This Row],[Away Team Goals]],"Hime Win",IF(World_Cup_Matches[[#This Row],[Away Team Goals]]&gt;World_Cup_Matches[[#This Row],[Home Team Goals]],"Away win","Draw"))</f>
        <v>Away win</v>
      </c>
    </row>
    <row r="628" spans="1:24" x14ac:dyDescent="0.2">
      <c r="A628" s="19">
        <v>2002</v>
      </c>
      <c r="B628" s="15" t="s">
        <v>1399</v>
      </c>
      <c r="C628" s="3" t="s">
        <v>811</v>
      </c>
      <c r="D628" s="3" t="s">
        <v>1394</v>
      </c>
      <c r="E628" s="3" t="s">
        <v>1395</v>
      </c>
      <c r="F628" s="3" t="s">
        <v>190</v>
      </c>
      <c r="G628" s="11">
        <v>3</v>
      </c>
      <c r="H628" s="11">
        <v>1</v>
      </c>
      <c r="I628" s="3" t="s">
        <v>33</v>
      </c>
      <c r="J628" s="3" t="s">
        <v>1842</v>
      </c>
      <c r="K628" s="3">
        <v>26482</v>
      </c>
      <c r="L628" s="11">
        <v>2</v>
      </c>
      <c r="M628" s="11">
        <v>0</v>
      </c>
      <c r="N628" s="3" t="s">
        <v>1400</v>
      </c>
      <c r="O628" s="3" t="s">
        <v>1334</v>
      </c>
      <c r="P628" s="3" t="s">
        <v>1316</v>
      </c>
      <c r="Q628" s="11">
        <v>43950100</v>
      </c>
      <c r="R628" s="11">
        <v>43950048</v>
      </c>
      <c r="S628" s="3" t="s">
        <v>194</v>
      </c>
      <c r="T628" s="4" t="s">
        <v>33</v>
      </c>
      <c r="U628" s="11">
        <f>World_Cup_Matches[[#This Row],[Home Team Goals]]+World_Cup_Matches[[#This Row],[Away Team Goals]]</f>
        <v>4</v>
      </c>
      <c r="V628" s="11">
        <f>World_Cup_Matches[[#This Row],[Home Team Goals]]-World_Cup_Matches[[#This Row],[Away Team Goals]]</f>
        <v>2</v>
      </c>
      <c r="W628" s="4" t="str">
        <f>IF(World_Cup_Matches[[#This Row],[Home Team Goals]]&gt;World_Cup_Matches[[#This Row],[Away Team Goals]],World_Cup_Matches[[#This Row],[Home Team Name]],IF(World_Cup_Matches[[#This Row],[Away Team Goals]]&gt;World_Cup_Matches[[#This Row],[Home Team Goals]], World_Cup_Matches[[#This Row],[Away Team Name]],"Draw"))</f>
        <v>Poland</v>
      </c>
      <c r="X628" s="4" t="str">
        <f>IF(World_Cup_Matches[[#This Row],[Home Team Goals]]&gt;World_Cup_Matches[[#This Row],[Away Team Goals]],"Hime Win",IF(World_Cup_Matches[[#This Row],[Away Team Goals]]&gt;World_Cup_Matches[[#This Row],[Home Team Goals]],"Away win","Draw"))</f>
        <v>Hime Win</v>
      </c>
    </row>
    <row r="629" spans="1:24" x14ac:dyDescent="0.2">
      <c r="A629" s="19">
        <v>2002</v>
      </c>
      <c r="B629" s="15" t="s">
        <v>1398</v>
      </c>
      <c r="C629" s="3" t="s">
        <v>1160</v>
      </c>
      <c r="D629" s="3" t="s">
        <v>1387</v>
      </c>
      <c r="E629" s="3" t="s">
        <v>1388</v>
      </c>
      <c r="F629" s="3" t="s">
        <v>34</v>
      </c>
      <c r="G629" s="11">
        <v>3</v>
      </c>
      <c r="H629" s="11">
        <v>2</v>
      </c>
      <c r="I629" s="3" t="s">
        <v>1043</v>
      </c>
      <c r="J629" s="3" t="s">
        <v>1842</v>
      </c>
      <c r="K629" s="3">
        <v>46640</v>
      </c>
      <c r="L629" s="11">
        <v>1</v>
      </c>
      <c r="M629" s="11">
        <v>0</v>
      </c>
      <c r="N629" s="3" t="s">
        <v>1213</v>
      </c>
      <c r="O629" s="3" t="s">
        <v>1306</v>
      </c>
      <c r="P629" s="3" t="s">
        <v>1310</v>
      </c>
      <c r="Q629" s="11">
        <v>43950100</v>
      </c>
      <c r="R629" s="11">
        <v>43950046</v>
      </c>
      <c r="S629" s="3" t="s">
        <v>38</v>
      </c>
      <c r="T629" s="4" t="s">
        <v>1047</v>
      </c>
      <c r="U629" s="11">
        <f>World_Cup_Matches[[#This Row],[Home Team Goals]]+World_Cup_Matches[[#This Row],[Away Team Goals]]</f>
        <v>5</v>
      </c>
      <c r="V629" s="11">
        <f>World_Cup_Matches[[#This Row],[Home Team Goals]]-World_Cup_Matches[[#This Row],[Away Team Goals]]</f>
        <v>1</v>
      </c>
      <c r="W629" s="4" t="str">
        <f>IF(World_Cup_Matches[[#This Row],[Home Team Goals]]&gt;World_Cup_Matches[[#This Row],[Away Team Goals]],World_Cup_Matches[[#This Row],[Home Team Name]],IF(World_Cup_Matches[[#This Row],[Away Team Goals]]&gt;World_Cup_Matches[[#This Row],[Home Team Goals]], World_Cup_Matches[[#This Row],[Away Team Name]],"Draw"))</f>
        <v>Belgium</v>
      </c>
      <c r="X629" s="4" t="str">
        <f>IF(World_Cup_Matches[[#This Row],[Home Team Goals]]&gt;World_Cup_Matches[[#This Row],[Away Team Goals]],"Hime Win",IF(World_Cup_Matches[[#This Row],[Away Team Goals]]&gt;World_Cup_Matches[[#This Row],[Home Team Goals]],"Away win","Draw"))</f>
        <v>Hime Win</v>
      </c>
    </row>
    <row r="630" spans="1:24" x14ac:dyDescent="0.2">
      <c r="A630" s="19">
        <v>2002</v>
      </c>
      <c r="B630" s="15" t="s">
        <v>1401</v>
      </c>
      <c r="C630" s="3" t="s">
        <v>878</v>
      </c>
      <c r="D630" s="3" t="s">
        <v>1262</v>
      </c>
      <c r="E630" s="3" t="s">
        <v>1263</v>
      </c>
      <c r="F630" s="3" t="s">
        <v>849</v>
      </c>
      <c r="G630" s="11">
        <v>0</v>
      </c>
      <c r="H630" s="11">
        <v>3</v>
      </c>
      <c r="I630" s="3" t="s">
        <v>223</v>
      </c>
      <c r="J630" s="3" t="s">
        <v>1842</v>
      </c>
      <c r="K630" s="3">
        <v>40582</v>
      </c>
      <c r="L630" s="11">
        <v>0</v>
      </c>
      <c r="M630" s="11">
        <v>3</v>
      </c>
      <c r="N630" s="3" t="s">
        <v>1371</v>
      </c>
      <c r="O630" s="3" t="s">
        <v>1278</v>
      </c>
      <c r="P630" s="3" t="s">
        <v>1189</v>
      </c>
      <c r="Q630" s="11">
        <v>43950200</v>
      </c>
      <c r="R630" s="11">
        <v>43950050</v>
      </c>
      <c r="S630" s="3" t="s">
        <v>853</v>
      </c>
      <c r="T630" s="4" t="s">
        <v>227</v>
      </c>
      <c r="U630" s="11">
        <f>World_Cup_Matches[[#This Row],[Home Team Goals]]+World_Cup_Matches[[#This Row],[Away Team Goals]]</f>
        <v>3</v>
      </c>
      <c r="V630" s="11">
        <f>World_Cup_Matches[[#This Row],[Home Team Goals]]-World_Cup_Matches[[#This Row],[Away Team Goals]]</f>
        <v>-3</v>
      </c>
      <c r="W630" s="4" t="str">
        <f>IF(World_Cup_Matches[[#This Row],[Home Team Goals]]&gt;World_Cup_Matches[[#This Row],[Away Team Goals]],World_Cup_Matches[[#This Row],[Home Team Name]],IF(World_Cup_Matches[[#This Row],[Away Team Goals]]&gt;World_Cup_Matches[[#This Row],[Home Team Goals]], World_Cup_Matches[[#This Row],[Away Team Name]],"Draw"))</f>
        <v>England</v>
      </c>
      <c r="X630" s="4" t="str">
        <f>IF(World_Cup_Matches[[#This Row],[Home Team Goals]]&gt;World_Cup_Matches[[#This Row],[Away Team Goals]],"Hime Win",IF(World_Cup_Matches[[#This Row],[Away Team Goals]]&gt;World_Cup_Matches[[#This Row],[Home Team Goals]],"Away win","Draw"))</f>
        <v>Away win</v>
      </c>
    </row>
    <row r="631" spans="1:24" x14ac:dyDescent="0.2">
      <c r="A631" s="19">
        <v>2002</v>
      </c>
      <c r="B631" s="15" t="s">
        <v>1402</v>
      </c>
      <c r="C631" s="3" t="s">
        <v>878</v>
      </c>
      <c r="D631" s="3" t="s">
        <v>1359</v>
      </c>
      <c r="E631" s="3" t="s">
        <v>1360</v>
      </c>
      <c r="F631" s="3" t="s">
        <v>124</v>
      </c>
      <c r="G631" s="11">
        <v>1</v>
      </c>
      <c r="H631" s="11">
        <v>0</v>
      </c>
      <c r="I631" s="3" t="s">
        <v>68</v>
      </c>
      <c r="J631" s="3" t="s">
        <v>1842</v>
      </c>
      <c r="K631" s="3">
        <v>25176</v>
      </c>
      <c r="L631" s="11">
        <v>0</v>
      </c>
      <c r="M631" s="11">
        <v>0</v>
      </c>
      <c r="N631" s="3" t="s">
        <v>1340</v>
      </c>
      <c r="O631" s="3" t="s">
        <v>1284</v>
      </c>
      <c r="P631" s="3" t="s">
        <v>1121</v>
      </c>
      <c r="Q631" s="11">
        <v>43950200</v>
      </c>
      <c r="R631" s="11">
        <v>43950049</v>
      </c>
      <c r="S631" s="3" t="s">
        <v>128</v>
      </c>
      <c r="T631" s="4" t="s">
        <v>69</v>
      </c>
      <c r="U631" s="11">
        <f>World_Cup_Matches[[#This Row],[Home Team Goals]]+World_Cup_Matches[[#This Row],[Away Team Goals]]</f>
        <v>1</v>
      </c>
      <c r="V631" s="11">
        <f>World_Cup_Matches[[#This Row],[Home Team Goals]]-World_Cup_Matches[[#This Row],[Away Team Goals]]</f>
        <v>1</v>
      </c>
      <c r="W631" s="4" t="str">
        <f>IF(World_Cup_Matches[[#This Row],[Home Team Goals]]&gt;World_Cup_Matches[[#This Row],[Away Team Goals]],World_Cup_Matches[[#This Row],[Home Team Name]],IF(World_Cup_Matches[[#This Row],[Away Team Goals]]&gt;World_Cup_Matches[[#This Row],[Home Team Goals]], World_Cup_Matches[[#This Row],[Away Team Name]],"Draw"))</f>
        <v>Germany</v>
      </c>
      <c r="X631" s="4" t="str">
        <f>IF(World_Cup_Matches[[#This Row],[Home Team Goals]]&gt;World_Cup_Matches[[#This Row],[Away Team Goals]],"Hime Win",IF(World_Cup_Matches[[#This Row],[Away Team Goals]]&gt;World_Cup_Matches[[#This Row],[Home Team Goals]],"Away win","Draw"))</f>
        <v>Hime Win</v>
      </c>
    </row>
    <row r="632" spans="1:24" x14ac:dyDescent="0.2">
      <c r="A632" s="19">
        <v>2002</v>
      </c>
      <c r="B632" s="15" t="s">
        <v>1403</v>
      </c>
      <c r="C632" s="3" t="s">
        <v>878</v>
      </c>
      <c r="D632" s="3" t="s">
        <v>1331</v>
      </c>
      <c r="E632" s="3" t="s">
        <v>1332</v>
      </c>
      <c r="F632" s="3" t="s">
        <v>131</v>
      </c>
      <c r="G632" s="11">
        <v>1</v>
      </c>
      <c r="H632" s="11">
        <v>1</v>
      </c>
      <c r="I632" s="3" t="s">
        <v>933</v>
      </c>
      <c r="J632" s="3" t="s">
        <v>1404</v>
      </c>
      <c r="K632" s="3">
        <v>38926</v>
      </c>
      <c r="L632" s="11">
        <v>0</v>
      </c>
      <c r="M632" s="11">
        <v>0</v>
      </c>
      <c r="N632" s="3" t="s">
        <v>1361</v>
      </c>
      <c r="O632" s="3" t="s">
        <v>1324</v>
      </c>
      <c r="P632" s="3" t="s">
        <v>1283</v>
      </c>
      <c r="Q632" s="11">
        <v>43950200</v>
      </c>
      <c r="R632" s="11">
        <v>43950052</v>
      </c>
      <c r="S632" s="3" t="s">
        <v>135</v>
      </c>
      <c r="T632" s="4" t="s">
        <v>934</v>
      </c>
      <c r="U632" s="11">
        <f>World_Cup_Matches[[#This Row],[Home Team Goals]]+World_Cup_Matches[[#This Row],[Away Team Goals]]</f>
        <v>2</v>
      </c>
      <c r="V632" s="11">
        <f>World_Cup_Matches[[#This Row],[Home Team Goals]]-World_Cup_Matches[[#This Row],[Away Team Goals]]</f>
        <v>0</v>
      </c>
      <c r="W632" s="4" t="str">
        <f>IF(World_Cup_Matches[[#This Row],[Home Team Goals]]&gt;World_Cup_Matches[[#This Row],[Away Team Goals]],World_Cup_Matches[[#This Row],[Home Team Name]],IF(World_Cup_Matches[[#This Row],[Away Team Goals]]&gt;World_Cup_Matches[[#This Row],[Home Team Goals]], World_Cup_Matches[[#This Row],[Away Team Name]],"Draw"))</f>
        <v>Draw</v>
      </c>
      <c r="X632" s="4" t="str">
        <f>IF(World_Cup_Matches[[#This Row],[Home Team Goals]]&gt;World_Cup_Matches[[#This Row],[Away Team Goals]],"Hime Win",IF(World_Cup_Matches[[#This Row],[Away Team Goals]]&gt;World_Cup_Matches[[#This Row],[Home Team Goals]],"Away win","Draw"))</f>
        <v>Draw</v>
      </c>
    </row>
    <row r="633" spans="1:24" x14ac:dyDescent="0.2">
      <c r="A633" s="19">
        <v>2002</v>
      </c>
      <c r="B633" s="15" t="s">
        <v>1405</v>
      </c>
      <c r="C633" s="3" t="s">
        <v>878</v>
      </c>
      <c r="D633" s="3" t="s">
        <v>1379</v>
      </c>
      <c r="E633" s="3" t="s">
        <v>1380</v>
      </c>
      <c r="F633" s="3" t="s">
        <v>117</v>
      </c>
      <c r="G633" s="11">
        <v>1</v>
      </c>
      <c r="H633" s="11">
        <v>2</v>
      </c>
      <c r="I633" s="3" t="s">
        <v>1252</v>
      </c>
      <c r="J633" s="3" t="s">
        <v>1406</v>
      </c>
      <c r="K633" s="3">
        <v>39747</v>
      </c>
      <c r="L633" s="11">
        <v>0</v>
      </c>
      <c r="M633" s="11">
        <v>0</v>
      </c>
      <c r="N633" s="3" t="s">
        <v>1270</v>
      </c>
      <c r="O633" s="3" t="s">
        <v>1271</v>
      </c>
      <c r="P633" s="3" t="s">
        <v>1305</v>
      </c>
      <c r="Q633" s="11">
        <v>43950200</v>
      </c>
      <c r="R633" s="11">
        <v>43950051</v>
      </c>
      <c r="S633" s="3" t="s">
        <v>121</v>
      </c>
      <c r="T633" s="4" t="s">
        <v>1255</v>
      </c>
      <c r="U633" s="11">
        <f>World_Cup_Matches[[#This Row],[Home Team Goals]]+World_Cup_Matches[[#This Row],[Away Team Goals]]</f>
        <v>3</v>
      </c>
      <c r="V633" s="11">
        <f>World_Cup_Matches[[#This Row],[Home Team Goals]]-World_Cup_Matches[[#This Row],[Away Team Goals]]</f>
        <v>-1</v>
      </c>
      <c r="W633" s="4" t="str">
        <f>IF(World_Cup_Matches[[#This Row],[Home Team Goals]]&gt;World_Cup_Matches[[#This Row],[Away Team Goals]],World_Cup_Matches[[#This Row],[Home Team Name]],IF(World_Cup_Matches[[#This Row],[Away Team Goals]]&gt;World_Cup_Matches[[#This Row],[Home Team Goals]], World_Cup_Matches[[#This Row],[Away Team Name]],"Draw"))</f>
        <v>Senegal</v>
      </c>
      <c r="X633" s="4" t="str">
        <f>IF(World_Cup_Matches[[#This Row],[Home Team Goals]]&gt;World_Cup_Matches[[#This Row],[Away Team Goals]],"Hime Win",IF(World_Cup_Matches[[#This Row],[Away Team Goals]]&gt;World_Cup_Matches[[#This Row],[Home Team Goals]],"Away win","Draw"))</f>
        <v>Away win</v>
      </c>
    </row>
    <row r="634" spans="1:24" x14ac:dyDescent="0.2">
      <c r="A634" s="19">
        <v>2002</v>
      </c>
      <c r="B634" s="15" t="s">
        <v>1407</v>
      </c>
      <c r="C634" s="3" t="s">
        <v>878</v>
      </c>
      <c r="D634" s="3" t="s">
        <v>1326</v>
      </c>
      <c r="E634" s="3" t="s">
        <v>1327</v>
      </c>
      <c r="F634" s="3" t="s">
        <v>42</v>
      </c>
      <c r="G634" s="11">
        <v>2</v>
      </c>
      <c r="H634" s="11">
        <v>0</v>
      </c>
      <c r="I634" s="3" t="s">
        <v>34</v>
      </c>
      <c r="J634" s="3" t="s">
        <v>1842</v>
      </c>
      <c r="K634" s="3">
        <v>40440</v>
      </c>
      <c r="L634" s="11">
        <v>0</v>
      </c>
      <c r="M634" s="11">
        <v>0</v>
      </c>
      <c r="N634" s="3" t="s">
        <v>1328</v>
      </c>
      <c r="O634" s="3" t="s">
        <v>1148</v>
      </c>
      <c r="P634" s="3" t="s">
        <v>1350</v>
      </c>
      <c r="Q634" s="11">
        <v>43950200</v>
      </c>
      <c r="R634" s="11">
        <v>43950054</v>
      </c>
      <c r="S634" s="3" t="s">
        <v>47</v>
      </c>
      <c r="T634" s="4" t="s">
        <v>38</v>
      </c>
      <c r="U634" s="11">
        <f>World_Cup_Matches[[#This Row],[Home Team Goals]]+World_Cup_Matches[[#This Row],[Away Team Goals]]</f>
        <v>2</v>
      </c>
      <c r="V634" s="11">
        <f>World_Cup_Matches[[#This Row],[Home Team Goals]]-World_Cup_Matches[[#This Row],[Away Team Goals]]</f>
        <v>2</v>
      </c>
      <c r="W634" s="4" t="str">
        <f>IF(World_Cup_Matches[[#This Row],[Home Team Goals]]&gt;World_Cup_Matches[[#This Row],[Away Team Goals]],World_Cup_Matches[[#This Row],[Home Team Name]],IF(World_Cup_Matches[[#This Row],[Away Team Goals]]&gt;World_Cup_Matches[[#This Row],[Home Team Goals]], World_Cup_Matches[[#This Row],[Away Team Name]],"Draw"))</f>
        <v>Brazil</v>
      </c>
      <c r="X634" s="4" t="str">
        <f>IF(World_Cup_Matches[[#This Row],[Home Team Goals]]&gt;World_Cup_Matches[[#This Row],[Away Team Goals]],"Hime Win",IF(World_Cup_Matches[[#This Row],[Away Team Goals]]&gt;World_Cup_Matches[[#This Row],[Home Team Goals]],"Away win","Draw"))</f>
        <v>Hime Win</v>
      </c>
    </row>
    <row r="635" spans="1:24" x14ac:dyDescent="0.2">
      <c r="A635" s="19">
        <v>2002</v>
      </c>
      <c r="B635" s="15" t="s">
        <v>1408</v>
      </c>
      <c r="C635" s="3" t="s">
        <v>878</v>
      </c>
      <c r="D635" s="3" t="s">
        <v>1352</v>
      </c>
      <c r="E635" s="3" t="s">
        <v>1353</v>
      </c>
      <c r="F635" s="3" t="s">
        <v>25</v>
      </c>
      <c r="G635" s="11">
        <v>0</v>
      </c>
      <c r="H635" s="11">
        <v>2</v>
      </c>
      <c r="I635" s="3" t="s">
        <v>33</v>
      </c>
      <c r="J635" s="3" t="s">
        <v>1842</v>
      </c>
      <c r="K635" s="3">
        <v>36380</v>
      </c>
      <c r="L635" s="11">
        <v>0</v>
      </c>
      <c r="M635" s="11">
        <v>1</v>
      </c>
      <c r="N635" s="3" t="s">
        <v>1173</v>
      </c>
      <c r="O635" s="3" t="s">
        <v>1315</v>
      </c>
      <c r="P635" s="3" t="s">
        <v>1296</v>
      </c>
      <c r="Q635" s="11">
        <v>43950200</v>
      </c>
      <c r="R635" s="11">
        <v>43950053</v>
      </c>
      <c r="S635" s="3" t="s">
        <v>30</v>
      </c>
      <c r="T635" s="4" t="s">
        <v>33</v>
      </c>
      <c r="U635" s="11">
        <f>World_Cup_Matches[[#This Row],[Home Team Goals]]+World_Cup_Matches[[#This Row],[Away Team Goals]]</f>
        <v>2</v>
      </c>
      <c r="V635" s="11">
        <f>World_Cup_Matches[[#This Row],[Home Team Goals]]-World_Cup_Matches[[#This Row],[Away Team Goals]]</f>
        <v>-2</v>
      </c>
      <c r="W635" s="4" t="str">
        <f>IF(World_Cup_Matches[[#This Row],[Home Team Goals]]&gt;World_Cup_Matches[[#This Row],[Away Team Goals]],World_Cup_Matches[[#This Row],[Home Team Name]],IF(World_Cup_Matches[[#This Row],[Away Team Goals]]&gt;World_Cup_Matches[[#This Row],[Home Team Goals]], World_Cup_Matches[[#This Row],[Away Team Name]],"Draw"))</f>
        <v>USA</v>
      </c>
      <c r="X635" s="4" t="str">
        <f>IF(World_Cup_Matches[[#This Row],[Home Team Goals]]&gt;World_Cup_Matches[[#This Row],[Away Team Goals]],"Hime Win",IF(World_Cup_Matches[[#This Row],[Away Team Goals]]&gt;World_Cup_Matches[[#This Row],[Home Team Goals]],"Away win","Draw"))</f>
        <v>Away win</v>
      </c>
    </row>
    <row r="636" spans="1:24" x14ac:dyDescent="0.2">
      <c r="A636" s="19">
        <v>2002</v>
      </c>
      <c r="B636" s="15" t="s">
        <v>1409</v>
      </c>
      <c r="C636" s="3" t="s">
        <v>878</v>
      </c>
      <c r="D636" s="3" t="s">
        <v>1373</v>
      </c>
      <c r="E636" s="3" t="s">
        <v>1374</v>
      </c>
      <c r="F636" s="3" t="s">
        <v>1161</v>
      </c>
      <c r="G636" s="11">
        <v>0</v>
      </c>
      <c r="H636" s="11">
        <v>1</v>
      </c>
      <c r="I636" s="3" t="s">
        <v>286</v>
      </c>
      <c r="J636" s="3" t="s">
        <v>1842</v>
      </c>
      <c r="K636" s="3">
        <v>45666</v>
      </c>
      <c r="L636" s="11">
        <v>0</v>
      </c>
      <c r="M636" s="11">
        <v>1</v>
      </c>
      <c r="N636" s="3" t="s">
        <v>1156</v>
      </c>
      <c r="O636" s="3" t="s">
        <v>1344</v>
      </c>
      <c r="P636" s="3" t="s">
        <v>1329</v>
      </c>
      <c r="Q636" s="11">
        <v>43950200</v>
      </c>
      <c r="R636" s="11">
        <v>43950055</v>
      </c>
      <c r="S636" s="3" t="s">
        <v>1164</v>
      </c>
      <c r="T636" s="4" t="s">
        <v>290</v>
      </c>
      <c r="U636" s="11">
        <f>World_Cup_Matches[[#This Row],[Home Team Goals]]+World_Cup_Matches[[#This Row],[Away Team Goals]]</f>
        <v>1</v>
      </c>
      <c r="V636" s="11">
        <f>World_Cup_Matches[[#This Row],[Home Team Goals]]-World_Cup_Matches[[#This Row],[Away Team Goals]]</f>
        <v>-1</v>
      </c>
      <c r="W636" s="4" t="str">
        <f>IF(World_Cup_Matches[[#This Row],[Home Team Goals]]&gt;World_Cup_Matches[[#This Row],[Away Team Goals]],World_Cup_Matches[[#This Row],[Home Team Name]],IF(World_Cup_Matches[[#This Row],[Away Team Goals]]&gt;World_Cup_Matches[[#This Row],[Home Team Goals]], World_Cup_Matches[[#This Row],[Away Team Name]],"Draw"))</f>
        <v>Turkey</v>
      </c>
      <c r="X636" s="4" t="str">
        <f>IF(World_Cup_Matches[[#This Row],[Home Team Goals]]&gt;World_Cup_Matches[[#This Row],[Away Team Goals]],"Hime Win",IF(World_Cup_Matches[[#This Row],[Away Team Goals]]&gt;World_Cup_Matches[[#This Row],[Home Team Goals]],"Away win","Draw"))</f>
        <v>Away win</v>
      </c>
    </row>
    <row r="637" spans="1:24" x14ac:dyDescent="0.2">
      <c r="A637" s="19">
        <v>2002</v>
      </c>
      <c r="B637" s="15" t="s">
        <v>1410</v>
      </c>
      <c r="C637" s="3" t="s">
        <v>878</v>
      </c>
      <c r="D637" s="3" t="s">
        <v>1394</v>
      </c>
      <c r="E637" s="3" t="s">
        <v>1395</v>
      </c>
      <c r="F637" s="3" t="s">
        <v>291</v>
      </c>
      <c r="G637" s="11">
        <v>2</v>
      </c>
      <c r="H637" s="11">
        <v>1</v>
      </c>
      <c r="I637" s="3" t="s">
        <v>138</v>
      </c>
      <c r="J637" s="3" t="s">
        <v>1406</v>
      </c>
      <c r="K637" s="3">
        <v>38588</v>
      </c>
      <c r="L637" s="11">
        <v>0</v>
      </c>
      <c r="M637" s="11">
        <v>0</v>
      </c>
      <c r="N637" s="3" t="s">
        <v>1333</v>
      </c>
      <c r="O637" s="3" t="s">
        <v>1254</v>
      </c>
      <c r="P637" s="3" t="s">
        <v>1341</v>
      </c>
      <c r="Q637" s="11">
        <v>43950200</v>
      </c>
      <c r="R637" s="11">
        <v>43950056</v>
      </c>
      <c r="S637" s="3" t="s">
        <v>295</v>
      </c>
      <c r="T637" s="4" t="s">
        <v>142</v>
      </c>
      <c r="U637" s="11">
        <f>World_Cup_Matches[[#This Row],[Home Team Goals]]+World_Cup_Matches[[#This Row],[Away Team Goals]]</f>
        <v>3</v>
      </c>
      <c r="V637" s="11">
        <f>World_Cup_Matches[[#This Row],[Home Team Goals]]-World_Cup_Matches[[#This Row],[Away Team Goals]]</f>
        <v>1</v>
      </c>
      <c r="W637" s="4" t="str">
        <f>IF(World_Cup_Matches[[#This Row],[Home Team Goals]]&gt;World_Cup_Matches[[#This Row],[Away Team Goals]],World_Cup_Matches[[#This Row],[Home Team Name]],IF(World_Cup_Matches[[#This Row],[Away Team Goals]]&gt;World_Cup_Matches[[#This Row],[Home Team Goals]], World_Cup_Matches[[#This Row],[Away Team Name]],"Draw"))</f>
        <v>Korea Republic</v>
      </c>
      <c r="X637" s="4" t="str">
        <f>IF(World_Cup_Matches[[#This Row],[Home Team Goals]]&gt;World_Cup_Matches[[#This Row],[Away Team Goals]],"Hime Win",IF(World_Cup_Matches[[#This Row],[Away Team Goals]]&gt;World_Cup_Matches[[#This Row],[Home Team Goals]],"Away win","Draw"))</f>
        <v>Hime Win</v>
      </c>
    </row>
    <row r="638" spans="1:24" x14ac:dyDescent="0.2">
      <c r="A638" s="19">
        <v>2002</v>
      </c>
      <c r="B638" s="15" t="s">
        <v>1411</v>
      </c>
      <c r="C638" s="3" t="s">
        <v>150</v>
      </c>
      <c r="D638" s="3" t="s">
        <v>1387</v>
      </c>
      <c r="E638" s="3" t="s">
        <v>1388</v>
      </c>
      <c r="F638" s="3" t="s">
        <v>223</v>
      </c>
      <c r="G638" s="11">
        <v>1</v>
      </c>
      <c r="H638" s="11">
        <v>2</v>
      </c>
      <c r="I638" s="3" t="s">
        <v>42</v>
      </c>
      <c r="J638" s="3" t="s">
        <v>1842</v>
      </c>
      <c r="K638" s="3">
        <v>47436</v>
      </c>
      <c r="L638" s="11">
        <v>1</v>
      </c>
      <c r="M638" s="11">
        <v>1</v>
      </c>
      <c r="N638" s="3" t="s">
        <v>1346</v>
      </c>
      <c r="O638" s="3" t="s">
        <v>1305</v>
      </c>
      <c r="P638" s="3" t="s">
        <v>1350</v>
      </c>
      <c r="Q638" s="11">
        <v>43950300</v>
      </c>
      <c r="R638" s="11">
        <v>43950057</v>
      </c>
      <c r="S638" s="3" t="s">
        <v>227</v>
      </c>
      <c r="T638" s="4" t="s">
        <v>47</v>
      </c>
      <c r="U638" s="11">
        <f>World_Cup_Matches[[#This Row],[Home Team Goals]]+World_Cup_Matches[[#This Row],[Away Team Goals]]</f>
        <v>3</v>
      </c>
      <c r="V638" s="11">
        <f>World_Cup_Matches[[#This Row],[Home Team Goals]]-World_Cup_Matches[[#This Row],[Away Team Goals]]</f>
        <v>-1</v>
      </c>
      <c r="W638" s="4" t="str">
        <f>IF(World_Cup_Matches[[#This Row],[Home Team Goals]]&gt;World_Cup_Matches[[#This Row],[Away Team Goals]],World_Cup_Matches[[#This Row],[Home Team Name]],IF(World_Cup_Matches[[#This Row],[Away Team Goals]]&gt;World_Cup_Matches[[#This Row],[Home Team Goals]], World_Cup_Matches[[#This Row],[Away Team Name]],"Draw"))</f>
        <v>Brazil</v>
      </c>
      <c r="X638" s="4" t="str">
        <f>IF(World_Cup_Matches[[#This Row],[Home Team Goals]]&gt;World_Cup_Matches[[#This Row],[Away Team Goals]],"Hime Win",IF(World_Cup_Matches[[#This Row],[Away Team Goals]]&gt;World_Cup_Matches[[#This Row],[Home Team Goals]],"Away win","Draw"))</f>
        <v>Away win</v>
      </c>
    </row>
    <row r="639" spans="1:24" x14ac:dyDescent="0.2">
      <c r="A639" s="19">
        <v>2002</v>
      </c>
      <c r="B639" s="15" t="s">
        <v>1412</v>
      </c>
      <c r="C639" s="3" t="s">
        <v>150</v>
      </c>
      <c r="D639" s="3" t="s">
        <v>1257</v>
      </c>
      <c r="E639" s="3" t="s">
        <v>1258</v>
      </c>
      <c r="F639" s="3" t="s">
        <v>124</v>
      </c>
      <c r="G639" s="11">
        <v>1</v>
      </c>
      <c r="H639" s="11">
        <v>0</v>
      </c>
      <c r="I639" s="3" t="s">
        <v>33</v>
      </c>
      <c r="J639" s="3" t="s">
        <v>1842</v>
      </c>
      <c r="K639" s="3">
        <v>37337</v>
      </c>
      <c r="L639" s="11">
        <v>1</v>
      </c>
      <c r="M639" s="11">
        <v>0</v>
      </c>
      <c r="N639" s="3" t="s">
        <v>1209</v>
      </c>
      <c r="O639" s="3" t="s">
        <v>1306</v>
      </c>
      <c r="P639" s="3" t="s">
        <v>1253</v>
      </c>
      <c r="Q639" s="11">
        <v>43950300</v>
      </c>
      <c r="R639" s="11">
        <v>43950058</v>
      </c>
      <c r="S639" s="3" t="s">
        <v>128</v>
      </c>
      <c r="T639" s="4" t="s">
        <v>33</v>
      </c>
      <c r="U639" s="11">
        <f>World_Cup_Matches[[#This Row],[Home Team Goals]]+World_Cup_Matches[[#This Row],[Away Team Goals]]</f>
        <v>1</v>
      </c>
      <c r="V639" s="11">
        <f>World_Cup_Matches[[#This Row],[Home Team Goals]]-World_Cup_Matches[[#This Row],[Away Team Goals]]</f>
        <v>1</v>
      </c>
      <c r="W639" s="4" t="str">
        <f>IF(World_Cup_Matches[[#This Row],[Home Team Goals]]&gt;World_Cup_Matches[[#This Row],[Away Team Goals]],World_Cup_Matches[[#This Row],[Home Team Name]],IF(World_Cup_Matches[[#This Row],[Away Team Goals]]&gt;World_Cup_Matches[[#This Row],[Home Team Goals]], World_Cup_Matches[[#This Row],[Away Team Name]],"Draw"))</f>
        <v>Germany</v>
      </c>
      <c r="X639" s="4" t="str">
        <f>IF(World_Cup_Matches[[#This Row],[Home Team Goals]]&gt;World_Cup_Matches[[#This Row],[Away Team Goals]],"Hime Win",IF(World_Cup_Matches[[#This Row],[Away Team Goals]]&gt;World_Cup_Matches[[#This Row],[Home Team Goals]],"Away win","Draw"))</f>
        <v>Hime Win</v>
      </c>
    </row>
    <row r="640" spans="1:24" x14ac:dyDescent="0.2">
      <c r="A640" s="19">
        <v>2002</v>
      </c>
      <c r="B640" s="15" t="s">
        <v>1413</v>
      </c>
      <c r="C640" s="3" t="s">
        <v>150</v>
      </c>
      <c r="D640" s="3" t="s">
        <v>1391</v>
      </c>
      <c r="E640" s="3" t="s">
        <v>1392</v>
      </c>
      <c r="F640" s="3" t="s">
        <v>1252</v>
      </c>
      <c r="G640" s="11">
        <v>0</v>
      </c>
      <c r="H640" s="11">
        <v>1</v>
      </c>
      <c r="I640" s="3" t="s">
        <v>286</v>
      </c>
      <c r="J640" s="3" t="s">
        <v>1406</v>
      </c>
      <c r="K640" s="3">
        <v>44233</v>
      </c>
      <c r="L640" s="11">
        <v>0</v>
      </c>
      <c r="M640" s="11">
        <v>0</v>
      </c>
      <c r="N640" s="3" t="s">
        <v>1322</v>
      </c>
      <c r="O640" s="3" t="s">
        <v>1254</v>
      </c>
      <c r="P640" s="3" t="s">
        <v>1271</v>
      </c>
      <c r="Q640" s="11">
        <v>43950300</v>
      </c>
      <c r="R640" s="11">
        <v>43950060</v>
      </c>
      <c r="S640" s="3" t="s">
        <v>1255</v>
      </c>
      <c r="T640" s="4" t="s">
        <v>290</v>
      </c>
      <c r="U640" s="11">
        <f>World_Cup_Matches[[#This Row],[Home Team Goals]]+World_Cup_Matches[[#This Row],[Away Team Goals]]</f>
        <v>1</v>
      </c>
      <c r="V640" s="11">
        <f>World_Cup_Matches[[#This Row],[Home Team Goals]]-World_Cup_Matches[[#This Row],[Away Team Goals]]</f>
        <v>-1</v>
      </c>
      <c r="W640" s="4" t="str">
        <f>IF(World_Cup_Matches[[#This Row],[Home Team Goals]]&gt;World_Cup_Matches[[#This Row],[Away Team Goals]],World_Cup_Matches[[#This Row],[Home Team Name]],IF(World_Cup_Matches[[#This Row],[Away Team Goals]]&gt;World_Cup_Matches[[#This Row],[Home Team Goals]], World_Cup_Matches[[#This Row],[Away Team Name]],"Draw"))</f>
        <v>Turkey</v>
      </c>
      <c r="X640" s="4" t="str">
        <f>IF(World_Cup_Matches[[#This Row],[Home Team Goals]]&gt;World_Cup_Matches[[#This Row],[Away Team Goals]],"Hime Win",IF(World_Cup_Matches[[#This Row],[Away Team Goals]]&gt;World_Cup_Matches[[#This Row],[Home Team Goals]],"Away win","Draw"))</f>
        <v>Away win</v>
      </c>
    </row>
    <row r="641" spans="1:24" x14ac:dyDescent="0.2">
      <c r="A641" s="19">
        <v>2002</v>
      </c>
      <c r="B641" s="15" t="s">
        <v>1414</v>
      </c>
      <c r="C641" s="3" t="s">
        <v>150</v>
      </c>
      <c r="D641" s="3" t="s">
        <v>1291</v>
      </c>
      <c r="E641" s="3" t="s">
        <v>1292</v>
      </c>
      <c r="F641" s="3" t="s">
        <v>131</v>
      </c>
      <c r="G641" s="11">
        <v>0</v>
      </c>
      <c r="H641" s="11">
        <v>0</v>
      </c>
      <c r="I641" s="3" t="s">
        <v>291</v>
      </c>
      <c r="J641" s="3" t="s">
        <v>1415</v>
      </c>
      <c r="K641" s="3">
        <v>42114</v>
      </c>
      <c r="L641" s="11">
        <v>0</v>
      </c>
      <c r="M641" s="11">
        <v>0</v>
      </c>
      <c r="N641" s="3" t="s">
        <v>1195</v>
      </c>
      <c r="O641" s="3" t="s">
        <v>1295</v>
      </c>
      <c r="P641" s="3" t="s">
        <v>1272</v>
      </c>
      <c r="Q641" s="11">
        <v>43950300</v>
      </c>
      <c r="R641" s="11">
        <v>43950059</v>
      </c>
      <c r="S641" s="3" t="s">
        <v>135</v>
      </c>
      <c r="T641" s="4" t="s">
        <v>295</v>
      </c>
      <c r="U641" s="11">
        <f>World_Cup_Matches[[#This Row],[Home Team Goals]]+World_Cup_Matches[[#This Row],[Away Team Goals]]</f>
        <v>0</v>
      </c>
      <c r="V641" s="11">
        <f>World_Cup_Matches[[#This Row],[Home Team Goals]]-World_Cup_Matches[[#This Row],[Away Team Goals]]</f>
        <v>0</v>
      </c>
      <c r="W641" s="4" t="str">
        <f>IF(World_Cup_Matches[[#This Row],[Home Team Goals]]&gt;World_Cup_Matches[[#This Row],[Away Team Goals]],World_Cup_Matches[[#This Row],[Home Team Name]],IF(World_Cup_Matches[[#This Row],[Away Team Goals]]&gt;World_Cup_Matches[[#This Row],[Home Team Goals]], World_Cup_Matches[[#This Row],[Away Team Name]],"Draw"))</f>
        <v>Draw</v>
      </c>
      <c r="X641" s="4" t="str">
        <f>IF(World_Cup_Matches[[#This Row],[Home Team Goals]]&gt;World_Cup_Matches[[#This Row],[Away Team Goals]],"Hime Win",IF(World_Cup_Matches[[#This Row],[Away Team Goals]]&gt;World_Cup_Matches[[#This Row],[Home Team Goals]],"Away win","Draw"))</f>
        <v>Draw</v>
      </c>
    </row>
    <row r="642" spans="1:24" x14ac:dyDescent="0.2">
      <c r="A642" s="19">
        <v>2002</v>
      </c>
      <c r="B642" s="15" t="s">
        <v>1416</v>
      </c>
      <c r="C642" s="3" t="s">
        <v>83</v>
      </c>
      <c r="D642" s="3" t="s">
        <v>1250</v>
      </c>
      <c r="E642" s="3" t="s">
        <v>1251</v>
      </c>
      <c r="F642" s="3" t="s">
        <v>124</v>
      </c>
      <c r="G642" s="11">
        <v>1</v>
      </c>
      <c r="H642" s="11">
        <v>0</v>
      </c>
      <c r="I642" s="3" t="s">
        <v>291</v>
      </c>
      <c r="J642" s="3" t="s">
        <v>1842</v>
      </c>
      <c r="K642" s="3">
        <v>65256</v>
      </c>
      <c r="L642" s="11">
        <v>0</v>
      </c>
      <c r="M642" s="11">
        <v>0</v>
      </c>
      <c r="N642" s="3" t="s">
        <v>1217</v>
      </c>
      <c r="O642" s="3" t="s">
        <v>1277</v>
      </c>
      <c r="P642" s="3" t="s">
        <v>1189</v>
      </c>
      <c r="Q642" s="11">
        <v>43950400</v>
      </c>
      <c r="R642" s="11">
        <v>43950061</v>
      </c>
      <c r="S642" s="3" t="s">
        <v>128</v>
      </c>
      <c r="T642" s="4" t="s">
        <v>295</v>
      </c>
      <c r="U642" s="11">
        <f>World_Cup_Matches[[#This Row],[Home Team Goals]]+World_Cup_Matches[[#This Row],[Away Team Goals]]</f>
        <v>1</v>
      </c>
      <c r="V642" s="11">
        <f>World_Cup_Matches[[#This Row],[Home Team Goals]]-World_Cup_Matches[[#This Row],[Away Team Goals]]</f>
        <v>1</v>
      </c>
      <c r="W642" s="4" t="str">
        <f>IF(World_Cup_Matches[[#This Row],[Home Team Goals]]&gt;World_Cup_Matches[[#This Row],[Away Team Goals]],World_Cup_Matches[[#This Row],[Home Team Name]],IF(World_Cup_Matches[[#This Row],[Away Team Goals]]&gt;World_Cup_Matches[[#This Row],[Home Team Goals]], World_Cup_Matches[[#This Row],[Away Team Name]],"Draw"))</f>
        <v>Germany</v>
      </c>
      <c r="X642" s="4" t="str">
        <f>IF(World_Cup_Matches[[#This Row],[Home Team Goals]]&gt;World_Cup_Matches[[#This Row],[Away Team Goals]],"Hime Win",IF(World_Cup_Matches[[#This Row],[Away Team Goals]]&gt;World_Cup_Matches[[#This Row],[Home Team Goals]],"Away win","Draw"))</f>
        <v>Hime Win</v>
      </c>
    </row>
    <row r="643" spans="1:24" x14ac:dyDescent="0.2">
      <c r="A643" s="19">
        <v>2002</v>
      </c>
      <c r="B643" s="15" t="s">
        <v>1417</v>
      </c>
      <c r="C643" s="3" t="s">
        <v>83</v>
      </c>
      <c r="D643" s="3" t="s">
        <v>1286</v>
      </c>
      <c r="E643" s="3" t="s">
        <v>1287</v>
      </c>
      <c r="F643" s="3" t="s">
        <v>42</v>
      </c>
      <c r="G643" s="11">
        <v>1</v>
      </c>
      <c r="H643" s="11">
        <v>0</v>
      </c>
      <c r="I643" s="3" t="s">
        <v>286</v>
      </c>
      <c r="J643" s="3" t="s">
        <v>1842</v>
      </c>
      <c r="K643" s="3">
        <v>61058</v>
      </c>
      <c r="L643" s="11">
        <v>0</v>
      </c>
      <c r="M643" s="11">
        <v>0</v>
      </c>
      <c r="N643" s="3" t="s">
        <v>1213</v>
      </c>
      <c r="O643" s="3" t="s">
        <v>1344</v>
      </c>
      <c r="P643" s="3" t="s">
        <v>1283</v>
      </c>
      <c r="Q643" s="11">
        <v>43950400</v>
      </c>
      <c r="R643" s="11">
        <v>43950062</v>
      </c>
      <c r="S643" s="3" t="s">
        <v>47</v>
      </c>
      <c r="T643" s="4" t="s">
        <v>290</v>
      </c>
      <c r="U643" s="11">
        <f>World_Cup_Matches[[#This Row],[Home Team Goals]]+World_Cup_Matches[[#This Row],[Away Team Goals]]</f>
        <v>1</v>
      </c>
      <c r="V643" s="11">
        <f>World_Cup_Matches[[#This Row],[Home Team Goals]]-World_Cup_Matches[[#This Row],[Away Team Goals]]</f>
        <v>1</v>
      </c>
      <c r="W643" s="4" t="str">
        <f>IF(World_Cup_Matches[[#This Row],[Home Team Goals]]&gt;World_Cup_Matches[[#This Row],[Away Team Goals]],World_Cup_Matches[[#This Row],[Home Team Name]],IF(World_Cup_Matches[[#This Row],[Away Team Goals]]&gt;World_Cup_Matches[[#This Row],[Home Team Goals]], World_Cup_Matches[[#This Row],[Away Team Name]],"Draw"))</f>
        <v>Brazil</v>
      </c>
      <c r="X643" s="4" t="str">
        <f>IF(World_Cup_Matches[[#This Row],[Home Team Goals]]&gt;World_Cup_Matches[[#This Row],[Away Team Goals]],"Hime Win",IF(World_Cup_Matches[[#This Row],[Away Team Goals]]&gt;World_Cup_Matches[[#This Row],[Home Team Goals]],"Away win","Draw"))</f>
        <v>Hime Win</v>
      </c>
    </row>
    <row r="644" spans="1:24" x14ac:dyDescent="0.2">
      <c r="A644" s="19">
        <v>2002</v>
      </c>
      <c r="B644" s="15" t="s">
        <v>1418</v>
      </c>
      <c r="C644" s="3" t="s">
        <v>1419</v>
      </c>
      <c r="D644" s="3" t="s">
        <v>1338</v>
      </c>
      <c r="E644" s="3" t="s">
        <v>1339</v>
      </c>
      <c r="F644" s="3" t="s">
        <v>291</v>
      </c>
      <c r="G644" s="11">
        <v>2</v>
      </c>
      <c r="H644" s="11">
        <v>3</v>
      </c>
      <c r="I644" s="3" t="s">
        <v>286</v>
      </c>
      <c r="J644" s="3" t="s">
        <v>1842</v>
      </c>
      <c r="K644" s="3">
        <v>63483</v>
      </c>
      <c r="L644" s="11">
        <v>1</v>
      </c>
      <c r="M644" s="11">
        <v>3</v>
      </c>
      <c r="N644" s="3" t="s">
        <v>1259</v>
      </c>
      <c r="O644" s="3" t="s">
        <v>1253</v>
      </c>
      <c r="P644" s="3" t="s">
        <v>1305</v>
      </c>
      <c r="Q644" s="11">
        <v>43950500</v>
      </c>
      <c r="R644" s="11">
        <v>43950063</v>
      </c>
      <c r="S644" s="3" t="s">
        <v>295</v>
      </c>
      <c r="T644" s="4" t="s">
        <v>290</v>
      </c>
      <c r="U644" s="11">
        <f>World_Cup_Matches[[#This Row],[Home Team Goals]]+World_Cup_Matches[[#This Row],[Away Team Goals]]</f>
        <v>5</v>
      </c>
      <c r="V644" s="11">
        <f>World_Cup_Matches[[#This Row],[Home Team Goals]]-World_Cup_Matches[[#This Row],[Away Team Goals]]</f>
        <v>-1</v>
      </c>
      <c r="W644" s="4" t="str">
        <f>IF(World_Cup_Matches[[#This Row],[Home Team Goals]]&gt;World_Cup_Matches[[#This Row],[Away Team Goals]],World_Cup_Matches[[#This Row],[Home Team Name]],IF(World_Cup_Matches[[#This Row],[Away Team Goals]]&gt;World_Cup_Matches[[#This Row],[Home Team Goals]], World_Cup_Matches[[#This Row],[Away Team Name]],"Draw"))</f>
        <v>Turkey</v>
      </c>
      <c r="X644" s="4" t="str">
        <f>IF(World_Cup_Matches[[#This Row],[Home Team Goals]]&gt;World_Cup_Matches[[#This Row],[Away Team Goals]],"Hime Win",IF(World_Cup_Matches[[#This Row],[Away Team Goals]]&gt;World_Cup_Matches[[#This Row],[Home Team Goals]],"Away win","Draw"))</f>
        <v>Away win</v>
      </c>
    </row>
    <row r="645" spans="1:24" x14ac:dyDescent="0.2">
      <c r="A645" s="19">
        <v>2002</v>
      </c>
      <c r="B645" s="15" t="s">
        <v>1420</v>
      </c>
      <c r="C645" s="3" t="s">
        <v>86</v>
      </c>
      <c r="D645" s="3" t="s">
        <v>1369</v>
      </c>
      <c r="E645" s="3" t="s">
        <v>1370</v>
      </c>
      <c r="F645" s="3" t="s">
        <v>124</v>
      </c>
      <c r="G645" s="11">
        <v>0</v>
      </c>
      <c r="H645" s="11">
        <v>2</v>
      </c>
      <c r="I645" s="3" t="s">
        <v>42</v>
      </c>
      <c r="J645" s="3" t="s">
        <v>1842</v>
      </c>
      <c r="K645" s="3">
        <v>69029</v>
      </c>
      <c r="L645" s="11">
        <v>0</v>
      </c>
      <c r="M645" s="11">
        <v>0</v>
      </c>
      <c r="N645" s="3" t="s">
        <v>1156</v>
      </c>
      <c r="O645" s="3" t="s">
        <v>1324</v>
      </c>
      <c r="P645" s="3" t="s">
        <v>1306</v>
      </c>
      <c r="Q645" s="11">
        <v>43950600</v>
      </c>
      <c r="R645" s="11">
        <v>43950064</v>
      </c>
      <c r="S645" s="3" t="s">
        <v>128</v>
      </c>
      <c r="T645" s="4" t="s">
        <v>47</v>
      </c>
      <c r="U645" s="11">
        <f>World_Cup_Matches[[#This Row],[Home Team Goals]]+World_Cup_Matches[[#This Row],[Away Team Goals]]</f>
        <v>2</v>
      </c>
      <c r="V645" s="11">
        <f>World_Cup_Matches[[#This Row],[Home Team Goals]]-World_Cup_Matches[[#This Row],[Away Team Goals]]</f>
        <v>-2</v>
      </c>
      <c r="W645" s="4" t="str">
        <f>IF(World_Cup_Matches[[#This Row],[Home Team Goals]]&gt;World_Cup_Matches[[#This Row],[Away Team Goals]],World_Cup_Matches[[#This Row],[Home Team Name]],IF(World_Cup_Matches[[#This Row],[Away Team Goals]]&gt;World_Cup_Matches[[#This Row],[Home Team Goals]], World_Cup_Matches[[#This Row],[Away Team Name]],"Draw"))</f>
        <v>Brazil</v>
      </c>
      <c r="X645" s="4" t="str">
        <f>IF(World_Cup_Matches[[#This Row],[Home Team Goals]]&gt;World_Cup_Matches[[#This Row],[Away Team Goals]],"Hime Win",IF(World_Cup_Matches[[#This Row],[Away Team Goals]]&gt;World_Cup_Matches[[#This Row],[Home Team Goals]],"Away win","Draw"))</f>
        <v>Away win</v>
      </c>
    </row>
    <row r="646" spans="1:24" x14ac:dyDescent="0.2">
      <c r="A646" s="19">
        <v>2006</v>
      </c>
      <c r="B646" s="15" t="s">
        <v>1421</v>
      </c>
      <c r="C646" s="3" t="s">
        <v>609</v>
      </c>
      <c r="D646" s="3" t="s">
        <v>1422</v>
      </c>
      <c r="E646" s="3" t="s">
        <v>581</v>
      </c>
      <c r="F646" s="3" t="s">
        <v>124</v>
      </c>
      <c r="G646" s="11">
        <v>4</v>
      </c>
      <c r="H646" s="11">
        <v>2</v>
      </c>
      <c r="I646" s="3" t="s">
        <v>925</v>
      </c>
      <c r="J646" s="3" t="s">
        <v>1842</v>
      </c>
      <c r="K646" s="3">
        <v>66000</v>
      </c>
      <c r="L646" s="11">
        <v>2</v>
      </c>
      <c r="M646" s="11">
        <v>1</v>
      </c>
      <c r="N646" s="3" t="s">
        <v>1423</v>
      </c>
      <c r="O646" s="3" t="s">
        <v>1424</v>
      </c>
      <c r="P646" s="3" t="s">
        <v>1425</v>
      </c>
      <c r="Q646" s="11">
        <v>97410100</v>
      </c>
      <c r="R646" s="11">
        <v>97410001</v>
      </c>
      <c r="S646" s="3" t="s">
        <v>128</v>
      </c>
      <c r="T646" s="4" t="s">
        <v>929</v>
      </c>
      <c r="U646" s="11">
        <f>World_Cup_Matches[[#This Row],[Home Team Goals]]+World_Cup_Matches[[#This Row],[Away Team Goals]]</f>
        <v>6</v>
      </c>
      <c r="V646" s="11">
        <f>World_Cup_Matches[[#This Row],[Home Team Goals]]-World_Cup_Matches[[#This Row],[Away Team Goals]]</f>
        <v>2</v>
      </c>
      <c r="W646" s="4" t="str">
        <f>IF(World_Cup_Matches[[#This Row],[Home Team Goals]]&gt;World_Cup_Matches[[#This Row],[Away Team Goals]],World_Cup_Matches[[#This Row],[Home Team Name]],IF(World_Cup_Matches[[#This Row],[Away Team Goals]]&gt;World_Cup_Matches[[#This Row],[Home Team Goals]], World_Cup_Matches[[#This Row],[Away Team Name]],"Draw"))</f>
        <v>Germany</v>
      </c>
      <c r="X646" s="4" t="str">
        <f>IF(World_Cup_Matches[[#This Row],[Home Team Goals]]&gt;World_Cup_Matches[[#This Row],[Away Team Goals]],"Hime Win",IF(World_Cup_Matches[[#This Row],[Away Team Goals]]&gt;World_Cup_Matches[[#This Row],[Home Team Goals]],"Away win","Draw"))</f>
        <v>Hime Win</v>
      </c>
    </row>
    <row r="647" spans="1:24" x14ac:dyDescent="0.2">
      <c r="A647" s="19">
        <v>2006</v>
      </c>
      <c r="B647" s="15" t="s">
        <v>1426</v>
      </c>
      <c r="C647" s="3" t="s">
        <v>609</v>
      </c>
      <c r="D647" s="3" t="s">
        <v>1427</v>
      </c>
      <c r="E647" s="3" t="s">
        <v>597</v>
      </c>
      <c r="F647" s="3" t="s">
        <v>190</v>
      </c>
      <c r="G647" s="11">
        <v>0</v>
      </c>
      <c r="H647" s="11">
        <v>2</v>
      </c>
      <c r="I647" s="3" t="s">
        <v>1303</v>
      </c>
      <c r="J647" s="3" t="s">
        <v>1842</v>
      </c>
      <c r="K647" s="3">
        <v>52000</v>
      </c>
      <c r="L647" s="11">
        <v>0</v>
      </c>
      <c r="M647" s="11">
        <v>1</v>
      </c>
      <c r="N647" s="3" t="s">
        <v>1264</v>
      </c>
      <c r="O647" s="3" t="s">
        <v>1428</v>
      </c>
      <c r="P647" s="3" t="s">
        <v>1429</v>
      </c>
      <c r="Q647" s="11">
        <v>97410100</v>
      </c>
      <c r="R647" s="11">
        <v>97410002</v>
      </c>
      <c r="S647" s="3" t="s">
        <v>194</v>
      </c>
      <c r="T647" s="4" t="s">
        <v>1307</v>
      </c>
      <c r="U647" s="11">
        <f>World_Cup_Matches[[#This Row],[Home Team Goals]]+World_Cup_Matches[[#This Row],[Away Team Goals]]</f>
        <v>2</v>
      </c>
      <c r="V647" s="11">
        <f>World_Cup_Matches[[#This Row],[Home Team Goals]]-World_Cup_Matches[[#This Row],[Away Team Goals]]</f>
        <v>-2</v>
      </c>
      <c r="W647" s="4" t="str">
        <f>IF(World_Cup_Matches[[#This Row],[Home Team Goals]]&gt;World_Cup_Matches[[#This Row],[Away Team Goals]],World_Cup_Matches[[#This Row],[Home Team Name]],IF(World_Cup_Matches[[#This Row],[Away Team Goals]]&gt;World_Cup_Matches[[#This Row],[Home Team Goals]], World_Cup_Matches[[#This Row],[Away Team Name]],"Draw"))</f>
        <v>Ecuador</v>
      </c>
      <c r="X647" s="4" t="str">
        <f>IF(World_Cup_Matches[[#This Row],[Home Team Goals]]&gt;World_Cup_Matches[[#This Row],[Away Team Goals]],"Hime Win",IF(World_Cup_Matches[[#This Row],[Away Team Goals]]&gt;World_Cup_Matches[[#This Row],[Home Team Goals]],"Away win","Draw"))</f>
        <v>Away win</v>
      </c>
    </row>
    <row r="648" spans="1:24" x14ac:dyDescent="0.2">
      <c r="A648" s="19">
        <v>2006</v>
      </c>
      <c r="B648" s="15" t="s">
        <v>1430</v>
      </c>
      <c r="C648" s="3" t="s">
        <v>607</v>
      </c>
      <c r="D648" s="3" t="s">
        <v>1431</v>
      </c>
      <c r="E648" s="3" t="s">
        <v>545</v>
      </c>
      <c r="F648" s="3" t="s">
        <v>223</v>
      </c>
      <c r="G648" s="11">
        <v>1</v>
      </c>
      <c r="H648" s="11">
        <v>0</v>
      </c>
      <c r="I648" s="3" t="s">
        <v>68</v>
      </c>
      <c r="J648" s="3" t="s">
        <v>1842</v>
      </c>
      <c r="K648" s="3">
        <v>48000</v>
      </c>
      <c r="L648" s="11">
        <v>1</v>
      </c>
      <c r="M648" s="11">
        <v>0</v>
      </c>
      <c r="N648" s="3" t="s">
        <v>1432</v>
      </c>
      <c r="O648" s="3" t="s">
        <v>1433</v>
      </c>
      <c r="P648" s="3" t="s">
        <v>1434</v>
      </c>
      <c r="Q648" s="11">
        <v>97410100</v>
      </c>
      <c r="R648" s="11">
        <v>97410003</v>
      </c>
      <c r="S648" s="3" t="s">
        <v>227</v>
      </c>
      <c r="T648" s="4" t="s">
        <v>69</v>
      </c>
      <c r="U648" s="11">
        <f>World_Cup_Matches[[#This Row],[Home Team Goals]]+World_Cup_Matches[[#This Row],[Away Team Goals]]</f>
        <v>1</v>
      </c>
      <c r="V648" s="11">
        <f>World_Cup_Matches[[#This Row],[Home Team Goals]]-World_Cup_Matches[[#This Row],[Away Team Goals]]</f>
        <v>1</v>
      </c>
      <c r="W648" s="4" t="str">
        <f>IF(World_Cup_Matches[[#This Row],[Home Team Goals]]&gt;World_Cup_Matches[[#This Row],[Away Team Goals]],World_Cup_Matches[[#This Row],[Home Team Name]],IF(World_Cup_Matches[[#This Row],[Away Team Goals]]&gt;World_Cup_Matches[[#This Row],[Home Team Goals]], World_Cup_Matches[[#This Row],[Away Team Name]],"Draw"))</f>
        <v>England</v>
      </c>
      <c r="X648" s="4" t="str">
        <f>IF(World_Cup_Matches[[#This Row],[Home Team Goals]]&gt;World_Cup_Matches[[#This Row],[Away Team Goals]],"Hime Win",IF(World_Cup_Matches[[#This Row],[Away Team Goals]]&gt;World_Cup_Matches[[#This Row],[Home Team Goals]],"Away win","Draw"))</f>
        <v>Hime Win</v>
      </c>
    </row>
    <row r="649" spans="1:24" x14ac:dyDescent="0.2">
      <c r="A649" s="19">
        <v>2006</v>
      </c>
      <c r="B649" s="15" t="s">
        <v>1435</v>
      </c>
      <c r="C649" s="3" t="s">
        <v>607</v>
      </c>
      <c r="D649" s="3" t="s">
        <v>1436</v>
      </c>
      <c r="E649" s="3" t="s">
        <v>563</v>
      </c>
      <c r="F649" s="3" t="s">
        <v>1437</v>
      </c>
      <c r="G649" s="11">
        <v>0</v>
      </c>
      <c r="H649" s="11">
        <v>0</v>
      </c>
      <c r="I649" s="3" t="s">
        <v>117</v>
      </c>
      <c r="J649" s="3" t="s">
        <v>1842</v>
      </c>
      <c r="K649" s="3">
        <v>62959</v>
      </c>
      <c r="L649" s="11">
        <v>0</v>
      </c>
      <c r="M649" s="11">
        <v>0</v>
      </c>
      <c r="N649" s="3" t="s">
        <v>1438</v>
      </c>
      <c r="O649" s="3" t="s">
        <v>1439</v>
      </c>
      <c r="P649" s="3" t="s">
        <v>1440</v>
      </c>
      <c r="Q649" s="11">
        <v>97410100</v>
      </c>
      <c r="R649" s="11">
        <v>97410004</v>
      </c>
      <c r="S649" s="3" t="s">
        <v>1441</v>
      </c>
      <c r="T649" s="4" t="s">
        <v>121</v>
      </c>
      <c r="U649" s="11">
        <f>World_Cup_Matches[[#This Row],[Home Team Goals]]+World_Cup_Matches[[#This Row],[Away Team Goals]]</f>
        <v>0</v>
      </c>
      <c r="V649" s="11">
        <f>World_Cup_Matches[[#This Row],[Home Team Goals]]-World_Cup_Matches[[#This Row],[Away Team Goals]]</f>
        <v>0</v>
      </c>
      <c r="W649" s="4" t="str">
        <f>IF(World_Cup_Matches[[#This Row],[Home Team Goals]]&gt;World_Cup_Matches[[#This Row],[Away Team Goals]],World_Cup_Matches[[#This Row],[Home Team Name]],IF(World_Cup_Matches[[#This Row],[Away Team Goals]]&gt;World_Cup_Matches[[#This Row],[Home Team Goals]], World_Cup_Matches[[#This Row],[Away Team Name]],"Draw"))</f>
        <v>Draw</v>
      </c>
      <c r="X649" s="4" t="str">
        <f>IF(World_Cup_Matches[[#This Row],[Home Team Goals]]&gt;World_Cup_Matches[[#This Row],[Away Team Goals]],"Hime Win",IF(World_Cup_Matches[[#This Row],[Away Team Goals]]&gt;World_Cup_Matches[[#This Row],[Home Team Goals]],"Away win","Draw"))</f>
        <v>Draw</v>
      </c>
    </row>
    <row r="650" spans="1:24" x14ac:dyDescent="0.2">
      <c r="A650" s="19">
        <v>2006</v>
      </c>
      <c r="B650" s="15" t="s">
        <v>1442</v>
      </c>
      <c r="C650" s="3" t="s">
        <v>805</v>
      </c>
      <c r="D650" s="3" t="s">
        <v>1443</v>
      </c>
      <c r="E650" s="3" t="s">
        <v>554</v>
      </c>
      <c r="F650" s="3" t="s">
        <v>56</v>
      </c>
      <c r="G650" s="11">
        <v>2</v>
      </c>
      <c r="H650" s="11">
        <v>1</v>
      </c>
      <c r="I650" s="3" t="s">
        <v>1444</v>
      </c>
      <c r="J650" s="3" t="s">
        <v>1842</v>
      </c>
      <c r="K650" s="3">
        <v>49480</v>
      </c>
      <c r="L650" s="11">
        <v>2</v>
      </c>
      <c r="M650" s="11">
        <v>0</v>
      </c>
      <c r="N650" s="3" t="s">
        <v>1445</v>
      </c>
      <c r="O650" s="3" t="s">
        <v>1446</v>
      </c>
      <c r="P650" s="3" t="s">
        <v>1447</v>
      </c>
      <c r="Q650" s="11">
        <v>97410100</v>
      </c>
      <c r="R650" s="11">
        <v>97410005</v>
      </c>
      <c r="S650" s="3" t="s">
        <v>59</v>
      </c>
      <c r="T650" s="4" t="s">
        <v>1448</v>
      </c>
      <c r="U650" s="11">
        <f>World_Cup_Matches[[#This Row],[Home Team Goals]]+World_Cup_Matches[[#This Row],[Away Team Goals]]</f>
        <v>3</v>
      </c>
      <c r="V650" s="11">
        <f>World_Cup_Matches[[#This Row],[Home Team Goals]]-World_Cup_Matches[[#This Row],[Away Team Goals]]</f>
        <v>1</v>
      </c>
      <c r="W650" s="4" t="str">
        <f>IF(World_Cup_Matches[[#This Row],[Home Team Goals]]&gt;World_Cup_Matches[[#This Row],[Away Team Goals]],World_Cup_Matches[[#This Row],[Home Team Name]],IF(World_Cup_Matches[[#This Row],[Away Team Goals]]&gt;World_Cup_Matches[[#This Row],[Home Team Goals]], World_Cup_Matches[[#This Row],[Away Team Name]],"Draw"))</f>
        <v>Argentina</v>
      </c>
      <c r="X650" s="4" t="str">
        <f>IF(World_Cup_Matches[[#This Row],[Home Team Goals]]&gt;World_Cup_Matches[[#This Row],[Away Team Goals]],"Hime Win",IF(World_Cup_Matches[[#This Row],[Away Team Goals]]&gt;World_Cup_Matches[[#This Row],[Home Team Goals]],"Away win","Draw"))</f>
        <v>Hime Win</v>
      </c>
    </row>
    <row r="651" spans="1:24" x14ac:dyDescent="0.2">
      <c r="A651" s="19">
        <v>2006</v>
      </c>
      <c r="B651" s="15" t="s">
        <v>1449</v>
      </c>
      <c r="C651" s="3" t="s">
        <v>805</v>
      </c>
      <c r="D651" s="3" t="s">
        <v>1450</v>
      </c>
      <c r="E651" s="3" t="s">
        <v>1451</v>
      </c>
      <c r="F651" s="3" t="s">
        <v>1452</v>
      </c>
      <c r="G651" s="11">
        <v>0</v>
      </c>
      <c r="H651" s="11">
        <v>1</v>
      </c>
      <c r="I651" s="3" t="s">
        <v>109</v>
      </c>
      <c r="J651" s="3" t="s">
        <v>1842</v>
      </c>
      <c r="K651" s="3">
        <v>43000</v>
      </c>
      <c r="L651" s="11">
        <v>0</v>
      </c>
      <c r="M651" s="11">
        <v>1</v>
      </c>
      <c r="N651" s="3" t="s">
        <v>1371</v>
      </c>
      <c r="O651" s="3" t="s">
        <v>1453</v>
      </c>
      <c r="P651" s="3" t="s">
        <v>1454</v>
      </c>
      <c r="Q651" s="11">
        <v>97410100</v>
      </c>
      <c r="R651" s="11">
        <v>97410006</v>
      </c>
      <c r="S651" s="3" t="s">
        <v>1455</v>
      </c>
      <c r="T651" s="4" t="s">
        <v>114</v>
      </c>
      <c r="U651" s="11">
        <f>World_Cup_Matches[[#This Row],[Home Team Goals]]+World_Cup_Matches[[#This Row],[Away Team Goals]]</f>
        <v>1</v>
      </c>
      <c r="V651" s="11">
        <f>World_Cup_Matches[[#This Row],[Home Team Goals]]-World_Cup_Matches[[#This Row],[Away Team Goals]]</f>
        <v>-1</v>
      </c>
      <c r="W651" s="4" t="str">
        <f>IF(World_Cup_Matches[[#This Row],[Home Team Goals]]&gt;World_Cup_Matches[[#This Row],[Away Team Goals]],World_Cup_Matches[[#This Row],[Home Team Name]],IF(World_Cup_Matches[[#This Row],[Away Team Goals]]&gt;World_Cup_Matches[[#This Row],[Home Team Goals]], World_Cup_Matches[[#This Row],[Away Team Name]],"Draw"))</f>
        <v>Netherlands</v>
      </c>
      <c r="X651" s="4" t="str">
        <f>IF(World_Cup_Matches[[#This Row],[Home Team Goals]]&gt;World_Cup_Matches[[#This Row],[Away Team Goals]],"Hime Win",IF(World_Cup_Matches[[#This Row],[Away Team Goals]]&gt;World_Cup_Matches[[#This Row],[Home Team Goals]],"Away win","Draw"))</f>
        <v>Away win</v>
      </c>
    </row>
    <row r="652" spans="1:24" x14ac:dyDescent="0.2">
      <c r="A652" s="19">
        <v>2006</v>
      </c>
      <c r="B652" s="15" t="s">
        <v>1456</v>
      </c>
      <c r="C652" s="3" t="s">
        <v>811</v>
      </c>
      <c r="D652" s="3" t="s">
        <v>1457</v>
      </c>
      <c r="E652" s="3" t="s">
        <v>1458</v>
      </c>
      <c r="F652" s="3" t="s">
        <v>25</v>
      </c>
      <c r="G652" s="11">
        <v>3</v>
      </c>
      <c r="H652" s="11">
        <v>1</v>
      </c>
      <c r="I652" s="3" t="s">
        <v>669</v>
      </c>
      <c r="J652" s="3" t="s">
        <v>1842</v>
      </c>
      <c r="K652" s="3">
        <v>41000</v>
      </c>
      <c r="L652" s="11">
        <v>1</v>
      </c>
      <c r="M652" s="11">
        <v>1</v>
      </c>
      <c r="N652" s="3" t="s">
        <v>1459</v>
      </c>
      <c r="O652" s="3" t="s">
        <v>1460</v>
      </c>
      <c r="P652" s="3" t="s">
        <v>1461</v>
      </c>
      <c r="Q652" s="11">
        <v>97410100</v>
      </c>
      <c r="R652" s="11">
        <v>97410007</v>
      </c>
      <c r="S652" s="3" t="s">
        <v>30</v>
      </c>
      <c r="T652" s="4" t="s">
        <v>650</v>
      </c>
      <c r="U652" s="11">
        <f>World_Cup_Matches[[#This Row],[Home Team Goals]]+World_Cup_Matches[[#This Row],[Away Team Goals]]</f>
        <v>4</v>
      </c>
      <c r="V652" s="11">
        <f>World_Cup_Matches[[#This Row],[Home Team Goals]]-World_Cup_Matches[[#This Row],[Away Team Goals]]</f>
        <v>2</v>
      </c>
      <c r="W652" s="4" t="str">
        <f>IF(World_Cup_Matches[[#This Row],[Home Team Goals]]&gt;World_Cup_Matches[[#This Row],[Away Team Goals]],World_Cup_Matches[[#This Row],[Home Team Name]],IF(World_Cup_Matches[[#This Row],[Away Team Goals]]&gt;World_Cup_Matches[[#This Row],[Home Team Goals]], World_Cup_Matches[[#This Row],[Away Team Name]],"Draw"))</f>
        <v>Mexico</v>
      </c>
      <c r="X652" s="4" t="str">
        <f>IF(World_Cup_Matches[[#This Row],[Home Team Goals]]&gt;World_Cup_Matches[[#This Row],[Away Team Goals]],"Hime Win",IF(World_Cup_Matches[[#This Row],[Away Team Goals]]&gt;World_Cup_Matches[[#This Row],[Home Team Goals]],"Away win","Draw"))</f>
        <v>Hime Win</v>
      </c>
    </row>
    <row r="653" spans="1:24" x14ac:dyDescent="0.2">
      <c r="A653" s="19">
        <v>2006</v>
      </c>
      <c r="B653" s="15" t="s">
        <v>1462</v>
      </c>
      <c r="C653" s="3" t="s">
        <v>811</v>
      </c>
      <c r="D653" s="3" t="s">
        <v>1463</v>
      </c>
      <c r="E653" s="3" t="s">
        <v>1464</v>
      </c>
      <c r="F653" s="3" t="s">
        <v>1465</v>
      </c>
      <c r="G653" s="11">
        <v>0</v>
      </c>
      <c r="H653" s="11">
        <v>1</v>
      </c>
      <c r="I653" s="3" t="s">
        <v>458</v>
      </c>
      <c r="J653" s="3" t="s">
        <v>1842</v>
      </c>
      <c r="K653" s="3">
        <v>45000</v>
      </c>
      <c r="L653" s="11">
        <v>0</v>
      </c>
      <c r="M653" s="11">
        <v>1</v>
      </c>
      <c r="N653" s="3" t="s">
        <v>1466</v>
      </c>
      <c r="O653" s="3" t="s">
        <v>1467</v>
      </c>
      <c r="P653" s="3" t="s">
        <v>1468</v>
      </c>
      <c r="Q653" s="11">
        <v>97410100</v>
      </c>
      <c r="R653" s="11">
        <v>97410008</v>
      </c>
      <c r="S653" s="3" t="s">
        <v>1469</v>
      </c>
      <c r="T653" s="4" t="s">
        <v>462</v>
      </c>
      <c r="U653" s="11">
        <f>World_Cup_Matches[[#This Row],[Home Team Goals]]+World_Cup_Matches[[#This Row],[Away Team Goals]]</f>
        <v>1</v>
      </c>
      <c r="V653" s="11">
        <f>World_Cup_Matches[[#This Row],[Home Team Goals]]-World_Cup_Matches[[#This Row],[Away Team Goals]]</f>
        <v>-1</v>
      </c>
      <c r="W653" s="4" t="str">
        <f>IF(World_Cup_Matches[[#This Row],[Home Team Goals]]&gt;World_Cup_Matches[[#This Row],[Away Team Goals]],World_Cup_Matches[[#This Row],[Home Team Name]],IF(World_Cup_Matches[[#This Row],[Away Team Goals]]&gt;World_Cup_Matches[[#This Row],[Home Team Goals]], World_Cup_Matches[[#This Row],[Away Team Name]],"Draw"))</f>
        <v>Portugal</v>
      </c>
      <c r="X653" s="4" t="str">
        <f>IF(World_Cup_Matches[[#This Row],[Home Team Goals]]&gt;World_Cup_Matches[[#This Row],[Away Team Goals]],"Hime Win",IF(World_Cup_Matches[[#This Row],[Away Team Goals]]&gt;World_Cup_Matches[[#This Row],[Home Team Goals]],"Away win","Draw"))</f>
        <v>Away win</v>
      </c>
    </row>
    <row r="654" spans="1:24" x14ac:dyDescent="0.2">
      <c r="A654" s="19">
        <v>2006</v>
      </c>
      <c r="B654" s="15" t="s">
        <v>1470</v>
      </c>
      <c r="C654" s="3" t="s">
        <v>824</v>
      </c>
      <c r="D654" s="3" t="s">
        <v>1471</v>
      </c>
      <c r="E654" s="3" t="s">
        <v>1472</v>
      </c>
      <c r="F654" s="3" t="s">
        <v>556</v>
      </c>
      <c r="G654" s="11">
        <v>3</v>
      </c>
      <c r="H654" s="11">
        <v>1</v>
      </c>
      <c r="I654" s="3" t="s">
        <v>1161</v>
      </c>
      <c r="J654" s="3" t="s">
        <v>1842</v>
      </c>
      <c r="K654" s="3">
        <v>46000</v>
      </c>
      <c r="L654" s="11">
        <v>0</v>
      </c>
      <c r="M654" s="11">
        <v>1</v>
      </c>
      <c r="N654" s="3" t="s">
        <v>1473</v>
      </c>
      <c r="O654" s="3" t="s">
        <v>1121</v>
      </c>
      <c r="P654" s="3" t="s">
        <v>1474</v>
      </c>
      <c r="Q654" s="11">
        <v>97410100</v>
      </c>
      <c r="R654" s="11">
        <v>97410012</v>
      </c>
      <c r="S654" s="3" t="s">
        <v>561</v>
      </c>
      <c r="T654" s="4" t="s">
        <v>1164</v>
      </c>
      <c r="U654" s="11">
        <f>World_Cup_Matches[[#This Row],[Home Team Goals]]+World_Cup_Matches[[#This Row],[Away Team Goals]]</f>
        <v>4</v>
      </c>
      <c r="V654" s="11">
        <f>World_Cup_Matches[[#This Row],[Home Team Goals]]-World_Cup_Matches[[#This Row],[Away Team Goals]]</f>
        <v>2</v>
      </c>
      <c r="W654" s="4" t="str">
        <f>IF(World_Cup_Matches[[#This Row],[Home Team Goals]]&gt;World_Cup_Matches[[#This Row],[Away Team Goals]],World_Cup_Matches[[#This Row],[Home Team Name]],IF(World_Cup_Matches[[#This Row],[Away Team Goals]]&gt;World_Cup_Matches[[#This Row],[Home Team Goals]], World_Cup_Matches[[#This Row],[Away Team Name]],"Draw"))</f>
        <v>Australia</v>
      </c>
      <c r="X654" s="4" t="str">
        <f>IF(World_Cup_Matches[[#This Row],[Home Team Goals]]&gt;World_Cup_Matches[[#This Row],[Away Team Goals]],"Hime Win",IF(World_Cup_Matches[[#This Row],[Away Team Goals]]&gt;World_Cup_Matches[[#This Row],[Home Team Goals]],"Away win","Draw"))</f>
        <v>Hime Win</v>
      </c>
    </row>
    <row r="655" spans="1:24" x14ac:dyDescent="0.2">
      <c r="A655" s="19">
        <v>2006</v>
      </c>
      <c r="B655" s="15" t="s">
        <v>1475</v>
      </c>
      <c r="C655" s="3" t="s">
        <v>846</v>
      </c>
      <c r="D655" s="3" t="s">
        <v>1427</v>
      </c>
      <c r="E655" s="3" t="s">
        <v>597</v>
      </c>
      <c r="F655" s="3" t="s">
        <v>33</v>
      </c>
      <c r="G655" s="11">
        <v>0</v>
      </c>
      <c r="H655" s="11">
        <v>3</v>
      </c>
      <c r="I655" s="3" t="s">
        <v>1476</v>
      </c>
      <c r="J655" s="3" t="s">
        <v>1842</v>
      </c>
      <c r="K655" s="3">
        <v>52000</v>
      </c>
      <c r="L655" s="11">
        <v>0</v>
      </c>
      <c r="M655" s="11">
        <v>2</v>
      </c>
      <c r="N655" s="3" t="s">
        <v>1477</v>
      </c>
      <c r="O655" s="3" t="s">
        <v>1478</v>
      </c>
      <c r="P655" s="3" t="s">
        <v>1479</v>
      </c>
      <c r="Q655" s="11">
        <v>97410100</v>
      </c>
      <c r="R655" s="11">
        <v>97410010</v>
      </c>
      <c r="S655" s="3" t="s">
        <v>33</v>
      </c>
      <c r="T655" s="4" t="s">
        <v>1480</v>
      </c>
      <c r="U655" s="11">
        <f>World_Cup_Matches[[#This Row],[Home Team Goals]]+World_Cup_Matches[[#This Row],[Away Team Goals]]</f>
        <v>3</v>
      </c>
      <c r="V655" s="11">
        <f>World_Cup_Matches[[#This Row],[Home Team Goals]]-World_Cup_Matches[[#This Row],[Away Team Goals]]</f>
        <v>-3</v>
      </c>
      <c r="W655" s="4" t="str">
        <f>IF(World_Cup_Matches[[#This Row],[Home Team Goals]]&gt;World_Cup_Matches[[#This Row],[Away Team Goals]],World_Cup_Matches[[#This Row],[Home Team Name]],IF(World_Cup_Matches[[#This Row],[Away Team Goals]]&gt;World_Cup_Matches[[#This Row],[Home Team Goals]], World_Cup_Matches[[#This Row],[Away Team Name]],"Draw"))</f>
        <v>Czech Republic</v>
      </c>
      <c r="X655" s="4" t="str">
        <f>IF(World_Cup_Matches[[#This Row],[Home Team Goals]]&gt;World_Cup_Matches[[#This Row],[Away Team Goals]],"Hime Win",IF(World_Cup_Matches[[#This Row],[Away Team Goals]]&gt;World_Cup_Matches[[#This Row],[Home Team Goals]],"Away win","Draw"))</f>
        <v>Away win</v>
      </c>
    </row>
    <row r="656" spans="1:24" x14ac:dyDescent="0.2">
      <c r="A656" s="19">
        <v>2006</v>
      </c>
      <c r="B656" s="15" t="s">
        <v>1481</v>
      </c>
      <c r="C656" s="3" t="s">
        <v>846</v>
      </c>
      <c r="D656" s="3" t="s">
        <v>1482</v>
      </c>
      <c r="E656" s="3" t="s">
        <v>571</v>
      </c>
      <c r="F656" s="3" t="s">
        <v>138</v>
      </c>
      <c r="G656" s="11">
        <v>2</v>
      </c>
      <c r="H656" s="11">
        <v>0</v>
      </c>
      <c r="I656" s="3" t="s">
        <v>1483</v>
      </c>
      <c r="J656" s="3" t="s">
        <v>1842</v>
      </c>
      <c r="K656" s="3">
        <v>43000</v>
      </c>
      <c r="L656" s="11">
        <v>1</v>
      </c>
      <c r="M656" s="11">
        <v>0</v>
      </c>
      <c r="N656" s="3" t="s">
        <v>1288</v>
      </c>
      <c r="O656" s="3" t="s">
        <v>1484</v>
      </c>
      <c r="P656" s="3" t="s">
        <v>1485</v>
      </c>
      <c r="Q656" s="11">
        <v>97410100</v>
      </c>
      <c r="R656" s="11">
        <v>97410009</v>
      </c>
      <c r="S656" s="3" t="s">
        <v>142</v>
      </c>
      <c r="T656" s="4" t="s">
        <v>1486</v>
      </c>
      <c r="U656" s="11">
        <f>World_Cup_Matches[[#This Row],[Home Team Goals]]+World_Cup_Matches[[#This Row],[Away Team Goals]]</f>
        <v>2</v>
      </c>
      <c r="V656" s="11">
        <f>World_Cup_Matches[[#This Row],[Home Team Goals]]-World_Cup_Matches[[#This Row],[Away Team Goals]]</f>
        <v>2</v>
      </c>
      <c r="W656" s="4" t="str">
        <f>IF(World_Cup_Matches[[#This Row],[Home Team Goals]]&gt;World_Cup_Matches[[#This Row],[Away Team Goals]],World_Cup_Matches[[#This Row],[Home Team Name]],IF(World_Cup_Matches[[#This Row],[Away Team Goals]]&gt;World_Cup_Matches[[#This Row],[Home Team Goals]], World_Cup_Matches[[#This Row],[Away Team Name]],"Draw"))</f>
        <v>Italy</v>
      </c>
      <c r="X656" s="4" t="str">
        <f>IF(World_Cup_Matches[[#This Row],[Home Team Goals]]&gt;World_Cup_Matches[[#This Row],[Away Team Goals]],"Hime Win",IF(World_Cup_Matches[[#This Row],[Away Team Goals]]&gt;World_Cup_Matches[[#This Row],[Home Team Goals]],"Away win","Draw"))</f>
        <v>Hime Win</v>
      </c>
    </row>
    <row r="657" spans="1:24" x14ac:dyDescent="0.2">
      <c r="A657" s="19">
        <v>2006</v>
      </c>
      <c r="B657" s="15" t="s">
        <v>1487</v>
      </c>
      <c r="C657" s="3" t="s">
        <v>1179</v>
      </c>
      <c r="D657" s="3" t="s">
        <v>1431</v>
      </c>
      <c r="E657" s="3" t="s">
        <v>545</v>
      </c>
      <c r="F657" s="3" t="s">
        <v>291</v>
      </c>
      <c r="G657" s="11">
        <v>2</v>
      </c>
      <c r="H657" s="11">
        <v>1</v>
      </c>
      <c r="I657" s="3" t="s">
        <v>1488</v>
      </c>
      <c r="J657" s="3" t="s">
        <v>1842</v>
      </c>
      <c r="K657" s="3">
        <v>48000</v>
      </c>
      <c r="L657" s="11">
        <v>0</v>
      </c>
      <c r="M657" s="11">
        <v>1</v>
      </c>
      <c r="N657" s="3" t="s">
        <v>1363</v>
      </c>
      <c r="O657" s="3" t="s">
        <v>1306</v>
      </c>
      <c r="P657" s="3" t="s">
        <v>1489</v>
      </c>
      <c r="Q657" s="11">
        <v>97410100</v>
      </c>
      <c r="R657" s="11">
        <v>97410014</v>
      </c>
      <c r="S657" s="3" t="s">
        <v>295</v>
      </c>
      <c r="T657" s="4" t="s">
        <v>1490</v>
      </c>
      <c r="U657" s="11">
        <f>World_Cup_Matches[[#This Row],[Home Team Goals]]+World_Cup_Matches[[#This Row],[Away Team Goals]]</f>
        <v>3</v>
      </c>
      <c r="V657" s="11">
        <f>World_Cup_Matches[[#This Row],[Home Team Goals]]-World_Cup_Matches[[#This Row],[Away Team Goals]]</f>
        <v>1</v>
      </c>
      <c r="W657" s="4" t="str">
        <f>IF(World_Cup_Matches[[#This Row],[Home Team Goals]]&gt;World_Cup_Matches[[#This Row],[Away Team Goals]],World_Cup_Matches[[#This Row],[Home Team Name]],IF(World_Cup_Matches[[#This Row],[Away Team Goals]]&gt;World_Cup_Matches[[#This Row],[Home Team Goals]], World_Cup_Matches[[#This Row],[Away Team Name]],"Draw"))</f>
        <v>Korea Republic</v>
      </c>
      <c r="X657" s="4" t="str">
        <f>IF(World_Cup_Matches[[#This Row],[Home Team Goals]]&gt;World_Cup_Matches[[#This Row],[Away Team Goals]],"Hime Win",IF(World_Cup_Matches[[#This Row],[Away Team Goals]]&gt;World_Cup_Matches[[#This Row],[Home Team Goals]],"Away win","Draw"))</f>
        <v>Hime Win</v>
      </c>
    </row>
    <row r="658" spans="1:24" x14ac:dyDescent="0.2">
      <c r="A658" s="19">
        <v>2006</v>
      </c>
      <c r="B658" s="15" t="s">
        <v>1491</v>
      </c>
      <c r="C658" s="3" t="s">
        <v>1179</v>
      </c>
      <c r="D658" s="3" t="s">
        <v>1492</v>
      </c>
      <c r="E658" s="3" t="s">
        <v>587</v>
      </c>
      <c r="F658" s="3" t="s">
        <v>24</v>
      </c>
      <c r="G658" s="11">
        <v>0</v>
      </c>
      <c r="H658" s="11">
        <v>0</v>
      </c>
      <c r="I658" s="3" t="s">
        <v>108</v>
      </c>
      <c r="J658" s="3" t="s">
        <v>1842</v>
      </c>
      <c r="K658" s="3">
        <v>52000</v>
      </c>
      <c r="L658" s="11">
        <v>0</v>
      </c>
      <c r="M658" s="11">
        <v>0</v>
      </c>
      <c r="N658" s="3" t="s">
        <v>1033</v>
      </c>
      <c r="O658" s="3" t="s">
        <v>1493</v>
      </c>
      <c r="P658" s="3" t="s">
        <v>1494</v>
      </c>
      <c r="Q658" s="11">
        <v>97410100</v>
      </c>
      <c r="R658" s="11">
        <v>97410013</v>
      </c>
      <c r="S658" s="3" t="s">
        <v>29</v>
      </c>
      <c r="T658" s="4" t="s">
        <v>113</v>
      </c>
      <c r="U658" s="11">
        <f>World_Cup_Matches[[#This Row],[Home Team Goals]]+World_Cup_Matches[[#This Row],[Away Team Goals]]</f>
        <v>0</v>
      </c>
      <c r="V658" s="11">
        <f>World_Cup_Matches[[#This Row],[Home Team Goals]]-World_Cup_Matches[[#This Row],[Away Team Goals]]</f>
        <v>0</v>
      </c>
      <c r="W658" s="4" t="str">
        <f>IF(World_Cup_Matches[[#This Row],[Home Team Goals]]&gt;World_Cup_Matches[[#This Row],[Away Team Goals]],World_Cup_Matches[[#This Row],[Home Team Name]],IF(World_Cup_Matches[[#This Row],[Away Team Goals]]&gt;World_Cup_Matches[[#This Row],[Home Team Goals]], World_Cup_Matches[[#This Row],[Away Team Name]],"Draw"))</f>
        <v>Draw</v>
      </c>
      <c r="X658" s="4" t="str">
        <f>IF(World_Cup_Matches[[#This Row],[Home Team Goals]]&gt;World_Cup_Matches[[#This Row],[Away Team Goals]],"Hime Win",IF(World_Cup_Matches[[#This Row],[Away Team Goals]]&gt;World_Cup_Matches[[#This Row],[Home Team Goals]],"Away win","Draw"))</f>
        <v>Draw</v>
      </c>
    </row>
    <row r="659" spans="1:24" x14ac:dyDescent="0.2">
      <c r="A659" s="19">
        <v>2006</v>
      </c>
      <c r="B659" s="15" t="s">
        <v>1495</v>
      </c>
      <c r="C659" s="3" t="s">
        <v>824</v>
      </c>
      <c r="D659" s="3" t="s">
        <v>548</v>
      </c>
      <c r="E659" s="3" t="s">
        <v>1496</v>
      </c>
      <c r="F659" s="3" t="s">
        <v>42</v>
      </c>
      <c r="G659" s="11">
        <v>1</v>
      </c>
      <c r="H659" s="11">
        <v>0</v>
      </c>
      <c r="I659" s="3" t="s">
        <v>1172</v>
      </c>
      <c r="J659" s="3" t="s">
        <v>1842</v>
      </c>
      <c r="K659" s="3">
        <v>72000</v>
      </c>
      <c r="L659" s="11">
        <v>1</v>
      </c>
      <c r="M659" s="11">
        <v>0</v>
      </c>
      <c r="N659" s="3" t="s">
        <v>1497</v>
      </c>
      <c r="O659" s="3" t="s">
        <v>1498</v>
      </c>
      <c r="P659" s="3" t="s">
        <v>1305</v>
      </c>
      <c r="Q659" s="11">
        <v>97410100</v>
      </c>
      <c r="R659" s="11">
        <v>97410011</v>
      </c>
      <c r="S659" s="3" t="s">
        <v>47</v>
      </c>
      <c r="T659" s="4" t="s">
        <v>1177</v>
      </c>
      <c r="U659" s="11">
        <f>World_Cup_Matches[[#This Row],[Home Team Goals]]+World_Cup_Matches[[#This Row],[Away Team Goals]]</f>
        <v>1</v>
      </c>
      <c r="V659" s="11">
        <f>World_Cup_Matches[[#This Row],[Home Team Goals]]-World_Cup_Matches[[#This Row],[Away Team Goals]]</f>
        <v>1</v>
      </c>
      <c r="W659" s="4" t="str">
        <f>IF(World_Cup_Matches[[#This Row],[Home Team Goals]]&gt;World_Cup_Matches[[#This Row],[Away Team Goals]],World_Cup_Matches[[#This Row],[Home Team Name]],IF(World_Cup_Matches[[#This Row],[Away Team Goals]]&gt;World_Cup_Matches[[#This Row],[Home Team Goals]], World_Cup_Matches[[#This Row],[Away Team Name]],"Draw"))</f>
        <v>Brazil</v>
      </c>
      <c r="X659" s="4" t="str">
        <f>IF(World_Cup_Matches[[#This Row],[Home Team Goals]]&gt;World_Cup_Matches[[#This Row],[Away Team Goals]],"Hime Win",IF(World_Cup_Matches[[#This Row],[Away Team Goals]]&gt;World_Cup_Matches[[#This Row],[Home Team Goals]],"Away win","Draw"))</f>
        <v>Hime Win</v>
      </c>
    </row>
    <row r="660" spans="1:24" x14ac:dyDescent="0.2">
      <c r="A660" s="19">
        <v>2006</v>
      </c>
      <c r="B660" s="15" t="s">
        <v>1499</v>
      </c>
      <c r="C660" s="3" t="s">
        <v>1160</v>
      </c>
      <c r="D660" s="3" t="s">
        <v>1450</v>
      </c>
      <c r="E660" s="3" t="s">
        <v>1451</v>
      </c>
      <c r="F660" s="3" t="s">
        <v>131</v>
      </c>
      <c r="G660" s="11">
        <v>4</v>
      </c>
      <c r="H660" s="11">
        <v>0</v>
      </c>
      <c r="I660" s="3" t="s">
        <v>1500</v>
      </c>
      <c r="J660" s="3" t="s">
        <v>1842</v>
      </c>
      <c r="K660" s="3">
        <v>43000</v>
      </c>
      <c r="L660" s="11">
        <v>2</v>
      </c>
      <c r="M660" s="11">
        <v>0</v>
      </c>
      <c r="N660" s="3" t="s">
        <v>1501</v>
      </c>
      <c r="O660" s="3" t="s">
        <v>1502</v>
      </c>
      <c r="P660" s="3" t="s">
        <v>1503</v>
      </c>
      <c r="Q660" s="11">
        <v>97410100</v>
      </c>
      <c r="R660" s="11">
        <v>97410015</v>
      </c>
      <c r="S660" s="3" t="s">
        <v>135</v>
      </c>
      <c r="T660" s="4" t="s">
        <v>1504</v>
      </c>
      <c r="U660" s="11">
        <f>World_Cup_Matches[[#This Row],[Home Team Goals]]+World_Cup_Matches[[#This Row],[Away Team Goals]]</f>
        <v>4</v>
      </c>
      <c r="V660" s="11">
        <f>World_Cup_Matches[[#This Row],[Home Team Goals]]-World_Cup_Matches[[#This Row],[Away Team Goals]]</f>
        <v>4</v>
      </c>
      <c r="W660" s="4" t="str">
        <f>IF(World_Cup_Matches[[#This Row],[Home Team Goals]]&gt;World_Cup_Matches[[#This Row],[Away Team Goals]],World_Cup_Matches[[#This Row],[Home Team Name]],IF(World_Cup_Matches[[#This Row],[Away Team Goals]]&gt;World_Cup_Matches[[#This Row],[Home Team Goals]], World_Cup_Matches[[#This Row],[Away Team Name]],"Draw"))</f>
        <v>Spain</v>
      </c>
      <c r="X660" s="4" t="str">
        <f>IF(World_Cup_Matches[[#This Row],[Home Team Goals]]&gt;World_Cup_Matches[[#This Row],[Away Team Goals]],"Hime Win",IF(World_Cup_Matches[[#This Row],[Away Team Goals]]&gt;World_Cup_Matches[[#This Row],[Home Team Goals]],"Away win","Draw"))</f>
        <v>Hime Win</v>
      </c>
    </row>
    <row r="661" spans="1:24" x14ac:dyDescent="0.2">
      <c r="A661" s="19">
        <v>2006</v>
      </c>
      <c r="B661" s="15" t="s">
        <v>1505</v>
      </c>
      <c r="C661" s="3" t="s">
        <v>1160</v>
      </c>
      <c r="D661" s="3" t="s">
        <v>1422</v>
      </c>
      <c r="E661" s="3" t="s">
        <v>581</v>
      </c>
      <c r="F661" s="3" t="s">
        <v>628</v>
      </c>
      <c r="G661" s="11">
        <v>2</v>
      </c>
      <c r="H661" s="11">
        <v>2</v>
      </c>
      <c r="I661" s="3" t="s">
        <v>1037</v>
      </c>
      <c r="J661" s="3" t="s">
        <v>1842</v>
      </c>
      <c r="K661" s="3">
        <v>66000</v>
      </c>
      <c r="L661" s="11">
        <v>1</v>
      </c>
      <c r="M661" s="11">
        <v>0</v>
      </c>
      <c r="N661" s="3" t="s">
        <v>1381</v>
      </c>
      <c r="O661" s="3" t="s">
        <v>1506</v>
      </c>
      <c r="P661" s="3" t="s">
        <v>1507</v>
      </c>
      <c r="Q661" s="11">
        <v>97410100</v>
      </c>
      <c r="R661" s="11">
        <v>97410016</v>
      </c>
      <c r="S661" s="3" t="s">
        <v>632</v>
      </c>
      <c r="T661" s="4" t="s">
        <v>1039</v>
      </c>
      <c r="U661" s="11">
        <f>World_Cup_Matches[[#This Row],[Home Team Goals]]+World_Cup_Matches[[#This Row],[Away Team Goals]]</f>
        <v>4</v>
      </c>
      <c r="V661" s="11">
        <f>World_Cup_Matches[[#This Row],[Home Team Goals]]-World_Cup_Matches[[#This Row],[Away Team Goals]]</f>
        <v>0</v>
      </c>
      <c r="W661" s="4" t="str">
        <f>IF(World_Cup_Matches[[#This Row],[Home Team Goals]]&gt;World_Cup_Matches[[#This Row],[Away Team Goals]],World_Cup_Matches[[#This Row],[Home Team Name]],IF(World_Cup_Matches[[#This Row],[Away Team Goals]]&gt;World_Cup_Matches[[#This Row],[Home Team Goals]], World_Cup_Matches[[#This Row],[Away Team Name]],"Draw"))</f>
        <v>Draw</v>
      </c>
      <c r="X661" s="4" t="str">
        <f>IF(World_Cup_Matches[[#This Row],[Home Team Goals]]&gt;World_Cup_Matches[[#This Row],[Away Team Goals]],"Hime Win",IF(World_Cup_Matches[[#This Row],[Away Team Goals]]&gt;World_Cup_Matches[[#This Row],[Home Team Goals]],"Away win","Draw"))</f>
        <v>Draw</v>
      </c>
    </row>
    <row r="662" spans="1:24" x14ac:dyDescent="0.2">
      <c r="A662" s="19">
        <v>2006</v>
      </c>
      <c r="B662" s="15" t="s">
        <v>1508</v>
      </c>
      <c r="C662" s="3" t="s">
        <v>609</v>
      </c>
      <c r="D662" s="3" t="s">
        <v>1436</v>
      </c>
      <c r="E662" s="3" t="s">
        <v>563</v>
      </c>
      <c r="F662" s="3" t="s">
        <v>124</v>
      </c>
      <c r="G662" s="11">
        <v>1</v>
      </c>
      <c r="H662" s="11">
        <v>0</v>
      </c>
      <c r="I662" s="3" t="s">
        <v>190</v>
      </c>
      <c r="J662" s="3" t="s">
        <v>1842</v>
      </c>
      <c r="K662" s="3">
        <v>65000</v>
      </c>
      <c r="L662" s="11">
        <v>0</v>
      </c>
      <c r="M662" s="11">
        <v>0</v>
      </c>
      <c r="N662" s="3" t="s">
        <v>1509</v>
      </c>
      <c r="O662" s="3" t="s">
        <v>1510</v>
      </c>
      <c r="P662" s="3" t="s">
        <v>1511</v>
      </c>
      <c r="Q662" s="11">
        <v>97410100</v>
      </c>
      <c r="R662" s="11">
        <v>97410017</v>
      </c>
      <c r="S662" s="3" t="s">
        <v>128</v>
      </c>
      <c r="T662" s="4" t="s">
        <v>194</v>
      </c>
      <c r="U662" s="11">
        <f>World_Cup_Matches[[#This Row],[Home Team Goals]]+World_Cup_Matches[[#This Row],[Away Team Goals]]</f>
        <v>1</v>
      </c>
      <c r="V662" s="11">
        <f>World_Cup_Matches[[#This Row],[Home Team Goals]]-World_Cup_Matches[[#This Row],[Away Team Goals]]</f>
        <v>1</v>
      </c>
      <c r="W662" s="4" t="str">
        <f>IF(World_Cup_Matches[[#This Row],[Home Team Goals]]&gt;World_Cup_Matches[[#This Row],[Away Team Goals]],World_Cup_Matches[[#This Row],[Home Team Name]],IF(World_Cup_Matches[[#This Row],[Away Team Goals]]&gt;World_Cup_Matches[[#This Row],[Home Team Goals]], World_Cup_Matches[[#This Row],[Away Team Name]],"Draw"))</f>
        <v>Germany</v>
      </c>
      <c r="X662" s="4" t="str">
        <f>IF(World_Cup_Matches[[#This Row],[Home Team Goals]]&gt;World_Cup_Matches[[#This Row],[Away Team Goals]],"Hime Win",IF(World_Cup_Matches[[#This Row],[Away Team Goals]]&gt;World_Cup_Matches[[#This Row],[Home Team Goals]],"Away win","Draw"))</f>
        <v>Hime Win</v>
      </c>
    </row>
    <row r="663" spans="1:24" x14ac:dyDescent="0.2">
      <c r="A663" s="19">
        <v>2006</v>
      </c>
      <c r="B663" s="15" t="s">
        <v>1512</v>
      </c>
      <c r="C663" s="3" t="s">
        <v>609</v>
      </c>
      <c r="D663" s="3" t="s">
        <v>1443</v>
      </c>
      <c r="E663" s="3" t="s">
        <v>554</v>
      </c>
      <c r="F663" s="3" t="s">
        <v>1303</v>
      </c>
      <c r="G663" s="11">
        <v>3</v>
      </c>
      <c r="H663" s="11">
        <v>0</v>
      </c>
      <c r="I663" s="3" t="s">
        <v>925</v>
      </c>
      <c r="J663" s="3" t="s">
        <v>1842</v>
      </c>
      <c r="K663" s="3">
        <v>50000</v>
      </c>
      <c r="L663" s="11">
        <v>1</v>
      </c>
      <c r="M663" s="11">
        <v>0</v>
      </c>
      <c r="N663" s="3" t="s">
        <v>1367</v>
      </c>
      <c r="O663" s="3" t="s">
        <v>1513</v>
      </c>
      <c r="P663" s="3" t="s">
        <v>1514</v>
      </c>
      <c r="Q663" s="11">
        <v>97410100</v>
      </c>
      <c r="R663" s="11">
        <v>97410018</v>
      </c>
      <c r="S663" s="3" t="s">
        <v>1307</v>
      </c>
      <c r="T663" s="4" t="s">
        <v>929</v>
      </c>
      <c r="U663" s="11">
        <f>World_Cup_Matches[[#This Row],[Home Team Goals]]+World_Cup_Matches[[#This Row],[Away Team Goals]]</f>
        <v>3</v>
      </c>
      <c r="V663" s="11">
        <f>World_Cup_Matches[[#This Row],[Home Team Goals]]-World_Cup_Matches[[#This Row],[Away Team Goals]]</f>
        <v>3</v>
      </c>
      <c r="W663" s="4" t="str">
        <f>IF(World_Cup_Matches[[#This Row],[Home Team Goals]]&gt;World_Cup_Matches[[#This Row],[Away Team Goals]],World_Cup_Matches[[#This Row],[Home Team Name]],IF(World_Cup_Matches[[#This Row],[Away Team Goals]]&gt;World_Cup_Matches[[#This Row],[Home Team Goals]], World_Cup_Matches[[#This Row],[Away Team Name]],"Draw"))</f>
        <v>Ecuador</v>
      </c>
      <c r="X663" s="4" t="str">
        <f>IF(World_Cup_Matches[[#This Row],[Home Team Goals]]&gt;World_Cup_Matches[[#This Row],[Away Team Goals]],"Hime Win",IF(World_Cup_Matches[[#This Row],[Away Team Goals]]&gt;World_Cup_Matches[[#This Row],[Home Team Goals]],"Away win","Draw"))</f>
        <v>Hime Win</v>
      </c>
    </row>
    <row r="664" spans="1:24" x14ac:dyDescent="0.2">
      <c r="A664" s="19">
        <v>2006</v>
      </c>
      <c r="B664" s="15" t="s">
        <v>1515</v>
      </c>
      <c r="C664" s="3" t="s">
        <v>607</v>
      </c>
      <c r="D664" s="3" t="s">
        <v>1457</v>
      </c>
      <c r="E664" s="3" t="s">
        <v>1458</v>
      </c>
      <c r="F664" s="3" t="s">
        <v>223</v>
      </c>
      <c r="G664" s="11">
        <v>2</v>
      </c>
      <c r="H664" s="11">
        <v>0</v>
      </c>
      <c r="I664" s="3" t="s">
        <v>1437</v>
      </c>
      <c r="J664" s="3" t="s">
        <v>1842</v>
      </c>
      <c r="K664" s="3">
        <v>41000</v>
      </c>
      <c r="L664" s="11">
        <v>0</v>
      </c>
      <c r="M664" s="11">
        <v>0</v>
      </c>
      <c r="N664" s="3" t="s">
        <v>1264</v>
      </c>
      <c r="O664" s="3" t="s">
        <v>1428</v>
      </c>
      <c r="P664" s="3" t="s">
        <v>1429</v>
      </c>
      <c r="Q664" s="11">
        <v>97410100</v>
      </c>
      <c r="R664" s="11">
        <v>97410019</v>
      </c>
      <c r="S664" s="3" t="s">
        <v>227</v>
      </c>
      <c r="T664" s="4" t="s">
        <v>1441</v>
      </c>
      <c r="U664" s="11">
        <f>World_Cup_Matches[[#This Row],[Home Team Goals]]+World_Cup_Matches[[#This Row],[Away Team Goals]]</f>
        <v>2</v>
      </c>
      <c r="V664" s="11">
        <f>World_Cup_Matches[[#This Row],[Home Team Goals]]-World_Cup_Matches[[#This Row],[Away Team Goals]]</f>
        <v>2</v>
      </c>
      <c r="W664" s="4" t="str">
        <f>IF(World_Cup_Matches[[#This Row],[Home Team Goals]]&gt;World_Cup_Matches[[#This Row],[Away Team Goals]],World_Cup_Matches[[#This Row],[Home Team Name]],IF(World_Cup_Matches[[#This Row],[Away Team Goals]]&gt;World_Cup_Matches[[#This Row],[Home Team Goals]], World_Cup_Matches[[#This Row],[Away Team Name]],"Draw"))</f>
        <v>England</v>
      </c>
      <c r="X664" s="4" t="str">
        <f>IF(World_Cup_Matches[[#This Row],[Home Team Goals]]&gt;World_Cup_Matches[[#This Row],[Away Team Goals]],"Hime Win",IF(World_Cup_Matches[[#This Row],[Away Team Goals]]&gt;World_Cup_Matches[[#This Row],[Home Team Goals]],"Away win","Draw"))</f>
        <v>Hime Win</v>
      </c>
    </row>
    <row r="665" spans="1:24" x14ac:dyDescent="0.2">
      <c r="A665" s="19">
        <v>2006</v>
      </c>
      <c r="B665" s="15" t="s">
        <v>1516</v>
      </c>
      <c r="C665" s="3" t="s">
        <v>607</v>
      </c>
      <c r="D665" s="3" t="s">
        <v>548</v>
      </c>
      <c r="E665" s="3" t="s">
        <v>1496</v>
      </c>
      <c r="F665" s="3" t="s">
        <v>117</v>
      </c>
      <c r="G665" s="11">
        <v>1</v>
      </c>
      <c r="H665" s="11">
        <v>0</v>
      </c>
      <c r="I665" s="3" t="s">
        <v>68</v>
      </c>
      <c r="J665" s="3" t="s">
        <v>1842</v>
      </c>
      <c r="K665" s="3">
        <v>72000</v>
      </c>
      <c r="L665" s="11">
        <v>0</v>
      </c>
      <c r="M665" s="11">
        <v>0</v>
      </c>
      <c r="N665" s="3" t="s">
        <v>1282</v>
      </c>
      <c r="O665" s="3" t="s">
        <v>1517</v>
      </c>
      <c r="P665" s="3" t="s">
        <v>1518</v>
      </c>
      <c r="Q665" s="11">
        <v>97410100</v>
      </c>
      <c r="R665" s="11">
        <v>97410020</v>
      </c>
      <c r="S665" s="3" t="s">
        <v>121</v>
      </c>
      <c r="T665" s="4" t="s">
        <v>69</v>
      </c>
      <c r="U665" s="11">
        <f>World_Cup_Matches[[#This Row],[Home Team Goals]]+World_Cup_Matches[[#This Row],[Away Team Goals]]</f>
        <v>1</v>
      </c>
      <c r="V665" s="11">
        <f>World_Cup_Matches[[#This Row],[Home Team Goals]]-World_Cup_Matches[[#This Row],[Away Team Goals]]</f>
        <v>1</v>
      </c>
      <c r="W665" s="4" t="str">
        <f>IF(World_Cup_Matches[[#This Row],[Home Team Goals]]&gt;World_Cup_Matches[[#This Row],[Away Team Goals]],World_Cup_Matches[[#This Row],[Home Team Name]],IF(World_Cup_Matches[[#This Row],[Away Team Goals]]&gt;World_Cup_Matches[[#This Row],[Home Team Goals]], World_Cup_Matches[[#This Row],[Away Team Name]],"Draw"))</f>
        <v>Sweden</v>
      </c>
      <c r="X665" s="4" t="str">
        <f>IF(World_Cup_Matches[[#This Row],[Home Team Goals]]&gt;World_Cup_Matches[[#This Row],[Away Team Goals]],"Hime Win",IF(World_Cup_Matches[[#This Row],[Away Team Goals]]&gt;World_Cup_Matches[[#This Row],[Home Team Goals]],"Away win","Draw"))</f>
        <v>Hime Win</v>
      </c>
    </row>
    <row r="666" spans="1:24" x14ac:dyDescent="0.2">
      <c r="A666" s="19">
        <v>2006</v>
      </c>
      <c r="B666" s="15" t="s">
        <v>1519</v>
      </c>
      <c r="C666" s="3" t="s">
        <v>805</v>
      </c>
      <c r="D666" s="3" t="s">
        <v>1427</v>
      </c>
      <c r="E666" s="3" t="s">
        <v>597</v>
      </c>
      <c r="F666" s="3" t="s">
        <v>56</v>
      </c>
      <c r="G666" s="11">
        <v>6</v>
      </c>
      <c r="H666" s="11">
        <v>0</v>
      </c>
      <c r="I666" s="3" t="s">
        <v>1452</v>
      </c>
      <c r="J666" s="3" t="s">
        <v>1842</v>
      </c>
      <c r="K666" s="3">
        <v>52000</v>
      </c>
      <c r="L666" s="11">
        <v>3</v>
      </c>
      <c r="M666" s="11">
        <v>0</v>
      </c>
      <c r="N666" s="3" t="s">
        <v>1459</v>
      </c>
      <c r="O666" s="3" t="s">
        <v>1460</v>
      </c>
      <c r="P666" s="3" t="s">
        <v>1461</v>
      </c>
      <c r="Q666" s="11">
        <v>97410100</v>
      </c>
      <c r="R666" s="11">
        <v>97410021</v>
      </c>
      <c r="S666" s="3" t="s">
        <v>59</v>
      </c>
      <c r="T666" s="4" t="s">
        <v>1455</v>
      </c>
      <c r="U666" s="11">
        <f>World_Cup_Matches[[#This Row],[Home Team Goals]]+World_Cup_Matches[[#This Row],[Away Team Goals]]</f>
        <v>6</v>
      </c>
      <c r="V666" s="11">
        <f>World_Cup_Matches[[#This Row],[Home Team Goals]]-World_Cup_Matches[[#This Row],[Away Team Goals]]</f>
        <v>6</v>
      </c>
      <c r="W666" s="4" t="str">
        <f>IF(World_Cup_Matches[[#This Row],[Home Team Goals]]&gt;World_Cup_Matches[[#This Row],[Away Team Goals]],World_Cup_Matches[[#This Row],[Home Team Name]],IF(World_Cup_Matches[[#This Row],[Away Team Goals]]&gt;World_Cup_Matches[[#This Row],[Home Team Goals]], World_Cup_Matches[[#This Row],[Away Team Name]],"Draw"))</f>
        <v>Argentina</v>
      </c>
      <c r="X666" s="4" t="str">
        <f>IF(World_Cup_Matches[[#This Row],[Home Team Goals]]&gt;World_Cup_Matches[[#This Row],[Away Team Goals]],"Hime Win",IF(World_Cup_Matches[[#This Row],[Away Team Goals]]&gt;World_Cup_Matches[[#This Row],[Home Team Goals]],"Away win","Draw"))</f>
        <v>Hime Win</v>
      </c>
    </row>
    <row r="667" spans="1:24" x14ac:dyDescent="0.2">
      <c r="A667" s="19">
        <v>2006</v>
      </c>
      <c r="B667" s="15" t="s">
        <v>1520</v>
      </c>
      <c r="C667" s="3" t="s">
        <v>805</v>
      </c>
      <c r="D667" s="3" t="s">
        <v>1492</v>
      </c>
      <c r="E667" s="3" t="s">
        <v>587</v>
      </c>
      <c r="F667" s="3" t="s">
        <v>109</v>
      </c>
      <c r="G667" s="11">
        <v>2</v>
      </c>
      <c r="H667" s="11">
        <v>1</v>
      </c>
      <c r="I667" s="3" t="s">
        <v>1444</v>
      </c>
      <c r="J667" s="3" t="s">
        <v>1842</v>
      </c>
      <c r="K667" s="3">
        <v>52000</v>
      </c>
      <c r="L667" s="11">
        <v>2</v>
      </c>
      <c r="M667" s="11">
        <v>1</v>
      </c>
      <c r="N667" s="3" t="s">
        <v>1322</v>
      </c>
      <c r="O667" s="3" t="s">
        <v>1521</v>
      </c>
      <c r="P667" s="3" t="s">
        <v>1522</v>
      </c>
      <c r="Q667" s="11">
        <v>97410100</v>
      </c>
      <c r="R667" s="11">
        <v>97410022</v>
      </c>
      <c r="S667" s="3" t="s">
        <v>114</v>
      </c>
      <c r="T667" s="4" t="s">
        <v>1448</v>
      </c>
      <c r="U667" s="11">
        <f>World_Cup_Matches[[#This Row],[Home Team Goals]]+World_Cup_Matches[[#This Row],[Away Team Goals]]</f>
        <v>3</v>
      </c>
      <c r="V667" s="11">
        <f>World_Cup_Matches[[#This Row],[Home Team Goals]]-World_Cup_Matches[[#This Row],[Away Team Goals]]</f>
        <v>1</v>
      </c>
      <c r="W667" s="4" t="str">
        <f>IF(World_Cup_Matches[[#This Row],[Home Team Goals]]&gt;World_Cup_Matches[[#This Row],[Away Team Goals]],World_Cup_Matches[[#This Row],[Home Team Name]],IF(World_Cup_Matches[[#This Row],[Away Team Goals]]&gt;World_Cup_Matches[[#This Row],[Home Team Goals]], World_Cup_Matches[[#This Row],[Away Team Name]],"Draw"))</f>
        <v>Netherlands</v>
      </c>
      <c r="X667" s="4" t="str">
        <f>IF(World_Cup_Matches[[#This Row],[Home Team Goals]]&gt;World_Cup_Matches[[#This Row],[Away Team Goals]],"Hime Win",IF(World_Cup_Matches[[#This Row],[Away Team Goals]]&gt;World_Cup_Matches[[#This Row],[Home Team Goals]],"Away win","Draw"))</f>
        <v>Hime Win</v>
      </c>
    </row>
    <row r="668" spans="1:24" x14ac:dyDescent="0.2">
      <c r="A668" s="19">
        <v>2006</v>
      </c>
      <c r="B668" s="15" t="s">
        <v>1523</v>
      </c>
      <c r="C668" s="3" t="s">
        <v>811</v>
      </c>
      <c r="D668" s="3" t="s">
        <v>1482</v>
      </c>
      <c r="E668" s="3" t="s">
        <v>571</v>
      </c>
      <c r="F668" s="3" t="s">
        <v>25</v>
      </c>
      <c r="G668" s="11">
        <v>0</v>
      </c>
      <c r="H668" s="11">
        <v>0</v>
      </c>
      <c r="I668" s="3" t="s">
        <v>1465</v>
      </c>
      <c r="J668" s="3" t="s">
        <v>1842</v>
      </c>
      <c r="K668" s="3">
        <v>43000</v>
      </c>
      <c r="L668" s="11">
        <v>0</v>
      </c>
      <c r="M668" s="11">
        <v>0</v>
      </c>
      <c r="N668" s="3" t="s">
        <v>1438</v>
      </c>
      <c r="O668" s="3" t="s">
        <v>1439</v>
      </c>
      <c r="P668" s="3" t="s">
        <v>1440</v>
      </c>
      <c r="Q668" s="11">
        <v>97410100</v>
      </c>
      <c r="R668" s="11">
        <v>97410023</v>
      </c>
      <c r="S668" s="3" t="s">
        <v>30</v>
      </c>
      <c r="T668" s="4" t="s">
        <v>1469</v>
      </c>
      <c r="U668" s="11">
        <f>World_Cup_Matches[[#This Row],[Home Team Goals]]+World_Cup_Matches[[#This Row],[Away Team Goals]]</f>
        <v>0</v>
      </c>
      <c r="V668" s="11">
        <f>World_Cup_Matches[[#This Row],[Home Team Goals]]-World_Cup_Matches[[#This Row],[Away Team Goals]]</f>
        <v>0</v>
      </c>
      <c r="W668" s="4" t="str">
        <f>IF(World_Cup_Matches[[#This Row],[Home Team Goals]]&gt;World_Cup_Matches[[#This Row],[Away Team Goals]],World_Cup_Matches[[#This Row],[Home Team Name]],IF(World_Cup_Matches[[#This Row],[Away Team Goals]]&gt;World_Cup_Matches[[#This Row],[Home Team Goals]], World_Cup_Matches[[#This Row],[Away Team Name]],"Draw"))</f>
        <v>Draw</v>
      </c>
      <c r="X668" s="4" t="str">
        <f>IF(World_Cup_Matches[[#This Row],[Home Team Goals]]&gt;World_Cup_Matches[[#This Row],[Away Team Goals]],"Hime Win",IF(World_Cup_Matches[[#This Row],[Away Team Goals]]&gt;World_Cup_Matches[[#This Row],[Home Team Goals]],"Away win","Draw"))</f>
        <v>Draw</v>
      </c>
    </row>
    <row r="669" spans="1:24" x14ac:dyDescent="0.2">
      <c r="A669" s="19">
        <v>2006</v>
      </c>
      <c r="B669" s="15" t="s">
        <v>1524</v>
      </c>
      <c r="C669" s="3" t="s">
        <v>811</v>
      </c>
      <c r="D669" s="3" t="s">
        <v>1431</v>
      </c>
      <c r="E669" s="3" t="s">
        <v>545</v>
      </c>
      <c r="F669" s="3" t="s">
        <v>458</v>
      </c>
      <c r="G669" s="11">
        <v>2</v>
      </c>
      <c r="H669" s="11">
        <v>0</v>
      </c>
      <c r="I669" s="3" t="s">
        <v>648</v>
      </c>
      <c r="J669" s="3" t="s">
        <v>1842</v>
      </c>
      <c r="K669" s="3">
        <v>48000</v>
      </c>
      <c r="L669" s="11">
        <v>0</v>
      </c>
      <c r="M669" s="11">
        <v>0</v>
      </c>
      <c r="N669" s="3" t="s">
        <v>1525</v>
      </c>
      <c r="O669" s="3" t="s">
        <v>1526</v>
      </c>
      <c r="P669" s="3" t="s">
        <v>1527</v>
      </c>
      <c r="Q669" s="11">
        <v>97410100</v>
      </c>
      <c r="R669" s="11">
        <v>97410024</v>
      </c>
      <c r="S669" s="3" t="s">
        <v>462</v>
      </c>
      <c r="T669" s="4" t="s">
        <v>650</v>
      </c>
      <c r="U669" s="11">
        <f>World_Cup_Matches[[#This Row],[Home Team Goals]]+World_Cup_Matches[[#This Row],[Away Team Goals]]</f>
        <v>2</v>
      </c>
      <c r="V669" s="11">
        <f>World_Cup_Matches[[#This Row],[Home Team Goals]]-World_Cup_Matches[[#This Row],[Away Team Goals]]</f>
        <v>2</v>
      </c>
      <c r="W669" s="4" t="str">
        <f>IF(World_Cup_Matches[[#This Row],[Home Team Goals]]&gt;World_Cup_Matches[[#This Row],[Away Team Goals]],World_Cup_Matches[[#This Row],[Home Team Name]],IF(World_Cup_Matches[[#This Row],[Away Team Goals]]&gt;World_Cup_Matches[[#This Row],[Home Team Goals]], World_Cup_Matches[[#This Row],[Away Team Name]],"Draw"))</f>
        <v>Portugal</v>
      </c>
      <c r="X669" s="4" t="str">
        <f>IF(World_Cup_Matches[[#This Row],[Home Team Goals]]&gt;World_Cup_Matches[[#This Row],[Away Team Goals]],"Hime Win",IF(World_Cup_Matches[[#This Row],[Away Team Goals]]&gt;World_Cup_Matches[[#This Row],[Home Team Goals]],"Away win","Draw"))</f>
        <v>Hime Win</v>
      </c>
    </row>
    <row r="670" spans="1:24" x14ac:dyDescent="0.2">
      <c r="A670" s="19">
        <v>2006</v>
      </c>
      <c r="B670" s="15" t="s">
        <v>1528</v>
      </c>
      <c r="C670" s="3" t="s">
        <v>846</v>
      </c>
      <c r="D670" s="3" t="s">
        <v>1463</v>
      </c>
      <c r="E670" s="3" t="s">
        <v>1464</v>
      </c>
      <c r="F670" s="3" t="s">
        <v>1476</v>
      </c>
      <c r="G670" s="11">
        <v>0</v>
      </c>
      <c r="H670" s="11">
        <v>2</v>
      </c>
      <c r="I670" s="3" t="s">
        <v>1483</v>
      </c>
      <c r="J670" s="3" t="s">
        <v>1842</v>
      </c>
      <c r="K670" s="3">
        <v>45000</v>
      </c>
      <c r="L670" s="11">
        <v>0</v>
      </c>
      <c r="M670" s="11">
        <v>1</v>
      </c>
      <c r="N670" s="3" t="s">
        <v>1423</v>
      </c>
      <c r="O670" s="3" t="s">
        <v>1424</v>
      </c>
      <c r="P670" s="3" t="s">
        <v>1425</v>
      </c>
      <c r="Q670" s="11">
        <v>97410100</v>
      </c>
      <c r="R670" s="11">
        <v>97410026</v>
      </c>
      <c r="S670" s="3" t="s">
        <v>1480</v>
      </c>
      <c r="T670" s="4" t="s">
        <v>1486</v>
      </c>
      <c r="U670" s="11">
        <f>World_Cup_Matches[[#This Row],[Home Team Goals]]+World_Cup_Matches[[#This Row],[Away Team Goals]]</f>
        <v>2</v>
      </c>
      <c r="V670" s="11">
        <f>World_Cup_Matches[[#This Row],[Home Team Goals]]-World_Cup_Matches[[#This Row],[Away Team Goals]]</f>
        <v>-2</v>
      </c>
      <c r="W670" s="4" t="str">
        <f>IF(World_Cup_Matches[[#This Row],[Home Team Goals]]&gt;World_Cup_Matches[[#This Row],[Away Team Goals]],World_Cup_Matches[[#This Row],[Home Team Name]],IF(World_Cup_Matches[[#This Row],[Away Team Goals]]&gt;World_Cup_Matches[[#This Row],[Home Team Goals]], World_Cup_Matches[[#This Row],[Away Team Name]],"Draw"))</f>
        <v>Ghana</v>
      </c>
      <c r="X670" s="4" t="str">
        <f>IF(World_Cup_Matches[[#This Row],[Home Team Goals]]&gt;World_Cup_Matches[[#This Row],[Away Team Goals]],"Hime Win",IF(World_Cup_Matches[[#This Row],[Away Team Goals]]&gt;World_Cup_Matches[[#This Row],[Home Team Goals]],"Away win","Draw"))</f>
        <v>Away win</v>
      </c>
    </row>
    <row r="671" spans="1:24" x14ac:dyDescent="0.2">
      <c r="A671" s="19">
        <v>2006</v>
      </c>
      <c r="B671" s="15" t="s">
        <v>1529</v>
      </c>
      <c r="C671" s="3" t="s">
        <v>846</v>
      </c>
      <c r="D671" s="3" t="s">
        <v>1471</v>
      </c>
      <c r="E671" s="3" t="s">
        <v>1472</v>
      </c>
      <c r="F671" s="3" t="s">
        <v>138</v>
      </c>
      <c r="G671" s="11">
        <v>1</v>
      </c>
      <c r="H671" s="11">
        <v>1</v>
      </c>
      <c r="I671" s="3" t="s">
        <v>33</v>
      </c>
      <c r="J671" s="3" t="s">
        <v>1842</v>
      </c>
      <c r="K671" s="3">
        <v>46000</v>
      </c>
      <c r="L671" s="11">
        <v>1</v>
      </c>
      <c r="M671" s="11">
        <v>1</v>
      </c>
      <c r="N671" s="3" t="s">
        <v>1466</v>
      </c>
      <c r="O671" s="3" t="s">
        <v>1467</v>
      </c>
      <c r="P671" s="3" t="s">
        <v>1468</v>
      </c>
      <c r="Q671" s="11">
        <v>97410100</v>
      </c>
      <c r="R671" s="11">
        <v>97410025</v>
      </c>
      <c r="S671" s="3" t="s">
        <v>142</v>
      </c>
      <c r="T671" s="4" t="s">
        <v>33</v>
      </c>
      <c r="U671" s="11">
        <f>World_Cup_Matches[[#This Row],[Home Team Goals]]+World_Cup_Matches[[#This Row],[Away Team Goals]]</f>
        <v>2</v>
      </c>
      <c r="V671" s="11">
        <f>World_Cup_Matches[[#This Row],[Home Team Goals]]-World_Cup_Matches[[#This Row],[Away Team Goals]]</f>
        <v>0</v>
      </c>
      <c r="W671" s="4" t="str">
        <f>IF(World_Cup_Matches[[#This Row],[Home Team Goals]]&gt;World_Cup_Matches[[#This Row],[Away Team Goals]],World_Cup_Matches[[#This Row],[Home Team Name]],IF(World_Cup_Matches[[#This Row],[Away Team Goals]]&gt;World_Cup_Matches[[#This Row],[Home Team Goals]], World_Cup_Matches[[#This Row],[Away Team Name]],"Draw"))</f>
        <v>Draw</v>
      </c>
      <c r="X671" s="4" t="str">
        <f>IF(World_Cup_Matches[[#This Row],[Home Team Goals]]&gt;World_Cup_Matches[[#This Row],[Away Team Goals]],"Hime Win",IF(World_Cup_Matches[[#This Row],[Away Team Goals]]&gt;World_Cup_Matches[[#This Row],[Home Team Goals]],"Away win","Draw"))</f>
        <v>Draw</v>
      </c>
    </row>
    <row r="672" spans="1:24" x14ac:dyDescent="0.2">
      <c r="A672" s="19">
        <v>2006</v>
      </c>
      <c r="B672" s="15" t="s">
        <v>1530</v>
      </c>
      <c r="C672" s="3" t="s">
        <v>824</v>
      </c>
      <c r="D672" s="3" t="s">
        <v>1457</v>
      </c>
      <c r="E672" s="3" t="s">
        <v>1458</v>
      </c>
      <c r="F672" s="3" t="s">
        <v>1161</v>
      </c>
      <c r="G672" s="11">
        <v>0</v>
      </c>
      <c r="H672" s="11">
        <v>0</v>
      </c>
      <c r="I672" s="3" t="s">
        <v>1172</v>
      </c>
      <c r="J672" s="3" t="s">
        <v>1842</v>
      </c>
      <c r="K672" s="3">
        <v>41000</v>
      </c>
      <c r="L672" s="11">
        <v>0</v>
      </c>
      <c r="M672" s="11">
        <v>0</v>
      </c>
      <c r="N672" s="3" t="s">
        <v>1445</v>
      </c>
      <c r="O672" s="3" t="s">
        <v>1446</v>
      </c>
      <c r="P672" s="3" t="s">
        <v>1447</v>
      </c>
      <c r="Q672" s="11">
        <v>97410100</v>
      </c>
      <c r="R672" s="11">
        <v>97410028</v>
      </c>
      <c r="S672" s="3" t="s">
        <v>1164</v>
      </c>
      <c r="T672" s="4" t="s">
        <v>1177</v>
      </c>
      <c r="U672" s="11">
        <f>World_Cup_Matches[[#This Row],[Home Team Goals]]+World_Cup_Matches[[#This Row],[Away Team Goals]]</f>
        <v>0</v>
      </c>
      <c r="V672" s="11">
        <f>World_Cup_Matches[[#This Row],[Home Team Goals]]-World_Cup_Matches[[#This Row],[Away Team Goals]]</f>
        <v>0</v>
      </c>
      <c r="W672" s="4" t="str">
        <f>IF(World_Cup_Matches[[#This Row],[Home Team Goals]]&gt;World_Cup_Matches[[#This Row],[Away Team Goals]],World_Cup_Matches[[#This Row],[Home Team Name]],IF(World_Cup_Matches[[#This Row],[Away Team Goals]]&gt;World_Cup_Matches[[#This Row],[Home Team Goals]], World_Cup_Matches[[#This Row],[Away Team Name]],"Draw"))</f>
        <v>Draw</v>
      </c>
      <c r="X672" s="4" t="str">
        <f>IF(World_Cup_Matches[[#This Row],[Home Team Goals]]&gt;World_Cup_Matches[[#This Row],[Away Team Goals]],"Hime Win",IF(World_Cup_Matches[[#This Row],[Away Team Goals]]&gt;World_Cup_Matches[[#This Row],[Home Team Goals]],"Away win","Draw"))</f>
        <v>Draw</v>
      </c>
    </row>
    <row r="673" spans="1:24" x14ac:dyDescent="0.2">
      <c r="A673" s="19">
        <v>2006</v>
      </c>
      <c r="B673" s="15" t="s">
        <v>1531</v>
      </c>
      <c r="C673" s="3" t="s">
        <v>824</v>
      </c>
      <c r="D673" s="3" t="s">
        <v>1422</v>
      </c>
      <c r="E673" s="3" t="s">
        <v>581</v>
      </c>
      <c r="F673" s="3" t="s">
        <v>42</v>
      </c>
      <c r="G673" s="11">
        <v>2</v>
      </c>
      <c r="H673" s="11">
        <v>0</v>
      </c>
      <c r="I673" s="3" t="s">
        <v>556</v>
      </c>
      <c r="J673" s="3" t="s">
        <v>1842</v>
      </c>
      <c r="K673" s="3">
        <v>66000</v>
      </c>
      <c r="L673" s="11">
        <v>0</v>
      </c>
      <c r="M673" s="11">
        <v>0</v>
      </c>
      <c r="N673" s="3" t="s">
        <v>1371</v>
      </c>
      <c r="O673" s="3" t="s">
        <v>1453</v>
      </c>
      <c r="P673" s="3" t="s">
        <v>1454</v>
      </c>
      <c r="Q673" s="11">
        <v>97410100</v>
      </c>
      <c r="R673" s="11">
        <v>97410027</v>
      </c>
      <c r="S673" s="3" t="s">
        <v>47</v>
      </c>
      <c r="T673" s="4" t="s">
        <v>561</v>
      </c>
      <c r="U673" s="11">
        <f>World_Cup_Matches[[#This Row],[Home Team Goals]]+World_Cup_Matches[[#This Row],[Away Team Goals]]</f>
        <v>2</v>
      </c>
      <c r="V673" s="11">
        <f>World_Cup_Matches[[#This Row],[Home Team Goals]]-World_Cup_Matches[[#This Row],[Away Team Goals]]</f>
        <v>2</v>
      </c>
      <c r="W673" s="4" t="str">
        <f>IF(World_Cup_Matches[[#This Row],[Home Team Goals]]&gt;World_Cup_Matches[[#This Row],[Away Team Goals]],World_Cup_Matches[[#This Row],[Home Team Name]],IF(World_Cup_Matches[[#This Row],[Away Team Goals]]&gt;World_Cup_Matches[[#This Row],[Home Team Goals]], World_Cup_Matches[[#This Row],[Away Team Name]],"Draw"))</f>
        <v>Brazil</v>
      </c>
      <c r="X673" s="4" t="str">
        <f>IF(World_Cup_Matches[[#This Row],[Home Team Goals]]&gt;World_Cup_Matches[[#This Row],[Away Team Goals]],"Hime Win",IF(World_Cup_Matches[[#This Row],[Away Team Goals]]&gt;World_Cup_Matches[[#This Row],[Home Team Goals]],"Away win","Draw"))</f>
        <v>Hime Win</v>
      </c>
    </row>
    <row r="674" spans="1:24" x14ac:dyDescent="0.2">
      <c r="A674" s="19">
        <v>2006</v>
      </c>
      <c r="B674" s="15" t="s">
        <v>1532</v>
      </c>
      <c r="C674" s="3" t="s">
        <v>1179</v>
      </c>
      <c r="D674" s="3" t="s">
        <v>1450</v>
      </c>
      <c r="E674" s="3" t="s">
        <v>1451</v>
      </c>
      <c r="F674" s="3" t="s">
        <v>24</v>
      </c>
      <c r="G674" s="11">
        <v>1</v>
      </c>
      <c r="H674" s="11">
        <v>1</v>
      </c>
      <c r="I674" s="3" t="s">
        <v>291</v>
      </c>
      <c r="J674" s="3" t="s">
        <v>1842</v>
      </c>
      <c r="K674" s="3">
        <v>43000</v>
      </c>
      <c r="L674" s="11">
        <v>1</v>
      </c>
      <c r="M674" s="11">
        <v>0</v>
      </c>
      <c r="N674" s="3" t="s">
        <v>1497</v>
      </c>
      <c r="O674" s="3" t="s">
        <v>1498</v>
      </c>
      <c r="P674" s="3" t="s">
        <v>1305</v>
      </c>
      <c r="Q674" s="11">
        <v>97410100</v>
      </c>
      <c r="R674" s="11">
        <v>97410029</v>
      </c>
      <c r="S674" s="3" t="s">
        <v>29</v>
      </c>
      <c r="T674" s="4" t="s">
        <v>295</v>
      </c>
      <c r="U674" s="11">
        <f>World_Cup_Matches[[#This Row],[Home Team Goals]]+World_Cup_Matches[[#This Row],[Away Team Goals]]</f>
        <v>2</v>
      </c>
      <c r="V674" s="11">
        <f>World_Cup_Matches[[#This Row],[Home Team Goals]]-World_Cup_Matches[[#This Row],[Away Team Goals]]</f>
        <v>0</v>
      </c>
      <c r="W674" s="4" t="str">
        <f>IF(World_Cup_Matches[[#This Row],[Home Team Goals]]&gt;World_Cup_Matches[[#This Row],[Away Team Goals]],World_Cup_Matches[[#This Row],[Home Team Name]],IF(World_Cup_Matches[[#This Row],[Away Team Goals]]&gt;World_Cup_Matches[[#This Row],[Home Team Goals]], World_Cup_Matches[[#This Row],[Away Team Name]],"Draw"))</f>
        <v>Draw</v>
      </c>
      <c r="X674" s="4" t="str">
        <f>IF(World_Cup_Matches[[#This Row],[Home Team Goals]]&gt;World_Cup_Matches[[#This Row],[Away Team Goals]],"Hime Win",IF(World_Cup_Matches[[#This Row],[Away Team Goals]]&gt;World_Cup_Matches[[#This Row],[Home Team Goals]],"Away win","Draw"))</f>
        <v>Draw</v>
      </c>
    </row>
    <row r="675" spans="1:24" x14ac:dyDescent="0.2">
      <c r="A675" s="19">
        <v>2006</v>
      </c>
      <c r="B675" s="15" t="s">
        <v>1533</v>
      </c>
      <c r="C675" s="3" t="s">
        <v>1179</v>
      </c>
      <c r="D675" s="3" t="s">
        <v>1436</v>
      </c>
      <c r="E675" s="3" t="s">
        <v>563</v>
      </c>
      <c r="F675" s="3" t="s">
        <v>1488</v>
      </c>
      <c r="G675" s="11">
        <v>0</v>
      </c>
      <c r="H675" s="11">
        <v>2</v>
      </c>
      <c r="I675" s="3" t="s">
        <v>108</v>
      </c>
      <c r="J675" s="3" t="s">
        <v>1842</v>
      </c>
      <c r="K675" s="3">
        <v>65000</v>
      </c>
      <c r="L675" s="11">
        <v>0</v>
      </c>
      <c r="M675" s="11">
        <v>1</v>
      </c>
      <c r="N675" s="3" t="s">
        <v>1477</v>
      </c>
      <c r="O675" s="3" t="s">
        <v>1478</v>
      </c>
      <c r="P675" s="3" t="s">
        <v>1479</v>
      </c>
      <c r="Q675" s="11">
        <v>97410100</v>
      </c>
      <c r="R675" s="11">
        <v>97410030</v>
      </c>
      <c r="S675" s="3" t="s">
        <v>1490</v>
      </c>
      <c r="T675" s="4" t="s">
        <v>113</v>
      </c>
      <c r="U675" s="11">
        <f>World_Cup_Matches[[#This Row],[Home Team Goals]]+World_Cup_Matches[[#This Row],[Away Team Goals]]</f>
        <v>2</v>
      </c>
      <c r="V675" s="11">
        <f>World_Cup_Matches[[#This Row],[Home Team Goals]]-World_Cup_Matches[[#This Row],[Away Team Goals]]</f>
        <v>-2</v>
      </c>
      <c r="W675" s="4" t="str">
        <f>IF(World_Cup_Matches[[#This Row],[Home Team Goals]]&gt;World_Cup_Matches[[#This Row],[Away Team Goals]],World_Cup_Matches[[#This Row],[Home Team Name]],IF(World_Cup_Matches[[#This Row],[Away Team Goals]]&gt;World_Cup_Matches[[#This Row],[Home Team Goals]], World_Cup_Matches[[#This Row],[Away Team Name]],"Draw"))</f>
        <v>Switzerland</v>
      </c>
      <c r="X675" s="4" t="str">
        <f>IF(World_Cup_Matches[[#This Row],[Home Team Goals]]&gt;World_Cup_Matches[[#This Row],[Away Team Goals]],"Hime Win",IF(World_Cup_Matches[[#This Row],[Away Team Goals]]&gt;World_Cup_Matches[[#This Row],[Home Team Goals]],"Away win","Draw"))</f>
        <v>Away win</v>
      </c>
    </row>
    <row r="676" spans="1:24" x14ac:dyDescent="0.2">
      <c r="A676" s="19">
        <v>2006</v>
      </c>
      <c r="B676" s="15" t="s">
        <v>1534</v>
      </c>
      <c r="C676" s="3" t="s">
        <v>1160</v>
      </c>
      <c r="D676" s="3" t="s">
        <v>1443</v>
      </c>
      <c r="E676" s="3" t="s">
        <v>554</v>
      </c>
      <c r="F676" s="3" t="s">
        <v>1037</v>
      </c>
      <c r="G676" s="11">
        <v>0</v>
      </c>
      <c r="H676" s="11">
        <v>4</v>
      </c>
      <c r="I676" s="3" t="s">
        <v>1500</v>
      </c>
      <c r="J676" s="3" t="s">
        <v>1842</v>
      </c>
      <c r="K676" s="3">
        <v>50000</v>
      </c>
      <c r="L676" s="11">
        <v>0</v>
      </c>
      <c r="M676" s="11">
        <v>2</v>
      </c>
      <c r="N676" s="3" t="s">
        <v>1363</v>
      </c>
      <c r="O676" s="3" t="s">
        <v>1306</v>
      </c>
      <c r="P676" s="3" t="s">
        <v>1489</v>
      </c>
      <c r="Q676" s="11">
        <v>97410100</v>
      </c>
      <c r="R676" s="11">
        <v>97410032</v>
      </c>
      <c r="S676" s="3" t="s">
        <v>1039</v>
      </c>
      <c r="T676" s="4" t="s">
        <v>1504</v>
      </c>
      <c r="U676" s="11">
        <f>World_Cup_Matches[[#This Row],[Home Team Goals]]+World_Cup_Matches[[#This Row],[Away Team Goals]]</f>
        <v>4</v>
      </c>
      <c r="V676" s="11">
        <f>World_Cup_Matches[[#This Row],[Home Team Goals]]-World_Cup_Matches[[#This Row],[Away Team Goals]]</f>
        <v>-4</v>
      </c>
      <c r="W676" s="4" t="str">
        <f>IF(World_Cup_Matches[[#This Row],[Home Team Goals]]&gt;World_Cup_Matches[[#This Row],[Away Team Goals]],World_Cup_Matches[[#This Row],[Home Team Name]],IF(World_Cup_Matches[[#This Row],[Away Team Goals]]&gt;World_Cup_Matches[[#This Row],[Home Team Goals]], World_Cup_Matches[[#This Row],[Away Team Name]],"Draw"))</f>
        <v>Ukraine</v>
      </c>
      <c r="X676" s="4" t="str">
        <f>IF(World_Cup_Matches[[#This Row],[Home Team Goals]]&gt;World_Cup_Matches[[#This Row],[Away Team Goals]],"Hime Win",IF(World_Cup_Matches[[#This Row],[Away Team Goals]]&gt;World_Cup_Matches[[#This Row],[Home Team Goals]],"Away win","Draw"))</f>
        <v>Away win</v>
      </c>
    </row>
    <row r="677" spans="1:24" x14ac:dyDescent="0.2">
      <c r="A677" s="19">
        <v>2006</v>
      </c>
      <c r="B677" s="15" t="s">
        <v>1535</v>
      </c>
      <c r="C677" s="3" t="s">
        <v>1160</v>
      </c>
      <c r="D677" s="3" t="s">
        <v>1492</v>
      </c>
      <c r="E677" s="3" t="s">
        <v>587</v>
      </c>
      <c r="F677" s="3" t="s">
        <v>131</v>
      </c>
      <c r="G677" s="11">
        <v>3</v>
      </c>
      <c r="H677" s="11">
        <v>1</v>
      </c>
      <c r="I677" s="3" t="s">
        <v>628</v>
      </c>
      <c r="J677" s="3" t="s">
        <v>1842</v>
      </c>
      <c r="K677" s="3">
        <v>52000</v>
      </c>
      <c r="L677" s="11">
        <v>0</v>
      </c>
      <c r="M677" s="11">
        <v>1</v>
      </c>
      <c r="N677" s="3" t="s">
        <v>1288</v>
      </c>
      <c r="O677" s="3" t="s">
        <v>1484</v>
      </c>
      <c r="P677" s="3" t="s">
        <v>1485</v>
      </c>
      <c r="Q677" s="11">
        <v>97410100</v>
      </c>
      <c r="R677" s="11">
        <v>97410031</v>
      </c>
      <c r="S677" s="3" t="s">
        <v>135</v>
      </c>
      <c r="T677" s="4" t="s">
        <v>632</v>
      </c>
      <c r="U677" s="11">
        <f>World_Cup_Matches[[#This Row],[Home Team Goals]]+World_Cup_Matches[[#This Row],[Away Team Goals]]</f>
        <v>4</v>
      </c>
      <c r="V677" s="11">
        <f>World_Cup_Matches[[#This Row],[Home Team Goals]]-World_Cup_Matches[[#This Row],[Away Team Goals]]</f>
        <v>2</v>
      </c>
      <c r="W677" s="4" t="str">
        <f>IF(World_Cup_Matches[[#This Row],[Home Team Goals]]&gt;World_Cup_Matches[[#This Row],[Away Team Goals]],World_Cup_Matches[[#This Row],[Home Team Name]],IF(World_Cup_Matches[[#This Row],[Away Team Goals]]&gt;World_Cup_Matches[[#This Row],[Home Team Goals]], World_Cup_Matches[[#This Row],[Away Team Name]],"Draw"))</f>
        <v>Spain</v>
      </c>
      <c r="X677" s="4" t="str">
        <f>IF(World_Cup_Matches[[#This Row],[Home Team Goals]]&gt;World_Cup_Matches[[#This Row],[Away Team Goals]],"Hime Win",IF(World_Cup_Matches[[#This Row],[Away Team Goals]]&gt;World_Cup_Matches[[#This Row],[Home Team Goals]],"Away win","Draw"))</f>
        <v>Hime Win</v>
      </c>
    </row>
    <row r="678" spans="1:24" x14ac:dyDescent="0.2">
      <c r="A678" s="19">
        <v>2006</v>
      </c>
      <c r="B678" s="15" t="s">
        <v>1536</v>
      </c>
      <c r="C678" s="3" t="s">
        <v>609</v>
      </c>
      <c r="D678" s="3" t="s">
        <v>548</v>
      </c>
      <c r="E678" s="3" t="s">
        <v>1496</v>
      </c>
      <c r="F678" s="3" t="s">
        <v>1303</v>
      </c>
      <c r="G678" s="11">
        <v>0</v>
      </c>
      <c r="H678" s="11">
        <v>3</v>
      </c>
      <c r="I678" s="3" t="s">
        <v>124</v>
      </c>
      <c r="J678" s="3" t="s">
        <v>1842</v>
      </c>
      <c r="K678" s="3">
        <v>72000</v>
      </c>
      <c r="L678" s="11">
        <v>0</v>
      </c>
      <c r="M678" s="11">
        <v>2</v>
      </c>
      <c r="N678" s="3" t="s">
        <v>1033</v>
      </c>
      <c r="O678" s="3" t="s">
        <v>1493</v>
      </c>
      <c r="P678" s="3" t="s">
        <v>1494</v>
      </c>
      <c r="Q678" s="11">
        <v>97410100</v>
      </c>
      <c r="R678" s="11">
        <v>97410033</v>
      </c>
      <c r="S678" s="3" t="s">
        <v>1307</v>
      </c>
      <c r="T678" s="4" t="s">
        <v>128</v>
      </c>
      <c r="U678" s="11">
        <f>World_Cup_Matches[[#This Row],[Home Team Goals]]+World_Cup_Matches[[#This Row],[Away Team Goals]]</f>
        <v>3</v>
      </c>
      <c r="V678" s="11">
        <f>World_Cup_Matches[[#This Row],[Home Team Goals]]-World_Cup_Matches[[#This Row],[Away Team Goals]]</f>
        <v>-3</v>
      </c>
      <c r="W678" s="4" t="str">
        <f>IF(World_Cup_Matches[[#This Row],[Home Team Goals]]&gt;World_Cup_Matches[[#This Row],[Away Team Goals]],World_Cup_Matches[[#This Row],[Home Team Name]],IF(World_Cup_Matches[[#This Row],[Away Team Goals]]&gt;World_Cup_Matches[[#This Row],[Home Team Goals]], World_Cup_Matches[[#This Row],[Away Team Name]],"Draw"))</f>
        <v>Germany</v>
      </c>
      <c r="X678" s="4" t="str">
        <f>IF(World_Cup_Matches[[#This Row],[Home Team Goals]]&gt;World_Cup_Matches[[#This Row],[Away Team Goals]],"Hime Win",IF(World_Cup_Matches[[#This Row],[Away Team Goals]]&gt;World_Cup_Matches[[#This Row],[Home Team Goals]],"Away win","Draw"))</f>
        <v>Away win</v>
      </c>
    </row>
    <row r="679" spans="1:24" x14ac:dyDescent="0.2">
      <c r="A679" s="19">
        <v>2006</v>
      </c>
      <c r="B679" s="15" t="s">
        <v>1536</v>
      </c>
      <c r="C679" s="3" t="s">
        <v>609</v>
      </c>
      <c r="D679" s="3" t="s">
        <v>1482</v>
      </c>
      <c r="E679" s="3" t="s">
        <v>571</v>
      </c>
      <c r="F679" s="3" t="s">
        <v>925</v>
      </c>
      <c r="G679" s="11">
        <v>1</v>
      </c>
      <c r="H679" s="11">
        <v>2</v>
      </c>
      <c r="I679" s="3" t="s">
        <v>190</v>
      </c>
      <c r="J679" s="3" t="s">
        <v>1842</v>
      </c>
      <c r="K679" s="3">
        <v>43000</v>
      </c>
      <c r="L679" s="11">
        <v>1</v>
      </c>
      <c r="M679" s="11">
        <v>1</v>
      </c>
      <c r="N679" s="3" t="s">
        <v>1438</v>
      </c>
      <c r="O679" s="3" t="s">
        <v>1439</v>
      </c>
      <c r="P679" s="3" t="s">
        <v>1440</v>
      </c>
      <c r="Q679" s="11">
        <v>97410100</v>
      </c>
      <c r="R679" s="11">
        <v>97410034</v>
      </c>
      <c r="S679" s="3" t="s">
        <v>929</v>
      </c>
      <c r="T679" s="4" t="s">
        <v>194</v>
      </c>
      <c r="U679" s="11">
        <f>World_Cup_Matches[[#This Row],[Home Team Goals]]+World_Cup_Matches[[#This Row],[Away Team Goals]]</f>
        <v>3</v>
      </c>
      <c r="V679" s="11">
        <f>World_Cup_Matches[[#This Row],[Home Team Goals]]-World_Cup_Matches[[#This Row],[Away Team Goals]]</f>
        <v>-1</v>
      </c>
      <c r="W679" s="4" t="str">
        <f>IF(World_Cup_Matches[[#This Row],[Home Team Goals]]&gt;World_Cup_Matches[[#This Row],[Away Team Goals]],World_Cup_Matches[[#This Row],[Home Team Name]],IF(World_Cup_Matches[[#This Row],[Away Team Goals]]&gt;World_Cup_Matches[[#This Row],[Home Team Goals]], World_Cup_Matches[[#This Row],[Away Team Name]],"Draw"))</f>
        <v>Poland</v>
      </c>
      <c r="X679" s="4" t="str">
        <f>IF(World_Cup_Matches[[#This Row],[Home Team Goals]]&gt;World_Cup_Matches[[#This Row],[Away Team Goals]],"Hime Win",IF(World_Cup_Matches[[#This Row],[Away Team Goals]]&gt;World_Cup_Matches[[#This Row],[Home Team Goals]],"Away win","Draw"))</f>
        <v>Away win</v>
      </c>
    </row>
    <row r="680" spans="1:24" x14ac:dyDescent="0.2">
      <c r="A680" s="19">
        <v>2006</v>
      </c>
      <c r="B680" s="15" t="s">
        <v>1537</v>
      </c>
      <c r="C680" s="3" t="s">
        <v>607</v>
      </c>
      <c r="D680" s="3" t="s">
        <v>1463</v>
      </c>
      <c r="E680" s="3" t="s">
        <v>1464</v>
      </c>
      <c r="F680" s="3" t="s">
        <v>117</v>
      </c>
      <c r="G680" s="11">
        <v>2</v>
      </c>
      <c r="H680" s="11">
        <v>2</v>
      </c>
      <c r="I680" s="3" t="s">
        <v>223</v>
      </c>
      <c r="J680" s="3" t="s">
        <v>1842</v>
      </c>
      <c r="K680" s="3">
        <v>45000</v>
      </c>
      <c r="L680" s="11">
        <v>0</v>
      </c>
      <c r="M680" s="11">
        <v>1</v>
      </c>
      <c r="N680" s="3" t="s">
        <v>1501</v>
      </c>
      <c r="O680" s="3" t="s">
        <v>1502</v>
      </c>
      <c r="P680" s="3" t="s">
        <v>1503</v>
      </c>
      <c r="Q680" s="11">
        <v>97410100</v>
      </c>
      <c r="R680" s="11">
        <v>97410035</v>
      </c>
      <c r="S680" s="3" t="s">
        <v>121</v>
      </c>
      <c r="T680" s="4" t="s">
        <v>227</v>
      </c>
      <c r="U680" s="11">
        <f>World_Cup_Matches[[#This Row],[Home Team Goals]]+World_Cup_Matches[[#This Row],[Away Team Goals]]</f>
        <v>4</v>
      </c>
      <c r="V680" s="11">
        <f>World_Cup_Matches[[#This Row],[Home Team Goals]]-World_Cup_Matches[[#This Row],[Away Team Goals]]</f>
        <v>0</v>
      </c>
      <c r="W680" s="4" t="str">
        <f>IF(World_Cup_Matches[[#This Row],[Home Team Goals]]&gt;World_Cup_Matches[[#This Row],[Away Team Goals]],World_Cup_Matches[[#This Row],[Home Team Name]],IF(World_Cup_Matches[[#This Row],[Away Team Goals]]&gt;World_Cup_Matches[[#This Row],[Home Team Goals]], World_Cup_Matches[[#This Row],[Away Team Name]],"Draw"))</f>
        <v>Draw</v>
      </c>
      <c r="X680" s="4" t="str">
        <f>IF(World_Cup_Matches[[#This Row],[Home Team Goals]]&gt;World_Cup_Matches[[#This Row],[Away Team Goals]],"Hime Win",IF(World_Cup_Matches[[#This Row],[Away Team Goals]]&gt;World_Cup_Matches[[#This Row],[Home Team Goals]],"Away win","Draw"))</f>
        <v>Draw</v>
      </c>
    </row>
    <row r="681" spans="1:24" x14ac:dyDescent="0.2">
      <c r="A681" s="19">
        <v>2006</v>
      </c>
      <c r="B681" s="15" t="s">
        <v>1537</v>
      </c>
      <c r="C681" s="3" t="s">
        <v>607</v>
      </c>
      <c r="D681" s="3" t="s">
        <v>1471</v>
      </c>
      <c r="E681" s="3" t="s">
        <v>1472</v>
      </c>
      <c r="F681" s="3" t="s">
        <v>68</v>
      </c>
      <c r="G681" s="11">
        <v>2</v>
      </c>
      <c r="H681" s="11">
        <v>0</v>
      </c>
      <c r="I681" s="3" t="s">
        <v>1437</v>
      </c>
      <c r="J681" s="3" t="s">
        <v>1842</v>
      </c>
      <c r="K681" s="3">
        <v>46000</v>
      </c>
      <c r="L681" s="11">
        <v>1</v>
      </c>
      <c r="M681" s="11">
        <v>0</v>
      </c>
      <c r="N681" s="3" t="s">
        <v>1459</v>
      </c>
      <c r="O681" s="3" t="s">
        <v>1460</v>
      </c>
      <c r="P681" s="3" t="s">
        <v>1461</v>
      </c>
      <c r="Q681" s="11">
        <v>97410100</v>
      </c>
      <c r="R681" s="11">
        <v>97410036</v>
      </c>
      <c r="S681" s="3" t="s">
        <v>69</v>
      </c>
      <c r="T681" s="4" t="s">
        <v>1441</v>
      </c>
      <c r="U681" s="11">
        <f>World_Cup_Matches[[#This Row],[Home Team Goals]]+World_Cup_Matches[[#This Row],[Away Team Goals]]</f>
        <v>2</v>
      </c>
      <c r="V681" s="11">
        <f>World_Cup_Matches[[#This Row],[Home Team Goals]]-World_Cup_Matches[[#This Row],[Away Team Goals]]</f>
        <v>2</v>
      </c>
      <c r="W681" s="4" t="str">
        <f>IF(World_Cup_Matches[[#This Row],[Home Team Goals]]&gt;World_Cup_Matches[[#This Row],[Away Team Goals]],World_Cup_Matches[[#This Row],[Home Team Name]],IF(World_Cup_Matches[[#This Row],[Away Team Goals]]&gt;World_Cup_Matches[[#This Row],[Home Team Goals]], World_Cup_Matches[[#This Row],[Away Team Name]],"Draw"))</f>
        <v>Paraguay</v>
      </c>
      <c r="X681" s="4" t="str">
        <f>IF(World_Cup_Matches[[#This Row],[Home Team Goals]]&gt;World_Cup_Matches[[#This Row],[Away Team Goals]],"Hime Win",IF(World_Cup_Matches[[#This Row],[Away Team Goals]]&gt;World_Cup_Matches[[#This Row],[Home Team Goals]],"Away win","Draw"))</f>
        <v>Hime Win</v>
      </c>
    </row>
    <row r="682" spans="1:24" x14ac:dyDescent="0.2">
      <c r="A682" s="19">
        <v>2006</v>
      </c>
      <c r="B682" s="15" t="s">
        <v>1538</v>
      </c>
      <c r="C682" s="3" t="s">
        <v>811</v>
      </c>
      <c r="D682" s="3" t="s">
        <v>1450</v>
      </c>
      <c r="E682" s="3" t="s">
        <v>1451</v>
      </c>
      <c r="F682" s="3" t="s">
        <v>669</v>
      </c>
      <c r="G682" s="11">
        <v>1</v>
      </c>
      <c r="H682" s="11">
        <v>1</v>
      </c>
      <c r="I682" s="3" t="s">
        <v>1465</v>
      </c>
      <c r="J682" s="3" t="s">
        <v>1842</v>
      </c>
      <c r="K682" s="3">
        <v>38000</v>
      </c>
      <c r="L682" s="11">
        <v>0</v>
      </c>
      <c r="M682" s="11">
        <v>0</v>
      </c>
      <c r="N682" s="3" t="s">
        <v>1381</v>
      </c>
      <c r="O682" s="3" t="s">
        <v>1506</v>
      </c>
      <c r="P682" s="3" t="s">
        <v>1507</v>
      </c>
      <c r="Q682" s="11">
        <v>97410100</v>
      </c>
      <c r="R682" s="11">
        <v>97410040</v>
      </c>
      <c r="S682" s="3" t="s">
        <v>650</v>
      </c>
      <c r="T682" s="4" t="s">
        <v>1469</v>
      </c>
      <c r="U682" s="11">
        <f>World_Cup_Matches[[#This Row],[Home Team Goals]]+World_Cup_Matches[[#This Row],[Away Team Goals]]</f>
        <v>2</v>
      </c>
      <c r="V682" s="11">
        <f>World_Cup_Matches[[#This Row],[Home Team Goals]]-World_Cup_Matches[[#This Row],[Away Team Goals]]</f>
        <v>0</v>
      </c>
      <c r="W682" s="4" t="str">
        <f>IF(World_Cup_Matches[[#This Row],[Home Team Goals]]&gt;World_Cup_Matches[[#This Row],[Away Team Goals]],World_Cup_Matches[[#This Row],[Home Team Name]],IF(World_Cup_Matches[[#This Row],[Away Team Goals]]&gt;World_Cup_Matches[[#This Row],[Home Team Goals]], World_Cup_Matches[[#This Row],[Away Team Name]],"Draw"))</f>
        <v>Draw</v>
      </c>
      <c r="X682" s="4" t="str">
        <f>IF(World_Cup_Matches[[#This Row],[Home Team Goals]]&gt;World_Cup_Matches[[#This Row],[Away Team Goals]],"Hime Win",IF(World_Cup_Matches[[#This Row],[Away Team Goals]]&gt;World_Cup_Matches[[#This Row],[Home Team Goals]],"Away win","Draw"))</f>
        <v>Draw</v>
      </c>
    </row>
    <row r="683" spans="1:24" x14ac:dyDescent="0.2">
      <c r="A683" s="19">
        <v>2006</v>
      </c>
      <c r="B683" s="15" t="s">
        <v>1538</v>
      </c>
      <c r="C683" s="3" t="s">
        <v>811</v>
      </c>
      <c r="D683" s="3" t="s">
        <v>1427</v>
      </c>
      <c r="E683" s="3" t="s">
        <v>597</v>
      </c>
      <c r="F683" s="3" t="s">
        <v>458</v>
      </c>
      <c r="G683" s="11">
        <v>2</v>
      </c>
      <c r="H683" s="11">
        <v>1</v>
      </c>
      <c r="I683" s="3" t="s">
        <v>25</v>
      </c>
      <c r="J683" s="3" t="s">
        <v>1842</v>
      </c>
      <c r="K683" s="3">
        <v>52000</v>
      </c>
      <c r="L683" s="11">
        <v>2</v>
      </c>
      <c r="M683" s="11">
        <v>1</v>
      </c>
      <c r="N683" s="3" t="s">
        <v>1282</v>
      </c>
      <c r="O683" s="3" t="s">
        <v>1517</v>
      </c>
      <c r="P683" s="3" t="s">
        <v>1518</v>
      </c>
      <c r="Q683" s="11">
        <v>97410100</v>
      </c>
      <c r="R683" s="11">
        <v>97410039</v>
      </c>
      <c r="S683" s="3" t="s">
        <v>462</v>
      </c>
      <c r="T683" s="4" t="s">
        <v>30</v>
      </c>
      <c r="U683" s="11">
        <f>World_Cup_Matches[[#This Row],[Home Team Goals]]+World_Cup_Matches[[#This Row],[Away Team Goals]]</f>
        <v>3</v>
      </c>
      <c r="V683" s="11">
        <f>World_Cup_Matches[[#This Row],[Home Team Goals]]-World_Cup_Matches[[#This Row],[Away Team Goals]]</f>
        <v>1</v>
      </c>
      <c r="W683" s="4" t="str">
        <f>IF(World_Cup_Matches[[#This Row],[Home Team Goals]]&gt;World_Cup_Matches[[#This Row],[Away Team Goals]],World_Cup_Matches[[#This Row],[Home Team Name]],IF(World_Cup_Matches[[#This Row],[Away Team Goals]]&gt;World_Cup_Matches[[#This Row],[Home Team Goals]], World_Cup_Matches[[#This Row],[Away Team Name]],"Draw"))</f>
        <v>Portugal</v>
      </c>
      <c r="X683" s="4" t="str">
        <f>IF(World_Cup_Matches[[#This Row],[Home Team Goals]]&gt;World_Cup_Matches[[#This Row],[Away Team Goals]],"Hime Win",IF(World_Cup_Matches[[#This Row],[Away Team Goals]]&gt;World_Cup_Matches[[#This Row],[Home Team Goals]],"Away win","Draw"))</f>
        <v>Hime Win</v>
      </c>
    </row>
    <row r="684" spans="1:24" x14ac:dyDescent="0.2">
      <c r="A684" s="19">
        <v>2006</v>
      </c>
      <c r="B684" s="15" t="s">
        <v>1539</v>
      </c>
      <c r="C684" s="3" t="s">
        <v>805</v>
      </c>
      <c r="D684" s="3" t="s">
        <v>1431</v>
      </c>
      <c r="E684" s="3" t="s">
        <v>545</v>
      </c>
      <c r="F684" s="3" t="s">
        <v>109</v>
      </c>
      <c r="G684" s="11">
        <v>0</v>
      </c>
      <c r="H684" s="11">
        <v>0</v>
      </c>
      <c r="I684" s="3" t="s">
        <v>56</v>
      </c>
      <c r="J684" s="3" t="s">
        <v>1842</v>
      </c>
      <c r="K684" s="3">
        <v>48000</v>
      </c>
      <c r="L684" s="11">
        <v>0</v>
      </c>
      <c r="M684" s="11">
        <v>0</v>
      </c>
      <c r="N684" s="3" t="s">
        <v>1509</v>
      </c>
      <c r="O684" s="3" t="s">
        <v>1510</v>
      </c>
      <c r="P684" s="3" t="s">
        <v>1511</v>
      </c>
      <c r="Q684" s="11">
        <v>97410100</v>
      </c>
      <c r="R684" s="11">
        <v>97410037</v>
      </c>
      <c r="S684" s="3" t="s">
        <v>114</v>
      </c>
      <c r="T684" s="4" t="s">
        <v>59</v>
      </c>
      <c r="U684" s="11">
        <f>World_Cup_Matches[[#This Row],[Home Team Goals]]+World_Cup_Matches[[#This Row],[Away Team Goals]]</f>
        <v>0</v>
      </c>
      <c r="V684" s="11">
        <f>World_Cup_Matches[[#This Row],[Home Team Goals]]-World_Cup_Matches[[#This Row],[Away Team Goals]]</f>
        <v>0</v>
      </c>
      <c r="W684" s="4" t="str">
        <f>IF(World_Cup_Matches[[#This Row],[Home Team Goals]]&gt;World_Cup_Matches[[#This Row],[Away Team Goals]],World_Cup_Matches[[#This Row],[Home Team Name]],IF(World_Cup_Matches[[#This Row],[Away Team Goals]]&gt;World_Cup_Matches[[#This Row],[Home Team Goals]], World_Cup_Matches[[#This Row],[Away Team Name]],"Draw"))</f>
        <v>Draw</v>
      </c>
      <c r="X684" s="4" t="str">
        <f>IF(World_Cup_Matches[[#This Row],[Home Team Goals]]&gt;World_Cup_Matches[[#This Row],[Away Team Goals]],"Hime Win",IF(World_Cup_Matches[[#This Row],[Away Team Goals]]&gt;World_Cup_Matches[[#This Row],[Home Team Goals]],"Away win","Draw"))</f>
        <v>Draw</v>
      </c>
    </row>
    <row r="685" spans="1:24" x14ac:dyDescent="0.2">
      <c r="A685" s="19">
        <v>2006</v>
      </c>
      <c r="B685" s="15" t="s">
        <v>1539</v>
      </c>
      <c r="C685" s="3" t="s">
        <v>805</v>
      </c>
      <c r="D685" s="3" t="s">
        <v>1422</v>
      </c>
      <c r="E685" s="3" t="s">
        <v>581</v>
      </c>
      <c r="F685" s="3" t="s">
        <v>1444</v>
      </c>
      <c r="G685" s="11">
        <v>3</v>
      </c>
      <c r="H685" s="11">
        <v>2</v>
      </c>
      <c r="I685" s="3" t="s">
        <v>1452</v>
      </c>
      <c r="J685" s="3" t="s">
        <v>1842</v>
      </c>
      <c r="K685" s="3">
        <v>66000</v>
      </c>
      <c r="L685" s="11">
        <v>1</v>
      </c>
      <c r="M685" s="11">
        <v>2</v>
      </c>
      <c r="N685" s="3" t="s">
        <v>1432</v>
      </c>
      <c r="O685" s="3" t="s">
        <v>1433</v>
      </c>
      <c r="P685" s="3" t="s">
        <v>1434</v>
      </c>
      <c r="Q685" s="11">
        <v>97410100</v>
      </c>
      <c r="R685" s="11">
        <v>97410038</v>
      </c>
      <c r="S685" s="3" t="s">
        <v>1448</v>
      </c>
      <c r="T685" s="4" t="s">
        <v>1455</v>
      </c>
      <c r="U685" s="11">
        <f>World_Cup_Matches[[#This Row],[Home Team Goals]]+World_Cup_Matches[[#This Row],[Away Team Goals]]</f>
        <v>5</v>
      </c>
      <c r="V685" s="11">
        <f>World_Cup_Matches[[#This Row],[Home Team Goals]]-World_Cup_Matches[[#This Row],[Away Team Goals]]</f>
        <v>1</v>
      </c>
      <c r="W685" s="4" t="str">
        <f>IF(World_Cup_Matches[[#This Row],[Home Team Goals]]&gt;World_Cup_Matches[[#This Row],[Away Team Goals]],World_Cup_Matches[[#This Row],[Home Team Name]],IF(World_Cup_Matches[[#This Row],[Away Team Goals]]&gt;World_Cup_Matches[[#This Row],[Home Team Goals]], World_Cup_Matches[[#This Row],[Away Team Name]],"Draw"))</f>
        <v>Cï¿½te d'Ivoire</v>
      </c>
      <c r="X685" s="4" t="str">
        <f>IF(World_Cup_Matches[[#This Row],[Home Team Goals]]&gt;World_Cup_Matches[[#This Row],[Away Team Goals]],"Hime Win",IF(World_Cup_Matches[[#This Row],[Away Team Goals]]&gt;World_Cup_Matches[[#This Row],[Home Team Goals]],"Away win","Draw"))</f>
        <v>Hime Win</v>
      </c>
    </row>
    <row r="686" spans="1:24" x14ac:dyDescent="0.2">
      <c r="A686" s="19">
        <v>2006</v>
      </c>
      <c r="B686" s="15" t="s">
        <v>1540</v>
      </c>
      <c r="C686" s="3" t="s">
        <v>846</v>
      </c>
      <c r="D686" s="3" t="s">
        <v>1443</v>
      </c>
      <c r="E686" s="3" t="s">
        <v>554</v>
      </c>
      <c r="F686" s="3" t="s">
        <v>1476</v>
      </c>
      <c r="G686" s="11">
        <v>0</v>
      </c>
      <c r="H686" s="11">
        <v>2</v>
      </c>
      <c r="I686" s="3" t="s">
        <v>138</v>
      </c>
      <c r="J686" s="3" t="s">
        <v>1842</v>
      </c>
      <c r="K686" s="3">
        <v>50000</v>
      </c>
      <c r="L686" s="11">
        <v>0</v>
      </c>
      <c r="M686" s="11">
        <v>1</v>
      </c>
      <c r="N686" s="3" t="s">
        <v>1497</v>
      </c>
      <c r="O686" s="3" t="s">
        <v>1498</v>
      </c>
      <c r="P686" s="3" t="s">
        <v>1305</v>
      </c>
      <c r="Q686" s="11">
        <v>97410100</v>
      </c>
      <c r="R686" s="11">
        <v>97410041</v>
      </c>
      <c r="S686" s="3" t="s">
        <v>1480</v>
      </c>
      <c r="T686" s="4" t="s">
        <v>142</v>
      </c>
      <c r="U686" s="11">
        <f>World_Cup_Matches[[#This Row],[Home Team Goals]]+World_Cup_Matches[[#This Row],[Away Team Goals]]</f>
        <v>2</v>
      </c>
      <c r="V686" s="11">
        <f>World_Cup_Matches[[#This Row],[Home Team Goals]]-World_Cup_Matches[[#This Row],[Away Team Goals]]</f>
        <v>-2</v>
      </c>
      <c r="W686" s="4" t="str">
        <f>IF(World_Cup_Matches[[#This Row],[Home Team Goals]]&gt;World_Cup_Matches[[#This Row],[Away Team Goals]],World_Cup_Matches[[#This Row],[Home Team Name]],IF(World_Cup_Matches[[#This Row],[Away Team Goals]]&gt;World_Cup_Matches[[#This Row],[Home Team Goals]], World_Cup_Matches[[#This Row],[Away Team Name]],"Draw"))</f>
        <v>Italy</v>
      </c>
      <c r="X686" s="4" t="str">
        <f>IF(World_Cup_Matches[[#This Row],[Home Team Goals]]&gt;World_Cup_Matches[[#This Row],[Away Team Goals]],"Hime Win",IF(World_Cup_Matches[[#This Row],[Away Team Goals]]&gt;World_Cup_Matches[[#This Row],[Home Team Goals]],"Away win","Draw"))</f>
        <v>Away win</v>
      </c>
    </row>
    <row r="687" spans="1:24" x14ac:dyDescent="0.2">
      <c r="A687" s="19">
        <v>2006</v>
      </c>
      <c r="B687" s="15" t="s">
        <v>1540</v>
      </c>
      <c r="C687" s="3" t="s">
        <v>846</v>
      </c>
      <c r="D687" s="3" t="s">
        <v>1457</v>
      </c>
      <c r="E687" s="3" t="s">
        <v>1458</v>
      </c>
      <c r="F687" s="3" t="s">
        <v>1483</v>
      </c>
      <c r="G687" s="11">
        <v>2</v>
      </c>
      <c r="H687" s="11">
        <v>1</v>
      </c>
      <c r="I687" s="3" t="s">
        <v>33</v>
      </c>
      <c r="J687" s="3" t="s">
        <v>1842</v>
      </c>
      <c r="K687" s="3">
        <v>41000</v>
      </c>
      <c r="L687" s="11">
        <v>2</v>
      </c>
      <c r="M687" s="11">
        <v>1</v>
      </c>
      <c r="N687" s="3" t="s">
        <v>1371</v>
      </c>
      <c r="O687" s="3" t="s">
        <v>1453</v>
      </c>
      <c r="P687" s="3" t="s">
        <v>1454</v>
      </c>
      <c r="Q687" s="11">
        <v>97410100</v>
      </c>
      <c r="R687" s="11">
        <v>97410042</v>
      </c>
      <c r="S687" s="3" t="s">
        <v>1486</v>
      </c>
      <c r="T687" s="4" t="s">
        <v>33</v>
      </c>
      <c r="U687" s="11">
        <f>World_Cup_Matches[[#This Row],[Home Team Goals]]+World_Cup_Matches[[#This Row],[Away Team Goals]]</f>
        <v>3</v>
      </c>
      <c r="V687" s="11">
        <f>World_Cup_Matches[[#This Row],[Home Team Goals]]-World_Cup_Matches[[#This Row],[Away Team Goals]]</f>
        <v>1</v>
      </c>
      <c r="W687" s="4" t="str">
        <f>IF(World_Cup_Matches[[#This Row],[Home Team Goals]]&gt;World_Cup_Matches[[#This Row],[Away Team Goals]],World_Cup_Matches[[#This Row],[Home Team Name]],IF(World_Cup_Matches[[#This Row],[Away Team Goals]]&gt;World_Cup_Matches[[#This Row],[Home Team Goals]], World_Cup_Matches[[#This Row],[Away Team Name]],"Draw"))</f>
        <v>Ghana</v>
      </c>
      <c r="X687" s="4" t="str">
        <f>IF(World_Cup_Matches[[#This Row],[Home Team Goals]]&gt;World_Cup_Matches[[#This Row],[Away Team Goals]],"Hime Win",IF(World_Cup_Matches[[#This Row],[Away Team Goals]]&gt;World_Cup_Matches[[#This Row],[Home Team Goals]],"Away win","Draw"))</f>
        <v>Hime Win</v>
      </c>
    </row>
    <row r="688" spans="1:24" x14ac:dyDescent="0.2">
      <c r="A688" s="19">
        <v>2006</v>
      </c>
      <c r="B688" s="15" t="s">
        <v>1541</v>
      </c>
      <c r="C688" s="3" t="s">
        <v>824</v>
      </c>
      <c r="D688" s="3" t="s">
        <v>1436</v>
      </c>
      <c r="E688" s="3" t="s">
        <v>563</v>
      </c>
      <c r="F688" s="3" t="s">
        <v>1161</v>
      </c>
      <c r="G688" s="11">
        <v>1</v>
      </c>
      <c r="H688" s="11">
        <v>4</v>
      </c>
      <c r="I688" s="3" t="s">
        <v>42</v>
      </c>
      <c r="J688" s="3" t="s">
        <v>1842</v>
      </c>
      <c r="K688" s="3">
        <v>65000</v>
      </c>
      <c r="L688" s="11">
        <v>1</v>
      </c>
      <c r="M688" s="11">
        <v>1</v>
      </c>
      <c r="N688" s="3" t="s">
        <v>1525</v>
      </c>
      <c r="O688" s="3" t="s">
        <v>1526</v>
      </c>
      <c r="P688" s="3" t="s">
        <v>1527</v>
      </c>
      <c r="Q688" s="11">
        <v>97410100</v>
      </c>
      <c r="R688" s="11">
        <v>97410043</v>
      </c>
      <c r="S688" s="3" t="s">
        <v>1164</v>
      </c>
      <c r="T688" s="4" t="s">
        <v>47</v>
      </c>
      <c r="U688" s="11">
        <f>World_Cup_Matches[[#This Row],[Home Team Goals]]+World_Cup_Matches[[#This Row],[Away Team Goals]]</f>
        <v>5</v>
      </c>
      <c r="V688" s="11">
        <f>World_Cup_Matches[[#This Row],[Home Team Goals]]-World_Cup_Matches[[#This Row],[Away Team Goals]]</f>
        <v>-3</v>
      </c>
      <c r="W688" s="4" t="str">
        <f>IF(World_Cup_Matches[[#This Row],[Home Team Goals]]&gt;World_Cup_Matches[[#This Row],[Away Team Goals]],World_Cup_Matches[[#This Row],[Home Team Name]],IF(World_Cup_Matches[[#This Row],[Away Team Goals]]&gt;World_Cup_Matches[[#This Row],[Home Team Goals]], World_Cup_Matches[[#This Row],[Away Team Name]],"Draw"))</f>
        <v>Brazil</v>
      </c>
      <c r="X688" s="4" t="str">
        <f>IF(World_Cup_Matches[[#This Row],[Home Team Goals]]&gt;World_Cup_Matches[[#This Row],[Away Team Goals]],"Hime Win",IF(World_Cup_Matches[[#This Row],[Away Team Goals]]&gt;World_Cup_Matches[[#This Row],[Home Team Goals]],"Away win","Draw"))</f>
        <v>Away win</v>
      </c>
    </row>
    <row r="689" spans="1:24" x14ac:dyDescent="0.2">
      <c r="A689" s="19">
        <v>2006</v>
      </c>
      <c r="B689" s="15" t="s">
        <v>1541</v>
      </c>
      <c r="C689" s="3" t="s">
        <v>824</v>
      </c>
      <c r="D689" s="3" t="s">
        <v>1492</v>
      </c>
      <c r="E689" s="3" t="s">
        <v>587</v>
      </c>
      <c r="F689" s="3" t="s">
        <v>1172</v>
      </c>
      <c r="G689" s="11">
        <v>2</v>
      </c>
      <c r="H689" s="11">
        <v>2</v>
      </c>
      <c r="I689" s="3" t="s">
        <v>556</v>
      </c>
      <c r="J689" s="3" t="s">
        <v>1842</v>
      </c>
      <c r="K689" s="3">
        <v>52000</v>
      </c>
      <c r="L689" s="11">
        <v>1</v>
      </c>
      <c r="M689" s="11">
        <v>1</v>
      </c>
      <c r="N689" s="3" t="s">
        <v>1363</v>
      </c>
      <c r="O689" s="3" t="s">
        <v>1306</v>
      </c>
      <c r="P689" s="3" t="s">
        <v>1489</v>
      </c>
      <c r="Q689" s="11">
        <v>97410100</v>
      </c>
      <c r="R689" s="11">
        <v>97410044</v>
      </c>
      <c r="S689" s="3" t="s">
        <v>1177</v>
      </c>
      <c r="T689" s="4" t="s">
        <v>561</v>
      </c>
      <c r="U689" s="11">
        <f>World_Cup_Matches[[#This Row],[Home Team Goals]]+World_Cup_Matches[[#This Row],[Away Team Goals]]</f>
        <v>4</v>
      </c>
      <c r="V689" s="11">
        <f>World_Cup_Matches[[#This Row],[Home Team Goals]]-World_Cup_Matches[[#This Row],[Away Team Goals]]</f>
        <v>0</v>
      </c>
      <c r="W689" s="4" t="str">
        <f>IF(World_Cup_Matches[[#This Row],[Home Team Goals]]&gt;World_Cup_Matches[[#This Row],[Away Team Goals]],World_Cup_Matches[[#This Row],[Home Team Name]],IF(World_Cup_Matches[[#This Row],[Away Team Goals]]&gt;World_Cup_Matches[[#This Row],[Home Team Goals]], World_Cup_Matches[[#This Row],[Away Team Name]],"Draw"))</f>
        <v>Draw</v>
      </c>
      <c r="X689" s="4" t="str">
        <f>IF(World_Cup_Matches[[#This Row],[Home Team Goals]]&gt;World_Cup_Matches[[#This Row],[Away Team Goals]],"Hime Win",IF(World_Cup_Matches[[#This Row],[Away Team Goals]]&gt;World_Cup_Matches[[#This Row],[Home Team Goals]],"Away win","Draw"))</f>
        <v>Draw</v>
      </c>
    </row>
    <row r="690" spans="1:24" x14ac:dyDescent="0.2">
      <c r="A690" s="19">
        <v>2006</v>
      </c>
      <c r="B690" s="15" t="s">
        <v>1542</v>
      </c>
      <c r="C690" s="3" t="s">
        <v>1160</v>
      </c>
      <c r="D690" s="3" t="s">
        <v>548</v>
      </c>
      <c r="E690" s="3" t="s">
        <v>1496</v>
      </c>
      <c r="F690" s="3" t="s">
        <v>1500</v>
      </c>
      <c r="G690" s="11">
        <v>1</v>
      </c>
      <c r="H690" s="11">
        <v>0</v>
      </c>
      <c r="I690" s="3" t="s">
        <v>628</v>
      </c>
      <c r="J690" s="3" t="s">
        <v>1842</v>
      </c>
      <c r="K690" s="3">
        <v>72000</v>
      </c>
      <c r="L690" s="11">
        <v>0</v>
      </c>
      <c r="M690" s="11">
        <v>0</v>
      </c>
      <c r="N690" s="3" t="s">
        <v>1477</v>
      </c>
      <c r="O690" s="3" t="s">
        <v>1478</v>
      </c>
      <c r="P690" s="3" t="s">
        <v>1479</v>
      </c>
      <c r="Q690" s="11">
        <v>97410100</v>
      </c>
      <c r="R690" s="11">
        <v>97410048</v>
      </c>
      <c r="S690" s="3" t="s">
        <v>1504</v>
      </c>
      <c r="T690" s="4" t="s">
        <v>632</v>
      </c>
      <c r="U690" s="11">
        <f>World_Cup_Matches[[#This Row],[Home Team Goals]]+World_Cup_Matches[[#This Row],[Away Team Goals]]</f>
        <v>1</v>
      </c>
      <c r="V690" s="11">
        <f>World_Cup_Matches[[#This Row],[Home Team Goals]]-World_Cup_Matches[[#This Row],[Away Team Goals]]</f>
        <v>1</v>
      </c>
      <c r="W690" s="4" t="str">
        <f>IF(World_Cup_Matches[[#This Row],[Home Team Goals]]&gt;World_Cup_Matches[[#This Row],[Away Team Goals]],World_Cup_Matches[[#This Row],[Home Team Name]],IF(World_Cup_Matches[[#This Row],[Away Team Goals]]&gt;World_Cup_Matches[[#This Row],[Home Team Goals]], World_Cup_Matches[[#This Row],[Away Team Name]],"Draw"))</f>
        <v>Ukraine</v>
      </c>
      <c r="X690" s="4" t="str">
        <f>IF(World_Cup_Matches[[#This Row],[Home Team Goals]]&gt;World_Cup_Matches[[#This Row],[Away Team Goals]],"Hime Win",IF(World_Cup_Matches[[#This Row],[Away Team Goals]]&gt;World_Cup_Matches[[#This Row],[Home Team Goals]],"Away win","Draw"))</f>
        <v>Hime Win</v>
      </c>
    </row>
    <row r="691" spans="1:24" x14ac:dyDescent="0.2">
      <c r="A691" s="19">
        <v>2006</v>
      </c>
      <c r="B691" s="15" t="s">
        <v>1542</v>
      </c>
      <c r="C691" s="3" t="s">
        <v>1160</v>
      </c>
      <c r="D691" s="3" t="s">
        <v>1471</v>
      </c>
      <c r="E691" s="3" t="s">
        <v>1472</v>
      </c>
      <c r="F691" s="3" t="s">
        <v>1037</v>
      </c>
      <c r="G691" s="11">
        <v>0</v>
      </c>
      <c r="H691" s="11">
        <v>1</v>
      </c>
      <c r="I691" s="3" t="s">
        <v>131</v>
      </c>
      <c r="J691" s="3" t="s">
        <v>1842</v>
      </c>
      <c r="K691" s="3">
        <v>46000</v>
      </c>
      <c r="L691" s="11">
        <v>0</v>
      </c>
      <c r="M691" s="11">
        <v>1</v>
      </c>
      <c r="N691" s="3" t="s">
        <v>1367</v>
      </c>
      <c r="O691" s="3" t="s">
        <v>1513</v>
      </c>
      <c r="P691" s="3" t="s">
        <v>1514</v>
      </c>
      <c r="Q691" s="11">
        <v>97410100</v>
      </c>
      <c r="R691" s="11">
        <v>97410047</v>
      </c>
      <c r="S691" s="3" t="s">
        <v>1039</v>
      </c>
      <c r="T691" s="4" t="s">
        <v>135</v>
      </c>
      <c r="U691" s="11">
        <f>World_Cup_Matches[[#This Row],[Home Team Goals]]+World_Cup_Matches[[#This Row],[Away Team Goals]]</f>
        <v>1</v>
      </c>
      <c r="V691" s="11">
        <f>World_Cup_Matches[[#This Row],[Home Team Goals]]-World_Cup_Matches[[#This Row],[Away Team Goals]]</f>
        <v>-1</v>
      </c>
      <c r="W691" s="4" t="str">
        <f>IF(World_Cup_Matches[[#This Row],[Home Team Goals]]&gt;World_Cup_Matches[[#This Row],[Away Team Goals]],World_Cup_Matches[[#This Row],[Home Team Name]],IF(World_Cup_Matches[[#This Row],[Away Team Goals]]&gt;World_Cup_Matches[[#This Row],[Home Team Goals]], World_Cup_Matches[[#This Row],[Away Team Name]],"Draw"))</f>
        <v>Spain</v>
      </c>
      <c r="X691" s="4" t="str">
        <f>IF(World_Cup_Matches[[#This Row],[Home Team Goals]]&gt;World_Cup_Matches[[#This Row],[Away Team Goals]],"Hime Win",IF(World_Cup_Matches[[#This Row],[Away Team Goals]]&gt;World_Cup_Matches[[#This Row],[Home Team Goals]],"Away win","Draw"))</f>
        <v>Away win</v>
      </c>
    </row>
    <row r="692" spans="1:24" x14ac:dyDescent="0.2">
      <c r="A692" s="19">
        <v>2006</v>
      </c>
      <c r="B692" s="15" t="s">
        <v>1543</v>
      </c>
      <c r="C692" s="3" t="s">
        <v>1179</v>
      </c>
      <c r="D692" s="3" t="s">
        <v>1463</v>
      </c>
      <c r="E692" s="3" t="s">
        <v>1464</v>
      </c>
      <c r="F692" s="3" t="s">
        <v>1488</v>
      </c>
      <c r="G692" s="11">
        <v>0</v>
      </c>
      <c r="H692" s="11">
        <v>2</v>
      </c>
      <c r="I692" s="3" t="s">
        <v>24</v>
      </c>
      <c r="J692" s="3" t="s">
        <v>1842</v>
      </c>
      <c r="K692" s="3">
        <v>45000</v>
      </c>
      <c r="L692" s="11">
        <v>0</v>
      </c>
      <c r="M692" s="11">
        <v>0</v>
      </c>
      <c r="N692" s="3" t="s">
        <v>1466</v>
      </c>
      <c r="O692" s="3" t="s">
        <v>1467</v>
      </c>
      <c r="P692" s="3" t="s">
        <v>1468</v>
      </c>
      <c r="Q692" s="11">
        <v>97410100</v>
      </c>
      <c r="R692" s="11">
        <v>97410045</v>
      </c>
      <c r="S692" s="3" t="s">
        <v>1490</v>
      </c>
      <c r="T692" s="4" t="s">
        <v>29</v>
      </c>
      <c r="U692" s="11">
        <f>World_Cup_Matches[[#This Row],[Home Team Goals]]+World_Cup_Matches[[#This Row],[Away Team Goals]]</f>
        <v>2</v>
      </c>
      <c r="V692" s="11">
        <f>World_Cup_Matches[[#This Row],[Home Team Goals]]-World_Cup_Matches[[#This Row],[Away Team Goals]]</f>
        <v>-2</v>
      </c>
      <c r="W692" s="4" t="str">
        <f>IF(World_Cup_Matches[[#This Row],[Home Team Goals]]&gt;World_Cup_Matches[[#This Row],[Away Team Goals]],World_Cup_Matches[[#This Row],[Home Team Name]],IF(World_Cup_Matches[[#This Row],[Away Team Goals]]&gt;World_Cup_Matches[[#This Row],[Home Team Goals]], World_Cup_Matches[[#This Row],[Away Team Name]],"Draw"))</f>
        <v>France</v>
      </c>
      <c r="X692" s="4" t="str">
        <f>IF(World_Cup_Matches[[#This Row],[Home Team Goals]]&gt;World_Cup_Matches[[#This Row],[Away Team Goals]],"Hime Win",IF(World_Cup_Matches[[#This Row],[Away Team Goals]]&gt;World_Cup_Matches[[#This Row],[Home Team Goals]],"Away win","Draw"))</f>
        <v>Away win</v>
      </c>
    </row>
    <row r="693" spans="1:24" x14ac:dyDescent="0.2">
      <c r="A693" s="19">
        <v>2006</v>
      </c>
      <c r="B693" s="15" t="s">
        <v>1543</v>
      </c>
      <c r="C693" s="3" t="s">
        <v>1179</v>
      </c>
      <c r="D693" s="3" t="s">
        <v>1482</v>
      </c>
      <c r="E693" s="3" t="s">
        <v>571</v>
      </c>
      <c r="F693" s="3" t="s">
        <v>108</v>
      </c>
      <c r="G693" s="11">
        <v>2</v>
      </c>
      <c r="H693" s="11">
        <v>0</v>
      </c>
      <c r="I693" s="3" t="s">
        <v>291</v>
      </c>
      <c r="J693" s="3" t="s">
        <v>1842</v>
      </c>
      <c r="K693" s="3">
        <v>43000</v>
      </c>
      <c r="L693" s="11">
        <v>1</v>
      </c>
      <c r="M693" s="11">
        <v>0</v>
      </c>
      <c r="N693" s="3" t="s">
        <v>1423</v>
      </c>
      <c r="O693" s="3" t="s">
        <v>1424</v>
      </c>
      <c r="P693" s="3" t="s">
        <v>1425</v>
      </c>
      <c r="Q693" s="11">
        <v>97410100</v>
      </c>
      <c r="R693" s="11">
        <v>97410046</v>
      </c>
      <c r="S693" s="3" t="s">
        <v>113</v>
      </c>
      <c r="T693" s="4" t="s">
        <v>295</v>
      </c>
      <c r="U693" s="11">
        <f>World_Cup_Matches[[#This Row],[Home Team Goals]]+World_Cup_Matches[[#This Row],[Away Team Goals]]</f>
        <v>2</v>
      </c>
      <c r="V693" s="11">
        <f>World_Cup_Matches[[#This Row],[Home Team Goals]]-World_Cup_Matches[[#This Row],[Away Team Goals]]</f>
        <v>2</v>
      </c>
      <c r="W693" s="4" t="str">
        <f>IF(World_Cup_Matches[[#This Row],[Home Team Goals]]&gt;World_Cup_Matches[[#This Row],[Away Team Goals]],World_Cup_Matches[[#This Row],[Home Team Name]],IF(World_Cup_Matches[[#This Row],[Away Team Goals]]&gt;World_Cup_Matches[[#This Row],[Home Team Goals]], World_Cup_Matches[[#This Row],[Away Team Name]],"Draw"))</f>
        <v>Switzerland</v>
      </c>
      <c r="X693" s="4" t="str">
        <f>IF(World_Cup_Matches[[#This Row],[Home Team Goals]]&gt;World_Cup_Matches[[#This Row],[Away Team Goals]],"Hime Win",IF(World_Cup_Matches[[#This Row],[Away Team Goals]]&gt;World_Cup_Matches[[#This Row],[Home Team Goals]],"Away win","Draw"))</f>
        <v>Hime Win</v>
      </c>
    </row>
    <row r="694" spans="1:24" x14ac:dyDescent="0.2">
      <c r="A694" s="19">
        <v>2006</v>
      </c>
      <c r="B694" s="15" t="s">
        <v>1544</v>
      </c>
      <c r="C694" s="3" t="s">
        <v>878</v>
      </c>
      <c r="D694" s="3" t="s">
        <v>1422</v>
      </c>
      <c r="E694" s="3" t="s">
        <v>581</v>
      </c>
      <c r="F694" s="3" t="s">
        <v>124</v>
      </c>
      <c r="G694" s="11">
        <v>2</v>
      </c>
      <c r="H694" s="11">
        <v>0</v>
      </c>
      <c r="I694" s="3" t="s">
        <v>117</v>
      </c>
      <c r="J694" s="3" t="s">
        <v>1842</v>
      </c>
      <c r="K694" s="3">
        <v>66000</v>
      </c>
      <c r="L694" s="11">
        <v>2</v>
      </c>
      <c r="M694" s="11">
        <v>0</v>
      </c>
      <c r="N694" s="3" t="s">
        <v>1288</v>
      </c>
      <c r="O694" s="3" t="s">
        <v>1484</v>
      </c>
      <c r="P694" s="3" t="s">
        <v>1485</v>
      </c>
      <c r="Q694" s="11">
        <v>97410200</v>
      </c>
      <c r="R694" s="11">
        <v>97410049</v>
      </c>
      <c r="S694" s="3" t="s">
        <v>128</v>
      </c>
      <c r="T694" s="4" t="s">
        <v>121</v>
      </c>
      <c r="U694" s="11">
        <f>World_Cup_Matches[[#This Row],[Home Team Goals]]+World_Cup_Matches[[#This Row],[Away Team Goals]]</f>
        <v>2</v>
      </c>
      <c r="V694" s="11">
        <f>World_Cup_Matches[[#This Row],[Home Team Goals]]-World_Cup_Matches[[#This Row],[Away Team Goals]]</f>
        <v>2</v>
      </c>
      <c r="W694" s="4" t="str">
        <f>IF(World_Cup_Matches[[#This Row],[Home Team Goals]]&gt;World_Cup_Matches[[#This Row],[Away Team Goals]],World_Cup_Matches[[#This Row],[Home Team Name]],IF(World_Cup_Matches[[#This Row],[Away Team Goals]]&gt;World_Cup_Matches[[#This Row],[Home Team Goals]], World_Cup_Matches[[#This Row],[Away Team Name]],"Draw"))</f>
        <v>Germany</v>
      </c>
      <c r="X694" s="4" t="str">
        <f>IF(World_Cup_Matches[[#This Row],[Home Team Goals]]&gt;World_Cup_Matches[[#This Row],[Away Team Goals]],"Hime Win",IF(World_Cup_Matches[[#This Row],[Away Team Goals]]&gt;World_Cup_Matches[[#This Row],[Home Team Goals]],"Away win","Draw"))</f>
        <v>Hime Win</v>
      </c>
    </row>
    <row r="695" spans="1:24" x14ac:dyDescent="0.2">
      <c r="A695" s="19">
        <v>2006</v>
      </c>
      <c r="B695" s="15" t="s">
        <v>1545</v>
      </c>
      <c r="C695" s="3" t="s">
        <v>878</v>
      </c>
      <c r="D695" s="3" t="s">
        <v>1450</v>
      </c>
      <c r="E695" s="3" t="s">
        <v>1451</v>
      </c>
      <c r="F695" s="3" t="s">
        <v>56</v>
      </c>
      <c r="G695" s="11">
        <v>2</v>
      </c>
      <c r="H695" s="11">
        <v>1</v>
      </c>
      <c r="I695" s="3" t="s">
        <v>25</v>
      </c>
      <c r="J695" s="3" t="s">
        <v>682</v>
      </c>
      <c r="K695" s="3">
        <v>43000</v>
      </c>
      <c r="L695" s="11">
        <v>0</v>
      </c>
      <c r="M695" s="11">
        <v>0</v>
      </c>
      <c r="N695" s="3" t="s">
        <v>1501</v>
      </c>
      <c r="O695" s="3" t="s">
        <v>1502</v>
      </c>
      <c r="P695" s="3" t="s">
        <v>1503</v>
      </c>
      <c r="Q695" s="11">
        <v>97410200</v>
      </c>
      <c r="R695" s="11">
        <v>97410050</v>
      </c>
      <c r="S695" s="3" t="s">
        <v>59</v>
      </c>
      <c r="T695" s="4" t="s">
        <v>30</v>
      </c>
      <c r="U695" s="11">
        <f>World_Cup_Matches[[#This Row],[Home Team Goals]]+World_Cup_Matches[[#This Row],[Away Team Goals]]</f>
        <v>3</v>
      </c>
      <c r="V695" s="11">
        <f>World_Cup_Matches[[#This Row],[Home Team Goals]]-World_Cup_Matches[[#This Row],[Away Team Goals]]</f>
        <v>1</v>
      </c>
      <c r="W695" s="4" t="str">
        <f>IF(World_Cup_Matches[[#This Row],[Home Team Goals]]&gt;World_Cup_Matches[[#This Row],[Away Team Goals]],World_Cup_Matches[[#This Row],[Home Team Name]],IF(World_Cup_Matches[[#This Row],[Away Team Goals]]&gt;World_Cup_Matches[[#This Row],[Home Team Goals]], World_Cup_Matches[[#This Row],[Away Team Name]],"Draw"))</f>
        <v>Argentina</v>
      </c>
      <c r="X695" s="4" t="str">
        <f>IF(World_Cup_Matches[[#This Row],[Home Team Goals]]&gt;World_Cup_Matches[[#This Row],[Away Team Goals]],"Hime Win",IF(World_Cup_Matches[[#This Row],[Away Team Goals]]&gt;World_Cup_Matches[[#This Row],[Home Team Goals]],"Away win","Draw"))</f>
        <v>Hime Win</v>
      </c>
    </row>
    <row r="696" spans="1:24" x14ac:dyDescent="0.2">
      <c r="A696" s="19">
        <v>2006</v>
      </c>
      <c r="B696" s="15" t="s">
        <v>1546</v>
      </c>
      <c r="C696" s="3" t="s">
        <v>878</v>
      </c>
      <c r="D696" s="3" t="s">
        <v>1492</v>
      </c>
      <c r="E696" s="3" t="s">
        <v>587</v>
      </c>
      <c r="F696" s="3" t="s">
        <v>223</v>
      </c>
      <c r="G696" s="11">
        <v>1</v>
      </c>
      <c r="H696" s="11">
        <v>0</v>
      </c>
      <c r="I696" s="3" t="s">
        <v>1303</v>
      </c>
      <c r="J696" s="3" t="s">
        <v>1842</v>
      </c>
      <c r="K696" s="3">
        <v>52000</v>
      </c>
      <c r="L696" s="11">
        <v>0</v>
      </c>
      <c r="M696" s="11">
        <v>0</v>
      </c>
      <c r="N696" s="3" t="s">
        <v>1445</v>
      </c>
      <c r="O696" s="3" t="s">
        <v>1446</v>
      </c>
      <c r="P696" s="3" t="s">
        <v>1447</v>
      </c>
      <c r="Q696" s="11">
        <v>97410200</v>
      </c>
      <c r="R696" s="11">
        <v>97410051</v>
      </c>
      <c r="S696" s="3" t="s">
        <v>227</v>
      </c>
      <c r="T696" s="4" t="s">
        <v>1307</v>
      </c>
      <c r="U696" s="11">
        <f>World_Cup_Matches[[#This Row],[Home Team Goals]]+World_Cup_Matches[[#This Row],[Away Team Goals]]</f>
        <v>1</v>
      </c>
      <c r="V696" s="11">
        <f>World_Cup_Matches[[#This Row],[Home Team Goals]]-World_Cup_Matches[[#This Row],[Away Team Goals]]</f>
        <v>1</v>
      </c>
      <c r="W696" s="4" t="str">
        <f>IF(World_Cup_Matches[[#This Row],[Home Team Goals]]&gt;World_Cup_Matches[[#This Row],[Away Team Goals]],World_Cup_Matches[[#This Row],[Home Team Name]],IF(World_Cup_Matches[[#This Row],[Away Team Goals]]&gt;World_Cup_Matches[[#This Row],[Home Team Goals]], World_Cup_Matches[[#This Row],[Away Team Name]],"Draw"))</f>
        <v>England</v>
      </c>
      <c r="X696" s="4" t="str">
        <f>IF(World_Cup_Matches[[#This Row],[Home Team Goals]]&gt;World_Cup_Matches[[#This Row],[Away Team Goals]],"Hime Win",IF(World_Cup_Matches[[#This Row],[Away Team Goals]]&gt;World_Cup_Matches[[#This Row],[Home Team Goals]],"Away win","Draw"))</f>
        <v>Hime Win</v>
      </c>
    </row>
    <row r="697" spans="1:24" x14ac:dyDescent="0.2">
      <c r="A697" s="19">
        <v>2006</v>
      </c>
      <c r="B697" s="15" t="s">
        <v>1547</v>
      </c>
      <c r="C697" s="3" t="s">
        <v>878</v>
      </c>
      <c r="D697" s="3" t="s">
        <v>1457</v>
      </c>
      <c r="E697" s="3" t="s">
        <v>1458</v>
      </c>
      <c r="F697" s="3" t="s">
        <v>458</v>
      </c>
      <c r="G697" s="11">
        <v>1</v>
      </c>
      <c r="H697" s="11">
        <v>0</v>
      </c>
      <c r="I697" s="3" t="s">
        <v>109</v>
      </c>
      <c r="J697" s="3" t="s">
        <v>1842</v>
      </c>
      <c r="K697" s="3">
        <v>41000</v>
      </c>
      <c r="L697" s="11">
        <v>1</v>
      </c>
      <c r="M697" s="11">
        <v>0</v>
      </c>
      <c r="N697" s="3" t="s">
        <v>1033</v>
      </c>
      <c r="O697" s="3" t="s">
        <v>1493</v>
      </c>
      <c r="P697" s="3" t="s">
        <v>1494</v>
      </c>
      <c r="Q697" s="11">
        <v>97410200</v>
      </c>
      <c r="R697" s="11">
        <v>97410052</v>
      </c>
      <c r="S697" s="3" t="s">
        <v>462</v>
      </c>
      <c r="T697" s="4" t="s">
        <v>114</v>
      </c>
      <c r="U697" s="11">
        <f>World_Cup_Matches[[#This Row],[Home Team Goals]]+World_Cup_Matches[[#This Row],[Away Team Goals]]</f>
        <v>1</v>
      </c>
      <c r="V697" s="11">
        <f>World_Cup_Matches[[#This Row],[Home Team Goals]]-World_Cup_Matches[[#This Row],[Away Team Goals]]</f>
        <v>1</v>
      </c>
      <c r="W697" s="4" t="str">
        <f>IF(World_Cup_Matches[[#This Row],[Home Team Goals]]&gt;World_Cup_Matches[[#This Row],[Away Team Goals]],World_Cup_Matches[[#This Row],[Home Team Name]],IF(World_Cup_Matches[[#This Row],[Away Team Goals]]&gt;World_Cup_Matches[[#This Row],[Home Team Goals]], World_Cup_Matches[[#This Row],[Away Team Name]],"Draw"))</f>
        <v>Portugal</v>
      </c>
      <c r="X697" s="4" t="str">
        <f>IF(World_Cup_Matches[[#This Row],[Home Team Goals]]&gt;World_Cup_Matches[[#This Row],[Away Team Goals]],"Hime Win",IF(World_Cup_Matches[[#This Row],[Away Team Goals]]&gt;World_Cup_Matches[[#This Row],[Home Team Goals]],"Away win","Draw"))</f>
        <v>Hime Win</v>
      </c>
    </row>
    <row r="698" spans="1:24" x14ac:dyDescent="0.2">
      <c r="A698" s="19">
        <v>2006</v>
      </c>
      <c r="B698" s="15" t="s">
        <v>1548</v>
      </c>
      <c r="C698" s="3" t="s">
        <v>878</v>
      </c>
      <c r="D698" s="3" t="s">
        <v>1471</v>
      </c>
      <c r="E698" s="3" t="s">
        <v>1472</v>
      </c>
      <c r="F698" s="3" t="s">
        <v>138</v>
      </c>
      <c r="G698" s="11">
        <v>1</v>
      </c>
      <c r="H698" s="11">
        <v>0</v>
      </c>
      <c r="I698" s="3" t="s">
        <v>556</v>
      </c>
      <c r="J698" s="3" t="s">
        <v>1842</v>
      </c>
      <c r="K698" s="3">
        <v>46000</v>
      </c>
      <c r="L698" s="11">
        <v>0</v>
      </c>
      <c r="M698" s="11">
        <v>0</v>
      </c>
      <c r="N698" s="3" t="s">
        <v>1509</v>
      </c>
      <c r="O698" s="3" t="s">
        <v>1510</v>
      </c>
      <c r="P698" s="3" t="s">
        <v>1511</v>
      </c>
      <c r="Q698" s="11">
        <v>97410200</v>
      </c>
      <c r="R698" s="11">
        <v>97410053</v>
      </c>
      <c r="S698" s="3" t="s">
        <v>142</v>
      </c>
      <c r="T698" s="4" t="s">
        <v>561</v>
      </c>
      <c r="U698" s="11">
        <f>World_Cup_Matches[[#This Row],[Home Team Goals]]+World_Cup_Matches[[#This Row],[Away Team Goals]]</f>
        <v>1</v>
      </c>
      <c r="V698" s="11">
        <f>World_Cup_Matches[[#This Row],[Home Team Goals]]-World_Cup_Matches[[#This Row],[Away Team Goals]]</f>
        <v>1</v>
      </c>
      <c r="W698" s="4" t="str">
        <f>IF(World_Cup_Matches[[#This Row],[Home Team Goals]]&gt;World_Cup_Matches[[#This Row],[Away Team Goals]],World_Cup_Matches[[#This Row],[Home Team Name]],IF(World_Cup_Matches[[#This Row],[Away Team Goals]]&gt;World_Cup_Matches[[#This Row],[Home Team Goals]], World_Cup_Matches[[#This Row],[Away Team Name]],"Draw"))</f>
        <v>Italy</v>
      </c>
      <c r="X698" s="4" t="str">
        <f>IF(World_Cup_Matches[[#This Row],[Home Team Goals]]&gt;World_Cup_Matches[[#This Row],[Away Team Goals]],"Hime Win",IF(World_Cup_Matches[[#This Row],[Away Team Goals]]&gt;World_Cup_Matches[[#This Row],[Home Team Goals]],"Away win","Draw"))</f>
        <v>Hime Win</v>
      </c>
    </row>
    <row r="699" spans="1:24" x14ac:dyDescent="0.2">
      <c r="A699" s="19">
        <v>2006</v>
      </c>
      <c r="B699" s="15" t="s">
        <v>1549</v>
      </c>
      <c r="C699" s="3" t="s">
        <v>878</v>
      </c>
      <c r="D699" s="3" t="s">
        <v>1463</v>
      </c>
      <c r="E699" s="3" t="s">
        <v>1464</v>
      </c>
      <c r="F699" s="3" t="s">
        <v>108</v>
      </c>
      <c r="G699" s="11">
        <v>0</v>
      </c>
      <c r="H699" s="11">
        <v>0</v>
      </c>
      <c r="I699" s="3" t="s">
        <v>1500</v>
      </c>
      <c r="J699" s="3" t="s">
        <v>1550</v>
      </c>
      <c r="K699" s="3">
        <v>45000</v>
      </c>
      <c r="L699" s="11">
        <v>0</v>
      </c>
      <c r="M699" s="11">
        <v>0</v>
      </c>
      <c r="N699" s="3" t="s">
        <v>1497</v>
      </c>
      <c r="O699" s="3" t="s">
        <v>1498</v>
      </c>
      <c r="P699" s="3" t="s">
        <v>1305</v>
      </c>
      <c r="Q699" s="11">
        <v>97410200</v>
      </c>
      <c r="R699" s="11">
        <v>97410054</v>
      </c>
      <c r="S699" s="3" t="s">
        <v>113</v>
      </c>
      <c r="T699" s="4" t="s">
        <v>1504</v>
      </c>
      <c r="U699" s="11">
        <f>World_Cup_Matches[[#This Row],[Home Team Goals]]+World_Cup_Matches[[#This Row],[Away Team Goals]]</f>
        <v>0</v>
      </c>
      <c r="V699" s="11">
        <f>World_Cup_Matches[[#This Row],[Home Team Goals]]-World_Cup_Matches[[#This Row],[Away Team Goals]]</f>
        <v>0</v>
      </c>
      <c r="W699" s="4" t="str">
        <f>IF(World_Cup_Matches[[#This Row],[Home Team Goals]]&gt;World_Cup_Matches[[#This Row],[Away Team Goals]],World_Cup_Matches[[#This Row],[Home Team Name]],IF(World_Cup_Matches[[#This Row],[Away Team Goals]]&gt;World_Cup_Matches[[#This Row],[Home Team Goals]], World_Cup_Matches[[#This Row],[Away Team Name]],"Draw"))</f>
        <v>Draw</v>
      </c>
      <c r="X699" s="4" t="str">
        <f>IF(World_Cup_Matches[[#This Row],[Home Team Goals]]&gt;World_Cup_Matches[[#This Row],[Away Team Goals]],"Hime Win",IF(World_Cup_Matches[[#This Row],[Away Team Goals]]&gt;World_Cup_Matches[[#This Row],[Home Team Goals]],"Away win","Draw"))</f>
        <v>Draw</v>
      </c>
    </row>
    <row r="700" spans="1:24" x14ac:dyDescent="0.2">
      <c r="A700" s="19">
        <v>2006</v>
      </c>
      <c r="B700" s="15" t="s">
        <v>1551</v>
      </c>
      <c r="C700" s="3" t="s">
        <v>878</v>
      </c>
      <c r="D700" s="3" t="s">
        <v>1436</v>
      </c>
      <c r="E700" s="3" t="s">
        <v>563</v>
      </c>
      <c r="F700" s="3" t="s">
        <v>42</v>
      </c>
      <c r="G700" s="11">
        <v>3</v>
      </c>
      <c r="H700" s="11">
        <v>0</v>
      </c>
      <c r="I700" s="3" t="s">
        <v>1483</v>
      </c>
      <c r="J700" s="3" t="s">
        <v>1842</v>
      </c>
      <c r="K700" s="3">
        <v>65000</v>
      </c>
      <c r="L700" s="11">
        <v>2</v>
      </c>
      <c r="M700" s="11">
        <v>0</v>
      </c>
      <c r="N700" s="3" t="s">
        <v>1282</v>
      </c>
      <c r="O700" s="3" t="s">
        <v>1517</v>
      </c>
      <c r="P700" s="3" t="s">
        <v>1518</v>
      </c>
      <c r="Q700" s="11">
        <v>97410200</v>
      </c>
      <c r="R700" s="11">
        <v>97410055</v>
      </c>
      <c r="S700" s="3" t="s">
        <v>47</v>
      </c>
      <c r="T700" s="4" t="s">
        <v>1486</v>
      </c>
      <c r="U700" s="11">
        <f>World_Cup_Matches[[#This Row],[Home Team Goals]]+World_Cup_Matches[[#This Row],[Away Team Goals]]</f>
        <v>3</v>
      </c>
      <c r="V700" s="11">
        <f>World_Cup_Matches[[#This Row],[Home Team Goals]]-World_Cup_Matches[[#This Row],[Away Team Goals]]</f>
        <v>3</v>
      </c>
      <c r="W700" s="4" t="str">
        <f>IF(World_Cup_Matches[[#This Row],[Home Team Goals]]&gt;World_Cup_Matches[[#This Row],[Away Team Goals]],World_Cup_Matches[[#This Row],[Home Team Name]],IF(World_Cup_Matches[[#This Row],[Away Team Goals]]&gt;World_Cup_Matches[[#This Row],[Home Team Goals]], World_Cup_Matches[[#This Row],[Away Team Name]],"Draw"))</f>
        <v>Brazil</v>
      </c>
      <c r="X700" s="4" t="str">
        <f>IF(World_Cup_Matches[[#This Row],[Home Team Goals]]&gt;World_Cup_Matches[[#This Row],[Away Team Goals]],"Hime Win",IF(World_Cup_Matches[[#This Row],[Away Team Goals]]&gt;World_Cup_Matches[[#This Row],[Home Team Goals]],"Away win","Draw"))</f>
        <v>Hime Win</v>
      </c>
    </row>
    <row r="701" spans="1:24" x14ac:dyDescent="0.2">
      <c r="A701" s="19">
        <v>2006</v>
      </c>
      <c r="B701" s="15" t="s">
        <v>1552</v>
      </c>
      <c r="C701" s="3" t="s">
        <v>878</v>
      </c>
      <c r="D701" s="3" t="s">
        <v>1482</v>
      </c>
      <c r="E701" s="3" t="s">
        <v>571</v>
      </c>
      <c r="F701" s="3" t="s">
        <v>131</v>
      </c>
      <c r="G701" s="11">
        <v>1</v>
      </c>
      <c r="H701" s="11">
        <v>3</v>
      </c>
      <c r="I701" s="3" t="s">
        <v>24</v>
      </c>
      <c r="J701" s="3" t="s">
        <v>1842</v>
      </c>
      <c r="K701" s="3">
        <v>43000</v>
      </c>
      <c r="L701" s="11">
        <v>1</v>
      </c>
      <c r="M701" s="11">
        <v>1</v>
      </c>
      <c r="N701" s="3" t="s">
        <v>1459</v>
      </c>
      <c r="O701" s="3" t="s">
        <v>1460</v>
      </c>
      <c r="P701" s="3" t="s">
        <v>1461</v>
      </c>
      <c r="Q701" s="11">
        <v>97410200</v>
      </c>
      <c r="R701" s="11">
        <v>97410056</v>
      </c>
      <c r="S701" s="3" t="s">
        <v>135</v>
      </c>
      <c r="T701" s="4" t="s">
        <v>29</v>
      </c>
      <c r="U701" s="11">
        <f>World_Cup_Matches[[#This Row],[Home Team Goals]]+World_Cup_Matches[[#This Row],[Away Team Goals]]</f>
        <v>4</v>
      </c>
      <c r="V701" s="11">
        <f>World_Cup_Matches[[#This Row],[Home Team Goals]]-World_Cup_Matches[[#This Row],[Away Team Goals]]</f>
        <v>-2</v>
      </c>
      <c r="W701" s="4" t="str">
        <f>IF(World_Cup_Matches[[#This Row],[Home Team Goals]]&gt;World_Cup_Matches[[#This Row],[Away Team Goals]],World_Cup_Matches[[#This Row],[Home Team Name]],IF(World_Cup_Matches[[#This Row],[Away Team Goals]]&gt;World_Cup_Matches[[#This Row],[Home Team Goals]], World_Cup_Matches[[#This Row],[Away Team Name]],"Draw"))</f>
        <v>France</v>
      </c>
      <c r="X701" s="4" t="str">
        <f>IF(World_Cup_Matches[[#This Row],[Home Team Goals]]&gt;World_Cup_Matches[[#This Row],[Away Team Goals]],"Hime Win",IF(World_Cup_Matches[[#This Row],[Away Team Goals]]&gt;World_Cup_Matches[[#This Row],[Home Team Goals]],"Away win","Draw"))</f>
        <v>Away win</v>
      </c>
    </row>
    <row r="702" spans="1:24" x14ac:dyDescent="0.2">
      <c r="A702" s="19">
        <v>2006</v>
      </c>
      <c r="B702" s="15" t="s">
        <v>1553</v>
      </c>
      <c r="C702" s="3" t="s">
        <v>150</v>
      </c>
      <c r="D702" s="3" t="s">
        <v>548</v>
      </c>
      <c r="E702" s="3" t="s">
        <v>1496</v>
      </c>
      <c r="F702" s="3" t="s">
        <v>124</v>
      </c>
      <c r="G702" s="11">
        <v>1</v>
      </c>
      <c r="H702" s="11">
        <v>1</v>
      </c>
      <c r="I702" s="3" t="s">
        <v>56</v>
      </c>
      <c r="J702" s="3" t="s">
        <v>1554</v>
      </c>
      <c r="K702" s="3">
        <v>72000</v>
      </c>
      <c r="L702" s="11">
        <v>0</v>
      </c>
      <c r="M702" s="11">
        <v>0</v>
      </c>
      <c r="N702" s="3" t="s">
        <v>1282</v>
      </c>
      <c r="O702" s="3" t="s">
        <v>1517</v>
      </c>
      <c r="P702" s="3" t="s">
        <v>1518</v>
      </c>
      <c r="Q702" s="11">
        <v>97410300</v>
      </c>
      <c r="R702" s="11">
        <v>97410057</v>
      </c>
      <c r="S702" s="3" t="s">
        <v>128</v>
      </c>
      <c r="T702" s="4" t="s">
        <v>59</v>
      </c>
      <c r="U702" s="11">
        <f>World_Cup_Matches[[#This Row],[Home Team Goals]]+World_Cup_Matches[[#This Row],[Away Team Goals]]</f>
        <v>2</v>
      </c>
      <c r="V702" s="11">
        <f>World_Cup_Matches[[#This Row],[Home Team Goals]]-World_Cup_Matches[[#This Row],[Away Team Goals]]</f>
        <v>0</v>
      </c>
      <c r="W702" s="4" t="str">
        <f>IF(World_Cup_Matches[[#This Row],[Home Team Goals]]&gt;World_Cup_Matches[[#This Row],[Away Team Goals]],World_Cup_Matches[[#This Row],[Home Team Name]],IF(World_Cup_Matches[[#This Row],[Away Team Goals]]&gt;World_Cup_Matches[[#This Row],[Home Team Goals]], World_Cup_Matches[[#This Row],[Away Team Name]],"Draw"))</f>
        <v>Draw</v>
      </c>
      <c r="X702" s="4" t="str">
        <f>IF(World_Cup_Matches[[#This Row],[Home Team Goals]]&gt;World_Cup_Matches[[#This Row],[Away Team Goals]],"Hime Win",IF(World_Cup_Matches[[#This Row],[Away Team Goals]]&gt;World_Cup_Matches[[#This Row],[Home Team Goals]],"Away win","Draw"))</f>
        <v>Draw</v>
      </c>
    </row>
    <row r="703" spans="1:24" x14ac:dyDescent="0.2">
      <c r="A703" s="19">
        <v>2006</v>
      </c>
      <c r="B703" s="15" t="s">
        <v>1555</v>
      </c>
      <c r="C703" s="3" t="s">
        <v>150</v>
      </c>
      <c r="D703" s="3" t="s">
        <v>1443</v>
      </c>
      <c r="E703" s="3" t="s">
        <v>554</v>
      </c>
      <c r="F703" s="3" t="s">
        <v>138</v>
      </c>
      <c r="G703" s="11">
        <v>3</v>
      </c>
      <c r="H703" s="11">
        <v>0</v>
      </c>
      <c r="I703" s="3" t="s">
        <v>1500</v>
      </c>
      <c r="J703" s="3" t="s">
        <v>1842</v>
      </c>
      <c r="K703" s="3">
        <v>50000</v>
      </c>
      <c r="L703" s="11">
        <v>1</v>
      </c>
      <c r="M703" s="11">
        <v>0</v>
      </c>
      <c r="N703" s="3" t="s">
        <v>1445</v>
      </c>
      <c r="O703" s="3" t="s">
        <v>1446</v>
      </c>
      <c r="P703" s="3" t="s">
        <v>1447</v>
      </c>
      <c r="Q703" s="11">
        <v>97410300</v>
      </c>
      <c r="R703" s="11">
        <v>97410058</v>
      </c>
      <c r="S703" s="3" t="s">
        <v>142</v>
      </c>
      <c r="T703" s="4" t="s">
        <v>1504</v>
      </c>
      <c r="U703" s="11">
        <f>World_Cup_Matches[[#This Row],[Home Team Goals]]+World_Cup_Matches[[#This Row],[Away Team Goals]]</f>
        <v>3</v>
      </c>
      <c r="V703" s="11">
        <f>World_Cup_Matches[[#This Row],[Home Team Goals]]-World_Cup_Matches[[#This Row],[Away Team Goals]]</f>
        <v>3</v>
      </c>
      <c r="W703" s="4" t="str">
        <f>IF(World_Cup_Matches[[#This Row],[Home Team Goals]]&gt;World_Cup_Matches[[#This Row],[Away Team Goals]],World_Cup_Matches[[#This Row],[Home Team Name]],IF(World_Cup_Matches[[#This Row],[Away Team Goals]]&gt;World_Cup_Matches[[#This Row],[Home Team Goals]], World_Cup_Matches[[#This Row],[Away Team Name]],"Draw"))</f>
        <v>Italy</v>
      </c>
      <c r="X703" s="4" t="str">
        <f>IF(World_Cup_Matches[[#This Row],[Home Team Goals]]&gt;World_Cup_Matches[[#This Row],[Away Team Goals]],"Hime Win",IF(World_Cup_Matches[[#This Row],[Away Team Goals]]&gt;World_Cup_Matches[[#This Row],[Home Team Goals]],"Away win","Draw"))</f>
        <v>Hime Win</v>
      </c>
    </row>
    <row r="704" spans="1:24" x14ac:dyDescent="0.2">
      <c r="A704" s="19">
        <v>2006</v>
      </c>
      <c r="B704" s="15" t="s">
        <v>1556</v>
      </c>
      <c r="C704" s="3" t="s">
        <v>150</v>
      </c>
      <c r="D704" s="3" t="s">
        <v>1427</v>
      </c>
      <c r="E704" s="3" t="s">
        <v>597</v>
      </c>
      <c r="F704" s="3" t="s">
        <v>223</v>
      </c>
      <c r="G704" s="11">
        <v>0</v>
      </c>
      <c r="H704" s="11">
        <v>0</v>
      </c>
      <c r="I704" s="3" t="s">
        <v>458</v>
      </c>
      <c r="J704" s="3" t="s">
        <v>1557</v>
      </c>
      <c r="K704" s="3">
        <v>52000</v>
      </c>
      <c r="L704" s="11">
        <v>0</v>
      </c>
      <c r="M704" s="11">
        <v>0</v>
      </c>
      <c r="N704" s="3" t="s">
        <v>1423</v>
      </c>
      <c r="O704" s="3" t="s">
        <v>1424</v>
      </c>
      <c r="P704" s="3" t="s">
        <v>1425</v>
      </c>
      <c r="Q704" s="11">
        <v>97410300</v>
      </c>
      <c r="R704" s="11">
        <v>97410059</v>
      </c>
      <c r="S704" s="3" t="s">
        <v>227</v>
      </c>
      <c r="T704" s="4" t="s">
        <v>462</v>
      </c>
      <c r="U704" s="11">
        <f>World_Cup_Matches[[#This Row],[Home Team Goals]]+World_Cup_Matches[[#This Row],[Away Team Goals]]</f>
        <v>0</v>
      </c>
      <c r="V704" s="11">
        <f>World_Cup_Matches[[#This Row],[Home Team Goals]]-World_Cup_Matches[[#This Row],[Away Team Goals]]</f>
        <v>0</v>
      </c>
      <c r="W704" s="4" t="str">
        <f>IF(World_Cup_Matches[[#This Row],[Home Team Goals]]&gt;World_Cup_Matches[[#This Row],[Away Team Goals]],World_Cup_Matches[[#This Row],[Home Team Name]],IF(World_Cup_Matches[[#This Row],[Away Team Goals]]&gt;World_Cup_Matches[[#This Row],[Home Team Goals]], World_Cup_Matches[[#This Row],[Away Team Name]],"Draw"))</f>
        <v>Draw</v>
      </c>
      <c r="X704" s="4" t="str">
        <f>IF(World_Cup_Matches[[#This Row],[Home Team Goals]]&gt;World_Cup_Matches[[#This Row],[Away Team Goals]],"Hime Win",IF(World_Cup_Matches[[#This Row],[Away Team Goals]]&gt;World_Cup_Matches[[#This Row],[Home Team Goals]],"Away win","Draw"))</f>
        <v>Draw</v>
      </c>
    </row>
    <row r="705" spans="1:24" x14ac:dyDescent="0.2">
      <c r="A705" s="19">
        <v>2006</v>
      </c>
      <c r="B705" s="15" t="s">
        <v>1558</v>
      </c>
      <c r="C705" s="3" t="s">
        <v>150</v>
      </c>
      <c r="D705" s="3" t="s">
        <v>1431</v>
      </c>
      <c r="E705" s="3" t="s">
        <v>545</v>
      </c>
      <c r="F705" s="3" t="s">
        <v>42</v>
      </c>
      <c r="G705" s="11">
        <v>0</v>
      </c>
      <c r="H705" s="11">
        <v>1</v>
      </c>
      <c r="I705" s="3" t="s">
        <v>24</v>
      </c>
      <c r="J705" s="3" t="s">
        <v>1842</v>
      </c>
      <c r="K705" s="3">
        <v>48000</v>
      </c>
      <c r="L705" s="11">
        <v>0</v>
      </c>
      <c r="M705" s="11">
        <v>0</v>
      </c>
      <c r="N705" s="3" t="s">
        <v>1509</v>
      </c>
      <c r="O705" s="3" t="s">
        <v>1510</v>
      </c>
      <c r="P705" s="3" t="s">
        <v>1511</v>
      </c>
      <c r="Q705" s="11">
        <v>97410300</v>
      </c>
      <c r="R705" s="11">
        <v>97410060</v>
      </c>
      <c r="S705" s="3" t="s">
        <v>47</v>
      </c>
      <c r="T705" s="4" t="s">
        <v>29</v>
      </c>
      <c r="U705" s="11">
        <f>World_Cup_Matches[[#This Row],[Home Team Goals]]+World_Cup_Matches[[#This Row],[Away Team Goals]]</f>
        <v>1</v>
      </c>
      <c r="V705" s="11">
        <f>World_Cup_Matches[[#This Row],[Home Team Goals]]-World_Cup_Matches[[#This Row],[Away Team Goals]]</f>
        <v>-1</v>
      </c>
      <c r="W705" s="4" t="str">
        <f>IF(World_Cup_Matches[[#This Row],[Home Team Goals]]&gt;World_Cup_Matches[[#This Row],[Away Team Goals]],World_Cup_Matches[[#This Row],[Home Team Name]],IF(World_Cup_Matches[[#This Row],[Away Team Goals]]&gt;World_Cup_Matches[[#This Row],[Home Team Goals]], World_Cup_Matches[[#This Row],[Away Team Name]],"Draw"))</f>
        <v>France</v>
      </c>
      <c r="X705" s="4" t="str">
        <f>IF(World_Cup_Matches[[#This Row],[Home Team Goals]]&gt;World_Cup_Matches[[#This Row],[Away Team Goals]],"Hime Win",IF(World_Cup_Matches[[#This Row],[Away Team Goals]]&gt;World_Cup_Matches[[#This Row],[Home Team Goals]],"Away win","Draw"))</f>
        <v>Away win</v>
      </c>
    </row>
    <row r="706" spans="1:24" x14ac:dyDescent="0.2">
      <c r="A706" s="19">
        <v>2006</v>
      </c>
      <c r="B706" s="15" t="s">
        <v>1559</v>
      </c>
      <c r="C706" s="3" t="s">
        <v>83</v>
      </c>
      <c r="D706" s="3" t="s">
        <v>1436</v>
      </c>
      <c r="E706" s="3" t="s">
        <v>563</v>
      </c>
      <c r="F706" s="3" t="s">
        <v>124</v>
      </c>
      <c r="G706" s="11">
        <v>0</v>
      </c>
      <c r="H706" s="11">
        <v>2</v>
      </c>
      <c r="I706" s="3" t="s">
        <v>138</v>
      </c>
      <c r="J706" s="3" t="s">
        <v>157</v>
      </c>
      <c r="K706" s="3">
        <v>65000</v>
      </c>
      <c r="L706" s="11">
        <v>0</v>
      </c>
      <c r="M706" s="11">
        <v>0</v>
      </c>
      <c r="N706" s="3" t="s">
        <v>1497</v>
      </c>
      <c r="O706" s="3" t="s">
        <v>1498</v>
      </c>
      <c r="P706" s="3" t="s">
        <v>1305</v>
      </c>
      <c r="Q706" s="11">
        <v>97410400</v>
      </c>
      <c r="R706" s="11">
        <v>97410061</v>
      </c>
      <c r="S706" s="3" t="s">
        <v>128</v>
      </c>
      <c r="T706" s="4" t="s">
        <v>142</v>
      </c>
      <c r="U706" s="11">
        <f>World_Cup_Matches[[#This Row],[Home Team Goals]]+World_Cup_Matches[[#This Row],[Away Team Goals]]</f>
        <v>2</v>
      </c>
      <c r="V706" s="11">
        <f>World_Cup_Matches[[#This Row],[Home Team Goals]]-World_Cup_Matches[[#This Row],[Away Team Goals]]</f>
        <v>-2</v>
      </c>
      <c r="W706" s="4" t="str">
        <f>IF(World_Cup_Matches[[#This Row],[Home Team Goals]]&gt;World_Cup_Matches[[#This Row],[Away Team Goals]],World_Cup_Matches[[#This Row],[Home Team Name]],IF(World_Cup_Matches[[#This Row],[Away Team Goals]]&gt;World_Cup_Matches[[#This Row],[Home Team Goals]], World_Cup_Matches[[#This Row],[Away Team Name]],"Draw"))</f>
        <v>Italy</v>
      </c>
      <c r="X706" s="4" t="str">
        <f>IF(World_Cup_Matches[[#This Row],[Home Team Goals]]&gt;World_Cup_Matches[[#This Row],[Away Team Goals]],"Hime Win",IF(World_Cup_Matches[[#This Row],[Away Team Goals]]&gt;World_Cup_Matches[[#This Row],[Home Team Goals]],"Away win","Draw"))</f>
        <v>Away win</v>
      </c>
    </row>
    <row r="707" spans="1:24" x14ac:dyDescent="0.2">
      <c r="A707" s="19">
        <v>2006</v>
      </c>
      <c r="B707" s="15" t="s">
        <v>1560</v>
      </c>
      <c r="C707" s="3" t="s">
        <v>83</v>
      </c>
      <c r="D707" s="3" t="s">
        <v>1422</v>
      </c>
      <c r="E707" s="3" t="s">
        <v>581</v>
      </c>
      <c r="F707" s="3" t="s">
        <v>458</v>
      </c>
      <c r="G707" s="11">
        <v>0</v>
      </c>
      <c r="H707" s="11">
        <v>1</v>
      </c>
      <c r="I707" s="3" t="s">
        <v>24</v>
      </c>
      <c r="J707" s="3" t="s">
        <v>1842</v>
      </c>
      <c r="K707" s="3">
        <v>66000</v>
      </c>
      <c r="L707" s="11">
        <v>0</v>
      </c>
      <c r="M707" s="11">
        <v>1</v>
      </c>
      <c r="N707" s="3" t="s">
        <v>1466</v>
      </c>
      <c r="O707" s="3" t="s">
        <v>1467</v>
      </c>
      <c r="P707" s="3" t="s">
        <v>1468</v>
      </c>
      <c r="Q707" s="11">
        <v>97410400</v>
      </c>
      <c r="R707" s="11">
        <v>97410062</v>
      </c>
      <c r="S707" s="3" t="s">
        <v>462</v>
      </c>
      <c r="T707" s="4" t="s">
        <v>29</v>
      </c>
      <c r="U707" s="11">
        <f>World_Cup_Matches[[#This Row],[Home Team Goals]]+World_Cup_Matches[[#This Row],[Away Team Goals]]</f>
        <v>1</v>
      </c>
      <c r="V707" s="11">
        <f>World_Cup_Matches[[#This Row],[Home Team Goals]]-World_Cup_Matches[[#This Row],[Away Team Goals]]</f>
        <v>-1</v>
      </c>
      <c r="W707" s="4" t="str">
        <f>IF(World_Cup_Matches[[#This Row],[Home Team Goals]]&gt;World_Cup_Matches[[#This Row],[Away Team Goals]],World_Cup_Matches[[#This Row],[Home Team Name]],IF(World_Cup_Matches[[#This Row],[Away Team Goals]]&gt;World_Cup_Matches[[#This Row],[Home Team Goals]], World_Cup_Matches[[#This Row],[Away Team Name]],"Draw"))</f>
        <v>France</v>
      </c>
      <c r="X707" s="4" t="str">
        <f>IF(World_Cup_Matches[[#This Row],[Home Team Goals]]&gt;World_Cup_Matches[[#This Row],[Away Team Goals]],"Hime Win",IF(World_Cup_Matches[[#This Row],[Away Team Goals]]&gt;World_Cup_Matches[[#This Row],[Home Team Goals]],"Away win","Draw"))</f>
        <v>Away win</v>
      </c>
    </row>
    <row r="708" spans="1:24" x14ac:dyDescent="0.2">
      <c r="A708" s="19">
        <v>2006</v>
      </c>
      <c r="B708" s="15" t="s">
        <v>1561</v>
      </c>
      <c r="C708" s="3" t="s">
        <v>1419</v>
      </c>
      <c r="D708" s="3" t="s">
        <v>1492</v>
      </c>
      <c r="E708" s="3" t="s">
        <v>587</v>
      </c>
      <c r="F708" s="3" t="s">
        <v>124</v>
      </c>
      <c r="G708" s="11">
        <v>3</v>
      </c>
      <c r="H708" s="11">
        <v>1</v>
      </c>
      <c r="I708" s="3" t="s">
        <v>458</v>
      </c>
      <c r="J708" s="3" t="s">
        <v>1842</v>
      </c>
      <c r="K708" s="3">
        <v>52000</v>
      </c>
      <c r="L708" s="11">
        <v>0</v>
      </c>
      <c r="M708" s="11">
        <v>0</v>
      </c>
      <c r="N708" s="3" t="s">
        <v>1264</v>
      </c>
      <c r="O708" s="3" t="s">
        <v>1428</v>
      </c>
      <c r="P708" s="3" t="s">
        <v>1429</v>
      </c>
      <c r="Q708" s="11">
        <v>97410500</v>
      </c>
      <c r="R708" s="11">
        <v>97410063</v>
      </c>
      <c r="S708" s="3" t="s">
        <v>128</v>
      </c>
      <c r="T708" s="4" t="s">
        <v>462</v>
      </c>
      <c r="U708" s="11">
        <f>World_Cup_Matches[[#This Row],[Home Team Goals]]+World_Cup_Matches[[#This Row],[Away Team Goals]]</f>
        <v>4</v>
      </c>
      <c r="V708" s="11">
        <f>World_Cup_Matches[[#This Row],[Home Team Goals]]-World_Cup_Matches[[#This Row],[Away Team Goals]]</f>
        <v>2</v>
      </c>
      <c r="W708" s="4" t="str">
        <f>IF(World_Cup_Matches[[#This Row],[Home Team Goals]]&gt;World_Cup_Matches[[#This Row],[Away Team Goals]],World_Cup_Matches[[#This Row],[Home Team Name]],IF(World_Cup_Matches[[#This Row],[Away Team Goals]]&gt;World_Cup_Matches[[#This Row],[Home Team Goals]], World_Cup_Matches[[#This Row],[Away Team Name]],"Draw"))</f>
        <v>Germany</v>
      </c>
      <c r="X708" s="4" t="str">
        <f>IF(World_Cup_Matches[[#This Row],[Home Team Goals]]&gt;World_Cup_Matches[[#This Row],[Away Team Goals]],"Hime Win",IF(World_Cup_Matches[[#This Row],[Away Team Goals]]&gt;World_Cup_Matches[[#This Row],[Home Team Goals]],"Away win","Draw"))</f>
        <v>Hime Win</v>
      </c>
    </row>
    <row r="709" spans="1:24" x14ac:dyDescent="0.2">
      <c r="A709" s="19">
        <v>2006</v>
      </c>
      <c r="B709" s="15" t="s">
        <v>1562</v>
      </c>
      <c r="C709" s="3" t="s">
        <v>86</v>
      </c>
      <c r="D709" s="3" t="s">
        <v>548</v>
      </c>
      <c r="E709" s="3" t="s">
        <v>1496</v>
      </c>
      <c r="F709" s="3" t="s">
        <v>138</v>
      </c>
      <c r="G709" s="11">
        <v>1</v>
      </c>
      <c r="H709" s="11">
        <v>1</v>
      </c>
      <c r="I709" s="3" t="s">
        <v>24</v>
      </c>
      <c r="J709" s="3" t="s">
        <v>1563</v>
      </c>
      <c r="K709" s="3">
        <v>69000</v>
      </c>
      <c r="L709" s="11">
        <v>0</v>
      </c>
      <c r="M709" s="11">
        <v>0</v>
      </c>
      <c r="N709" s="3" t="s">
        <v>1423</v>
      </c>
      <c r="O709" s="3" t="s">
        <v>1424</v>
      </c>
      <c r="P709" s="3" t="s">
        <v>1425</v>
      </c>
      <c r="Q709" s="11">
        <v>97410600</v>
      </c>
      <c r="R709" s="11">
        <v>97410064</v>
      </c>
      <c r="S709" s="3" t="s">
        <v>142</v>
      </c>
      <c r="T709" s="4" t="s">
        <v>29</v>
      </c>
      <c r="U709" s="11">
        <f>World_Cup_Matches[[#This Row],[Home Team Goals]]+World_Cup_Matches[[#This Row],[Away Team Goals]]</f>
        <v>2</v>
      </c>
      <c r="V709" s="11">
        <f>World_Cup_Matches[[#This Row],[Home Team Goals]]-World_Cup_Matches[[#This Row],[Away Team Goals]]</f>
        <v>0</v>
      </c>
      <c r="W709" s="4" t="str">
        <f>IF(World_Cup_Matches[[#This Row],[Home Team Goals]]&gt;World_Cup_Matches[[#This Row],[Away Team Goals]],World_Cup_Matches[[#This Row],[Home Team Name]],IF(World_Cup_Matches[[#This Row],[Away Team Goals]]&gt;World_Cup_Matches[[#This Row],[Home Team Goals]], World_Cup_Matches[[#This Row],[Away Team Name]],"Draw"))</f>
        <v>Draw</v>
      </c>
      <c r="X709" s="4" t="str">
        <f>IF(World_Cup_Matches[[#This Row],[Home Team Goals]]&gt;World_Cup_Matches[[#This Row],[Away Team Goals]],"Hime Win",IF(World_Cup_Matches[[#This Row],[Away Team Goals]]&gt;World_Cup_Matches[[#This Row],[Home Team Goals]],"Away win","Draw"))</f>
        <v>Draw</v>
      </c>
    </row>
    <row r="710" spans="1:24" x14ac:dyDescent="0.2">
      <c r="A710" s="19">
        <v>2010</v>
      </c>
      <c r="B710" s="15" t="s">
        <v>1564</v>
      </c>
      <c r="C710" s="3" t="s">
        <v>609</v>
      </c>
      <c r="D710" s="3" t="s">
        <v>1565</v>
      </c>
      <c r="E710" s="3" t="s">
        <v>1566</v>
      </c>
      <c r="F710" s="3" t="s">
        <v>1138</v>
      </c>
      <c r="G710" s="11">
        <v>1</v>
      </c>
      <c r="H710" s="11">
        <v>1</v>
      </c>
      <c r="I710" s="3" t="s">
        <v>25</v>
      </c>
      <c r="J710" s="3" t="s">
        <v>1842</v>
      </c>
      <c r="K710" s="3">
        <v>84490</v>
      </c>
      <c r="L710" s="11">
        <v>0</v>
      </c>
      <c r="M710" s="11">
        <v>0</v>
      </c>
      <c r="N710" s="3" t="s">
        <v>1567</v>
      </c>
      <c r="O710" s="3" t="s">
        <v>1568</v>
      </c>
      <c r="P710" s="3" t="s">
        <v>1569</v>
      </c>
      <c r="Q710" s="11">
        <v>249722</v>
      </c>
      <c r="R710" s="11">
        <v>300061454</v>
      </c>
      <c r="S710" s="3" t="s">
        <v>1142</v>
      </c>
      <c r="T710" s="4" t="s">
        <v>30</v>
      </c>
      <c r="U710" s="11">
        <f>World_Cup_Matches[[#This Row],[Home Team Goals]]+World_Cup_Matches[[#This Row],[Away Team Goals]]</f>
        <v>2</v>
      </c>
      <c r="V710" s="11">
        <f>World_Cup_Matches[[#This Row],[Home Team Goals]]-World_Cup_Matches[[#This Row],[Away Team Goals]]</f>
        <v>0</v>
      </c>
      <c r="W710" s="4" t="str">
        <f>IF(World_Cup_Matches[[#This Row],[Home Team Goals]]&gt;World_Cup_Matches[[#This Row],[Away Team Goals]],World_Cup_Matches[[#This Row],[Home Team Name]],IF(World_Cup_Matches[[#This Row],[Away Team Goals]]&gt;World_Cup_Matches[[#This Row],[Home Team Goals]], World_Cup_Matches[[#This Row],[Away Team Name]],"Draw"))</f>
        <v>Draw</v>
      </c>
      <c r="X710" s="4" t="str">
        <f>IF(World_Cup_Matches[[#This Row],[Home Team Goals]]&gt;World_Cup_Matches[[#This Row],[Away Team Goals]],"Hime Win",IF(World_Cup_Matches[[#This Row],[Away Team Goals]]&gt;World_Cup_Matches[[#This Row],[Home Team Goals]],"Away win","Draw"))</f>
        <v>Draw</v>
      </c>
    </row>
    <row r="711" spans="1:24" x14ac:dyDescent="0.2">
      <c r="A711" s="19">
        <v>2010</v>
      </c>
      <c r="B711" s="15" t="s">
        <v>1570</v>
      </c>
      <c r="C711" s="3" t="s">
        <v>609</v>
      </c>
      <c r="D711" s="3" t="s">
        <v>1571</v>
      </c>
      <c r="E711" s="3" t="s">
        <v>1572</v>
      </c>
      <c r="F711" s="3" t="s">
        <v>72</v>
      </c>
      <c r="G711" s="11">
        <v>0</v>
      </c>
      <c r="H711" s="11">
        <v>0</v>
      </c>
      <c r="I711" s="3" t="s">
        <v>24</v>
      </c>
      <c r="J711" s="3" t="s">
        <v>1842</v>
      </c>
      <c r="K711" s="3">
        <v>64100</v>
      </c>
      <c r="L711" s="11">
        <v>0</v>
      </c>
      <c r="M711" s="11">
        <v>0</v>
      </c>
      <c r="N711" s="3" t="s">
        <v>1573</v>
      </c>
      <c r="O711" s="3" t="s">
        <v>1574</v>
      </c>
      <c r="P711" s="3" t="s">
        <v>1575</v>
      </c>
      <c r="Q711" s="11">
        <v>249722</v>
      </c>
      <c r="R711" s="11">
        <v>300061453</v>
      </c>
      <c r="S711" s="3" t="s">
        <v>73</v>
      </c>
      <c r="T711" s="4" t="s">
        <v>29</v>
      </c>
      <c r="U711" s="11">
        <f>World_Cup_Matches[[#This Row],[Home Team Goals]]+World_Cup_Matches[[#This Row],[Away Team Goals]]</f>
        <v>0</v>
      </c>
      <c r="V711" s="11">
        <f>World_Cup_Matches[[#This Row],[Home Team Goals]]-World_Cup_Matches[[#This Row],[Away Team Goals]]</f>
        <v>0</v>
      </c>
      <c r="W711" s="4" t="str">
        <f>IF(World_Cup_Matches[[#This Row],[Home Team Goals]]&gt;World_Cup_Matches[[#This Row],[Away Team Goals]],World_Cup_Matches[[#This Row],[Home Team Name]],IF(World_Cup_Matches[[#This Row],[Away Team Goals]]&gt;World_Cup_Matches[[#This Row],[Home Team Goals]], World_Cup_Matches[[#This Row],[Away Team Name]],"Draw"))</f>
        <v>Draw</v>
      </c>
      <c r="X711" s="4" t="str">
        <f>IF(World_Cup_Matches[[#This Row],[Home Team Goals]]&gt;World_Cup_Matches[[#This Row],[Away Team Goals]],"Hime Win",IF(World_Cup_Matches[[#This Row],[Away Team Goals]]&gt;World_Cup_Matches[[#This Row],[Home Team Goals]],"Away win","Draw"))</f>
        <v>Draw</v>
      </c>
    </row>
    <row r="712" spans="1:24" x14ac:dyDescent="0.2">
      <c r="A712" s="19">
        <v>2010</v>
      </c>
      <c r="B712" s="15" t="s">
        <v>1576</v>
      </c>
      <c r="C712" s="3" t="s">
        <v>607</v>
      </c>
      <c r="D712" s="3" t="s">
        <v>1577</v>
      </c>
      <c r="E712" s="3" t="s">
        <v>1578</v>
      </c>
      <c r="F712" s="3" t="s">
        <v>291</v>
      </c>
      <c r="G712" s="11">
        <v>2</v>
      </c>
      <c r="H712" s="11">
        <v>0</v>
      </c>
      <c r="I712" s="3" t="s">
        <v>1051</v>
      </c>
      <c r="J712" s="3" t="s">
        <v>1842</v>
      </c>
      <c r="K712" s="3">
        <v>31513</v>
      </c>
      <c r="L712" s="11">
        <v>1</v>
      </c>
      <c r="M712" s="11">
        <v>0</v>
      </c>
      <c r="N712" s="3" t="s">
        <v>1579</v>
      </c>
      <c r="O712" s="3" t="s">
        <v>1580</v>
      </c>
      <c r="P712" s="3" t="s">
        <v>1581</v>
      </c>
      <c r="Q712" s="11">
        <v>249722</v>
      </c>
      <c r="R712" s="11">
        <v>300061459</v>
      </c>
      <c r="S712" s="3" t="s">
        <v>295</v>
      </c>
      <c r="T712" s="4" t="s">
        <v>1053</v>
      </c>
      <c r="U712" s="11">
        <f>World_Cup_Matches[[#This Row],[Home Team Goals]]+World_Cup_Matches[[#This Row],[Away Team Goals]]</f>
        <v>2</v>
      </c>
      <c r="V712" s="11">
        <f>World_Cup_Matches[[#This Row],[Home Team Goals]]-World_Cup_Matches[[#This Row],[Away Team Goals]]</f>
        <v>2</v>
      </c>
      <c r="W712" s="4" t="str">
        <f>IF(World_Cup_Matches[[#This Row],[Home Team Goals]]&gt;World_Cup_Matches[[#This Row],[Away Team Goals]],World_Cup_Matches[[#This Row],[Home Team Name]],IF(World_Cup_Matches[[#This Row],[Away Team Goals]]&gt;World_Cup_Matches[[#This Row],[Home Team Goals]], World_Cup_Matches[[#This Row],[Away Team Name]],"Draw"))</f>
        <v>Korea Republic</v>
      </c>
      <c r="X712" s="4" t="str">
        <f>IF(World_Cup_Matches[[#This Row],[Home Team Goals]]&gt;World_Cup_Matches[[#This Row],[Away Team Goals]],"Hime Win",IF(World_Cup_Matches[[#This Row],[Away Team Goals]]&gt;World_Cup_Matches[[#This Row],[Home Team Goals]],"Away win","Draw"))</f>
        <v>Hime Win</v>
      </c>
    </row>
    <row r="713" spans="1:24" x14ac:dyDescent="0.2">
      <c r="A713" s="19">
        <v>2010</v>
      </c>
      <c r="B713" s="15" t="s">
        <v>1582</v>
      </c>
      <c r="C713" s="3" t="s">
        <v>607</v>
      </c>
      <c r="D713" s="3" t="s">
        <v>1583</v>
      </c>
      <c r="E713" s="3" t="s">
        <v>1566</v>
      </c>
      <c r="F713" s="3" t="s">
        <v>56</v>
      </c>
      <c r="G713" s="11">
        <v>1</v>
      </c>
      <c r="H713" s="11">
        <v>0</v>
      </c>
      <c r="I713" s="3" t="s">
        <v>1055</v>
      </c>
      <c r="J713" s="3" t="s">
        <v>1842</v>
      </c>
      <c r="K713" s="3">
        <v>55686</v>
      </c>
      <c r="L713" s="11">
        <v>1</v>
      </c>
      <c r="M713" s="11">
        <v>0</v>
      </c>
      <c r="N713" s="3" t="s">
        <v>1584</v>
      </c>
      <c r="O713" s="3" t="s">
        <v>1454</v>
      </c>
      <c r="P713" s="3" t="s">
        <v>1585</v>
      </c>
      <c r="Q713" s="11">
        <v>249722</v>
      </c>
      <c r="R713" s="11">
        <v>300061460</v>
      </c>
      <c r="S713" s="3" t="s">
        <v>59</v>
      </c>
      <c r="T713" s="4" t="s">
        <v>1057</v>
      </c>
      <c r="U713" s="11">
        <f>World_Cup_Matches[[#This Row],[Home Team Goals]]+World_Cup_Matches[[#This Row],[Away Team Goals]]</f>
        <v>1</v>
      </c>
      <c r="V713" s="11">
        <f>World_Cup_Matches[[#This Row],[Home Team Goals]]-World_Cup_Matches[[#This Row],[Away Team Goals]]</f>
        <v>1</v>
      </c>
      <c r="W713" s="4" t="str">
        <f>IF(World_Cup_Matches[[#This Row],[Home Team Goals]]&gt;World_Cup_Matches[[#This Row],[Away Team Goals]],World_Cup_Matches[[#This Row],[Home Team Name]],IF(World_Cup_Matches[[#This Row],[Away Team Goals]]&gt;World_Cup_Matches[[#This Row],[Home Team Goals]], World_Cup_Matches[[#This Row],[Away Team Name]],"Draw"))</f>
        <v>Argentina</v>
      </c>
      <c r="X713" s="4" t="str">
        <f>IF(World_Cup_Matches[[#This Row],[Home Team Goals]]&gt;World_Cup_Matches[[#This Row],[Away Team Goals]],"Hime Win",IF(World_Cup_Matches[[#This Row],[Away Team Goals]]&gt;World_Cup_Matches[[#This Row],[Home Team Goals]],"Away win","Draw"))</f>
        <v>Hime Win</v>
      </c>
    </row>
    <row r="714" spans="1:24" x14ac:dyDescent="0.2">
      <c r="A714" s="19">
        <v>2010</v>
      </c>
      <c r="B714" s="15" t="s">
        <v>1586</v>
      </c>
      <c r="C714" s="3" t="s">
        <v>805</v>
      </c>
      <c r="D714" s="3" t="s">
        <v>1587</v>
      </c>
      <c r="E714" s="3" t="s">
        <v>1588</v>
      </c>
      <c r="F714" s="3" t="s">
        <v>223</v>
      </c>
      <c r="G714" s="11">
        <v>1</v>
      </c>
      <c r="H714" s="11">
        <v>1</v>
      </c>
      <c r="I714" s="3" t="s">
        <v>33</v>
      </c>
      <c r="J714" s="3" t="s">
        <v>1842</v>
      </c>
      <c r="K714" s="3">
        <v>38646</v>
      </c>
      <c r="L714" s="11">
        <v>1</v>
      </c>
      <c r="M714" s="11">
        <v>1</v>
      </c>
      <c r="N714" s="3" t="s">
        <v>1288</v>
      </c>
      <c r="O714" s="3" t="s">
        <v>1589</v>
      </c>
      <c r="P714" s="3" t="s">
        <v>1590</v>
      </c>
      <c r="Q714" s="11">
        <v>249722</v>
      </c>
      <c r="R714" s="11">
        <v>300061466</v>
      </c>
      <c r="S714" s="3" t="s">
        <v>227</v>
      </c>
      <c r="T714" s="4" t="s">
        <v>33</v>
      </c>
      <c r="U714" s="11">
        <f>World_Cup_Matches[[#This Row],[Home Team Goals]]+World_Cup_Matches[[#This Row],[Away Team Goals]]</f>
        <v>2</v>
      </c>
      <c r="V714" s="11">
        <f>World_Cup_Matches[[#This Row],[Home Team Goals]]-World_Cup_Matches[[#This Row],[Away Team Goals]]</f>
        <v>0</v>
      </c>
      <c r="W714" s="4" t="str">
        <f>IF(World_Cup_Matches[[#This Row],[Home Team Goals]]&gt;World_Cup_Matches[[#This Row],[Away Team Goals]],World_Cup_Matches[[#This Row],[Home Team Name]],IF(World_Cup_Matches[[#This Row],[Away Team Goals]]&gt;World_Cup_Matches[[#This Row],[Home Team Goals]], World_Cup_Matches[[#This Row],[Away Team Name]],"Draw"))</f>
        <v>Draw</v>
      </c>
      <c r="X714" s="4" t="str">
        <f>IF(World_Cup_Matches[[#This Row],[Home Team Goals]]&gt;World_Cup_Matches[[#This Row],[Away Team Goals]],"Hime Win",IF(World_Cup_Matches[[#This Row],[Away Team Goals]]&gt;World_Cup_Matches[[#This Row],[Home Team Goals]],"Away win","Draw"))</f>
        <v>Draw</v>
      </c>
    </row>
    <row r="715" spans="1:24" x14ac:dyDescent="0.2">
      <c r="A715" s="19">
        <v>2010</v>
      </c>
      <c r="B715" s="15" t="s">
        <v>1591</v>
      </c>
      <c r="C715" s="3" t="s">
        <v>805</v>
      </c>
      <c r="D715" s="3" t="s">
        <v>1592</v>
      </c>
      <c r="E715" s="3" t="s">
        <v>1593</v>
      </c>
      <c r="F715" s="3" t="s">
        <v>718</v>
      </c>
      <c r="G715" s="11">
        <v>0</v>
      </c>
      <c r="H715" s="11">
        <v>1</v>
      </c>
      <c r="I715" s="3" t="s">
        <v>1293</v>
      </c>
      <c r="J715" s="3" t="s">
        <v>1842</v>
      </c>
      <c r="K715" s="3">
        <v>30325</v>
      </c>
      <c r="L715" s="11">
        <v>0</v>
      </c>
      <c r="M715" s="11">
        <v>0</v>
      </c>
      <c r="N715" s="3" t="s">
        <v>1340</v>
      </c>
      <c r="O715" s="3" t="s">
        <v>1434</v>
      </c>
      <c r="P715" s="3" t="s">
        <v>1594</v>
      </c>
      <c r="Q715" s="11">
        <v>249722</v>
      </c>
      <c r="R715" s="11">
        <v>300061465</v>
      </c>
      <c r="S715" s="3" t="s">
        <v>722</v>
      </c>
      <c r="T715" s="4" t="s">
        <v>1297</v>
      </c>
      <c r="U715" s="11">
        <f>World_Cup_Matches[[#This Row],[Home Team Goals]]+World_Cup_Matches[[#This Row],[Away Team Goals]]</f>
        <v>1</v>
      </c>
      <c r="V715" s="11">
        <f>World_Cup_Matches[[#This Row],[Home Team Goals]]-World_Cup_Matches[[#This Row],[Away Team Goals]]</f>
        <v>-1</v>
      </c>
      <c r="W715" s="4" t="str">
        <f>IF(World_Cup_Matches[[#This Row],[Home Team Goals]]&gt;World_Cup_Matches[[#This Row],[Away Team Goals]],World_Cup_Matches[[#This Row],[Home Team Name]],IF(World_Cup_Matches[[#This Row],[Away Team Goals]]&gt;World_Cup_Matches[[#This Row],[Home Team Goals]], World_Cup_Matches[[#This Row],[Away Team Name]],"Draw"))</f>
        <v>Slovenia</v>
      </c>
      <c r="X715" s="4" t="str">
        <f>IF(World_Cup_Matches[[#This Row],[Home Team Goals]]&gt;World_Cup_Matches[[#This Row],[Away Team Goals]],"Hime Win",IF(World_Cup_Matches[[#This Row],[Away Team Goals]]&gt;World_Cup_Matches[[#This Row],[Home Team Goals]],"Away win","Draw"))</f>
        <v>Away win</v>
      </c>
    </row>
    <row r="716" spans="1:24" x14ac:dyDescent="0.2">
      <c r="A716" s="19">
        <v>2010</v>
      </c>
      <c r="B716" s="15" t="s">
        <v>1595</v>
      </c>
      <c r="C716" s="3" t="s">
        <v>811</v>
      </c>
      <c r="D716" s="3" t="s">
        <v>1596</v>
      </c>
      <c r="E716" s="3" t="s">
        <v>1597</v>
      </c>
      <c r="F716" s="3" t="s">
        <v>1598</v>
      </c>
      <c r="G716" s="11">
        <v>0</v>
      </c>
      <c r="H716" s="11">
        <v>1</v>
      </c>
      <c r="I716" s="3" t="s">
        <v>1483</v>
      </c>
      <c r="J716" s="3" t="s">
        <v>1842</v>
      </c>
      <c r="K716" s="3">
        <v>38833</v>
      </c>
      <c r="L716" s="11">
        <v>0</v>
      </c>
      <c r="M716" s="11">
        <v>0</v>
      </c>
      <c r="N716" s="3" t="s">
        <v>1599</v>
      </c>
      <c r="O716" s="3" t="s">
        <v>1600</v>
      </c>
      <c r="P716" s="3" t="s">
        <v>1601</v>
      </c>
      <c r="Q716" s="11">
        <v>249722</v>
      </c>
      <c r="R716" s="11">
        <v>300061471</v>
      </c>
      <c r="S716" s="3" t="s">
        <v>1602</v>
      </c>
      <c r="T716" s="4" t="s">
        <v>1486</v>
      </c>
      <c r="U716" s="11">
        <f>World_Cup_Matches[[#This Row],[Home Team Goals]]+World_Cup_Matches[[#This Row],[Away Team Goals]]</f>
        <v>1</v>
      </c>
      <c r="V716" s="11">
        <f>World_Cup_Matches[[#This Row],[Home Team Goals]]-World_Cup_Matches[[#This Row],[Away Team Goals]]</f>
        <v>-1</v>
      </c>
      <c r="W716" s="4" t="str">
        <f>IF(World_Cup_Matches[[#This Row],[Home Team Goals]]&gt;World_Cup_Matches[[#This Row],[Away Team Goals]],World_Cup_Matches[[#This Row],[Home Team Name]],IF(World_Cup_Matches[[#This Row],[Away Team Goals]]&gt;World_Cup_Matches[[#This Row],[Home Team Goals]], World_Cup_Matches[[#This Row],[Away Team Name]],"Draw"))</f>
        <v>Ghana</v>
      </c>
      <c r="X716" s="4" t="str">
        <f>IF(World_Cup_Matches[[#This Row],[Home Team Goals]]&gt;World_Cup_Matches[[#This Row],[Away Team Goals]],"Hime Win",IF(World_Cup_Matches[[#This Row],[Away Team Goals]]&gt;World_Cup_Matches[[#This Row],[Home Team Goals]],"Away win","Draw"))</f>
        <v>Away win</v>
      </c>
    </row>
    <row r="717" spans="1:24" x14ac:dyDescent="0.2">
      <c r="A717" s="19">
        <v>2010</v>
      </c>
      <c r="B717" s="15" t="s">
        <v>1603</v>
      </c>
      <c r="C717" s="3" t="s">
        <v>811</v>
      </c>
      <c r="D717" s="3" t="s">
        <v>1604</v>
      </c>
      <c r="E717" s="3" t="s">
        <v>1605</v>
      </c>
      <c r="F717" s="3" t="s">
        <v>124</v>
      </c>
      <c r="G717" s="11">
        <v>4</v>
      </c>
      <c r="H717" s="11">
        <v>0</v>
      </c>
      <c r="I717" s="3" t="s">
        <v>556</v>
      </c>
      <c r="J717" s="3" t="s">
        <v>1842</v>
      </c>
      <c r="K717" s="3">
        <v>62660</v>
      </c>
      <c r="L717" s="11">
        <v>2</v>
      </c>
      <c r="M717" s="11">
        <v>0</v>
      </c>
      <c r="N717" s="3" t="s">
        <v>1432</v>
      </c>
      <c r="O717" s="3" t="s">
        <v>1433</v>
      </c>
      <c r="P717" s="3" t="s">
        <v>1606</v>
      </c>
      <c r="Q717" s="11">
        <v>249722</v>
      </c>
      <c r="R717" s="11">
        <v>300111116</v>
      </c>
      <c r="S717" s="3" t="s">
        <v>128</v>
      </c>
      <c r="T717" s="4" t="s">
        <v>561</v>
      </c>
      <c r="U717" s="11">
        <f>World_Cup_Matches[[#This Row],[Home Team Goals]]+World_Cup_Matches[[#This Row],[Away Team Goals]]</f>
        <v>4</v>
      </c>
      <c r="V717" s="11">
        <f>World_Cup_Matches[[#This Row],[Home Team Goals]]-World_Cup_Matches[[#This Row],[Away Team Goals]]</f>
        <v>4</v>
      </c>
      <c r="W717" s="4" t="str">
        <f>IF(World_Cup_Matches[[#This Row],[Home Team Goals]]&gt;World_Cup_Matches[[#This Row],[Away Team Goals]],World_Cup_Matches[[#This Row],[Home Team Name]],IF(World_Cup_Matches[[#This Row],[Away Team Goals]]&gt;World_Cup_Matches[[#This Row],[Home Team Goals]], World_Cup_Matches[[#This Row],[Away Team Name]],"Draw"))</f>
        <v>Germany</v>
      </c>
      <c r="X717" s="4" t="str">
        <f>IF(World_Cup_Matches[[#This Row],[Home Team Goals]]&gt;World_Cup_Matches[[#This Row],[Away Team Goals]],"Hime Win",IF(World_Cup_Matches[[#This Row],[Away Team Goals]]&gt;World_Cup_Matches[[#This Row],[Home Team Goals]],"Away win","Draw"))</f>
        <v>Hime Win</v>
      </c>
    </row>
    <row r="718" spans="1:24" x14ac:dyDescent="0.2">
      <c r="A718" s="19">
        <v>2010</v>
      </c>
      <c r="B718" s="15" t="s">
        <v>1607</v>
      </c>
      <c r="C718" s="3" t="s">
        <v>846</v>
      </c>
      <c r="D718" s="3" t="s">
        <v>1565</v>
      </c>
      <c r="E718" s="3" t="s">
        <v>1566</v>
      </c>
      <c r="F718" s="3" t="s">
        <v>109</v>
      </c>
      <c r="G718" s="11">
        <v>2</v>
      </c>
      <c r="H718" s="11">
        <v>0</v>
      </c>
      <c r="I718" s="3" t="s">
        <v>849</v>
      </c>
      <c r="J718" s="3" t="s">
        <v>1842</v>
      </c>
      <c r="K718" s="3">
        <v>83465</v>
      </c>
      <c r="L718" s="11">
        <v>0</v>
      </c>
      <c r="M718" s="11">
        <v>0</v>
      </c>
      <c r="N718" s="3" t="s">
        <v>1608</v>
      </c>
      <c r="O718" s="3" t="s">
        <v>1609</v>
      </c>
      <c r="P718" s="3" t="s">
        <v>1610</v>
      </c>
      <c r="Q718" s="11">
        <v>249722</v>
      </c>
      <c r="R718" s="11">
        <v>300061478</v>
      </c>
      <c r="S718" s="3" t="s">
        <v>114</v>
      </c>
      <c r="T718" s="4" t="s">
        <v>853</v>
      </c>
      <c r="U718" s="11">
        <f>World_Cup_Matches[[#This Row],[Home Team Goals]]+World_Cup_Matches[[#This Row],[Away Team Goals]]</f>
        <v>2</v>
      </c>
      <c r="V718" s="11">
        <f>World_Cup_Matches[[#This Row],[Home Team Goals]]-World_Cup_Matches[[#This Row],[Away Team Goals]]</f>
        <v>2</v>
      </c>
      <c r="W718" s="4" t="str">
        <f>IF(World_Cup_Matches[[#This Row],[Home Team Goals]]&gt;World_Cup_Matches[[#This Row],[Away Team Goals]],World_Cup_Matches[[#This Row],[Home Team Name]],IF(World_Cup_Matches[[#This Row],[Away Team Goals]]&gt;World_Cup_Matches[[#This Row],[Home Team Goals]], World_Cup_Matches[[#This Row],[Away Team Name]],"Draw"))</f>
        <v>Netherlands</v>
      </c>
      <c r="X718" s="4" t="str">
        <f>IF(World_Cup_Matches[[#This Row],[Home Team Goals]]&gt;World_Cup_Matches[[#This Row],[Away Team Goals]],"Hime Win",IF(World_Cup_Matches[[#This Row],[Away Team Goals]]&gt;World_Cup_Matches[[#This Row],[Home Team Goals]],"Away win","Draw"))</f>
        <v>Hime Win</v>
      </c>
    </row>
    <row r="719" spans="1:24" x14ac:dyDescent="0.2">
      <c r="A719" s="19">
        <v>2010</v>
      </c>
      <c r="B719" s="15" t="s">
        <v>1611</v>
      </c>
      <c r="C719" s="3" t="s">
        <v>846</v>
      </c>
      <c r="D719" s="3" t="s">
        <v>1612</v>
      </c>
      <c r="E719" s="3" t="s">
        <v>1613</v>
      </c>
      <c r="F719" s="3" t="s">
        <v>1161</v>
      </c>
      <c r="G719" s="11">
        <v>1</v>
      </c>
      <c r="H719" s="11">
        <v>0</v>
      </c>
      <c r="I719" s="3" t="s">
        <v>700</v>
      </c>
      <c r="J719" s="3" t="s">
        <v>1842</v>
      </c>
      <c r="K719" s="3">
        <v>30620</v>
      </c>
      <c r="L719" s="11">
        <v>1</v>
      </c>
      <c r="M719" s="11">
        <v>0</v>
      </c>
      <c r="N719" s="3" t="s">
        <v>1614</v>
      </c>
      <c r="O719" s="3" t="s">
        <v>1615</v>
      </c>
      <c r="P719" s="3" t="s">
        <v>1616</v>
      </c>
      <c r="Q719" s="11">
        <v>249722</v>
      </c>
      <c r="R719" s="11">
        <v>300061477</v>
      </c>
      <c r="S719" s="3" t="s">
        <v>1164</v>
      </c>
      <c r="T719" s="4" t="s">
        <v>702</v>
      </c>
      <c r="U719" s="11">
        <f>World_Cup_Matches[[#This Row],[Home Team Goals]]+World_Cup_Matches[[#This Row],[Away Team Goals]]</f>
        <v>1</v>
      </c>
      <c r="V719" s="11">
        <f>World_Cup_Matches[[#This Row],[Home Team Goals]]-World_Cup_Matches[[#This Row],[Away Team Goals]]</f>
        <v>1</v>
      </c>
      <c r="W719" s="4" t="str">
        <f>IF(World_Cup_Matches[[#This Row],[Home Team Goals]]&gt;World_Cup_Matches[[#This Row],[Away Team Goals]],World_Cup_Matches[[#This Row],[Home Team Name]],IF(World_Cup_Matches[[#This Row],[Away Team Goals]]&gt;World_Cup_Matches[[#This Row],[Home Team Goals]], World_Cup_Matches[[#This Row],[Away Team Name]],"Draw"))</f>
        <v>Japan</v>
      </c>
      <c r="X719" s="4" t="str">
        <f>IF(World_Cup_Matches[[#This Row],[Home Team Goals]]&gt;World_Cup_Matches[[#This Row],[Away Team Goals]],"Hime Win",IF(World_Cup_Matches[[#This Row],[Away Team Goals]]&gt;World_Cup_Matches[[#This Row],[Home Team Goals]],"Away win","Draw"))</f>
        <v>Hime Win</v>
      </c>
    </row>
    <row r="720" spans="1:24" x14ac:dyDescent="0.2">
      <c r="A720" s="19">
        <v>2010</v>
      </c>
      <c r="B720" s="15" t="s">
        <v>1617</v>
      </c>
      <c r="C720" s="3" t="s">
        <v>824</v>
      </c>
      <c r="D720" s="3" t="s">
        <v>1571</v>
      </c>
      <c r="E720" s="3" t="s">
        <v>1572</v>
      </c>
      <c r="F720" s="3" t="s">
        <v>138</v>
      </c>
      <c r="G720" s="11">
        <v>1</v>
      </c>
      <c r="H720" s="11">
        <v>1</v>
      </c>
      <c r="I720" s="3" t="s">
        <v>68</v>
      </c>
      <c r="J720" s="3" t="s">
        <v>1842</v>
      </c>
      <c r="K720" s="3">
        <v>62869</v>
      </c>
      <c r="L720" s="11">
        <v>0</v>
      </c>
      <c r="M720" s="11">
        <v>1</v>
      </c>
      <c r="N720" s="3" t="s">
        <v>1497</v>
      </c>
      <c r="O720" s="3" t="s">
        <v>1305</v>
      </c>
      <c r="P720" s="3" t="s">
        <v>1618</v>
      </c>
      <c r="Q720" s="11">
        <v>249722</v>
      </c>
      <c r="R720" s="11">
        <v>300061484</v>
      </c>
      <c r="S720" s="3" t="s">
        <v>142</v>
      </c>
      <c r="T720" s="4" t="s">
        <v>69</v>
      </c>
      <c r="U720" s="11">
        <f>World_Cup_Matches[[#This Row],[Home Team Goals]]+World_Cup_Matches[[#This Row],[Away Team Goals]]</f>
        <v>2</v>
      </c>
      <c r="V720" s="11">
        <f>World_Cup_Matches[[#This Row],[Home Team Goals]]-World_Cup_Matches[[#This Row],[Away Team Goals]]</f>
        <v>0</v>
      </c>
      <c r="W720" s="4" t="str">
        <f>IF(World_Cup_Matches[[#This Row],[Home Team Goals]]&gt;World_Cup_Matches[[#This Row],[Away Team Goals]],World_Cup_Matches[[#This Row],[Home Team Name]],IF(World_Cup_Matches[[#This Row],[Away Team Goals]]&gt;World_Cup_Matches[[#This Row],[Home Team Goals]], World_Cup_Matches[[#This Row],[Away Team Name]],"Draw"))</f>
        <v>Draw</v>
      </c>
      <c r="X720" s="4" t="str">
        <f>IF(World_Cup_Matches[[#This Row],[Home Team Goals]]&gt;World_Cup_Matches[[#This Row],[Away Team Goals]],"Hime Win",IF(World_Cup_Matches[[#This Row],[Away Team Goals]]&gt;World_Cup_Matches[[#This Row],[Home Team Goals]],"Away win","Draw"))</f>
        <v>Draw</v>
      </c>
    </row>
    <row r="721" spans="1:24" x14ac:dyDescent="0.2">
      <c r="A721" s="19">
        <v>2010</v>
      </c>
      <c r="B721" s="15" t="s">
        <v>1619</v>
      </c>
      <c r="C721" s="3" t="s">
        <v>824</v>
      </c>
      <c r="D721" s="3" t="s">
        <v>1587</v>
      </c>
      <c r="E721" s="3" t="s">
        <v>1588</v>
      </c>
      <c r="F721" s="3" t="s">
        <v>710</v>
      </c>
      <c r="G721" s="11">
        <v>1</v>
      </c>
      <c r="H721" s="11">
        <v>1</v>
      </c>
      <c r="I721" s="3" t="s">
        <v>1620</v>
      </c>
      <c r="J721" s="3" t="s">
        <v>1842</v>
      </c>
      <c r="K721" s="3">
        <v>23871</v>
      </c>
      <c r="L721" s="11">
        <v>0</v>
      </c>
      <c r="M721" s="11">
        <v>0</v>
      </c>
      <c r="N721" s="3" t="s">
        <v>1621</v>
      </c>
      <c r="O721" s="3" t="s">
        <v>1513</v>
      </c>
      <c r="P721" s="3" t="s">
        <v>1622</v>
      </c>
      <c r="Q721" s="11">
        <v>249722</v>
      </c>
      <c r="R721" s="11">
        <v>300061483</v>
      </c>
      <c r="S721" s="3" t="s">
        <v>714</v>
      </c>
      <c r="T721" s="4" t="s">
        <v>1623</v>
      </c>
      <c r="U721" s="11">
        <f>World_Cup_Matches[[#This Row],[Home Team Goals]]+World_Cup_Matches[[#This Row],[Away Team Goals]]</f>
        <v>2</v>
      </c>
      <c r="V721" s="11">
        <f>World_Cup_Matches[[#This Row],[Home Team Goals]]-World_Cup_Matches[[#This Row],[Away Team Goals]]</f>
        <v>0</v>
      </c>
      <c r="W721" s="4" t="str">
        <f>IF(World_Cup_Matches[[#This Row],[Home Team Goals]]&gt;World_Cup_Matches[[#This Row],[Away Team Goals]],World_Cup_Matches[[#This Row],[Home Team Name]],IF(World_Cup_Matches[[#This Row],[Away Team Goals]]&gt;World_Cup_Matches[[#This Row],[Home Team Goals]], World_Cup_Matches[[#This Row],[Away Team Name]],"Draw"))</f>
        <v>Draw</v>
      </c>
      <c r="X721" s="4" t="str">
        <f>IF(World_Cup_Matches[[#This Row],[Home Team Goals]]&gt;World_Cup_Matches[[#This Row],[Away Team Goals]],"Hime Win",IF(World_Cup_Matches[[#This Row],[Away Team Goals]]&gt;World_Cup_Matches[[#This Row],[Home Team Goals]],"Away win","Draw"))</f>
        <v>Draw</v>
      </c>
    </row>
    <row r="722" spans="1:24" x14ac:dyDescent="0.2">
      <c r="A722" s="19">
        <v>2010</v>
      </c>
      <c r="B722" s="15" t="s">
        <v>1624</v>
      </c>
      <c r="C722" s="3" t="s">
        <v>1179</v>
      </c>
      <c r="D722" s="3" t="s">
        <v>1577</v>
      </c>
      <c r="E722" s="3" t="s">
        <v>1578</v>
      </c>
      <c r="F722" s="3" t="s">
        <v>1444</v>
      </c>
      <c r="G722" s="11">
        <v>0</v>
      </c>
      <c r="H722" s="11">
        <v>0</v>
      </c>
      <c r="I722" s="3" t="s">
        <v>458</v>
      </c>
      <c r="J722" s="3" t="s">
        <v>1842</v>
      </c>
      <c r="K722" s="3">
        <v>37034</v>
      </c>
      <c r="L722" s="11">
        <v>0</v>
      </c>
      <c r="M722" s="11">
        <v>0</v>
      </c>
      <c r="N722" s="3" t="s">
        <v>1466</v>
      </c>
      <c r="O722" s="3" t="s">
        <v>1468</v>
      </c>
      <c r="P722" s="3" t="s">
        <v>1625</v>
      </c>
      <c r="Q722" s="11">
        <v>249722</v>
      </c>
      <c r="R722" s="11">
        <v>300061489</v>
      </c>
      <c r="S722" s="3" t="s">
        <v>1448</v>
      </c>
      <c r="T722" s="4" t="s">
        <v>462</v>
      </c>
      <c r="U722" s="11">
        <f>World_Cup_Matches[[#This Row],[Home Team Goals]]+World_Cup_Matches[[#This Row],[Away Team Goals]]</f>
        <v>0</v>
      </c>
      <c r="V722" s="11">
        <f>World_Cup_Matches[[#This Row],[Home Team Goals]]-World_Cup_Matches[[#This Row],[Away Team Goals]]</f>
        <v>0</v>
      </c>
      <c r="W722" s="4" t="str">
        <f>IF(World_Cup_Matches[[#This Row],[Home Team Goals]]&gt;World_Cup_Matches[[#This Row],[Away Team Goals]],World_Cup_Matches[[#This Row],[Home Team Name]],IF(World_Cup_Matches[[#This Row],[Away Team Goals]]&gt;World_Cup_Matches[[#This Row],[Home Team Goals]], World_Cup_Matches[[#This Row],[Away Team Name]],"Draw"))</f>
        <v>Draw</v>
      </c>
      <c r="X722" s="4" t="str">
        <f>IF(World_Cup_Matches[[#This Row],[Home Team Goals]]&gt;World_Cup_Matches[[#This Row],[Away Team Goals]],"Hime Win",IF(World_Cup_Matches[[#This Row],[Away Team Goals]]&gt;World_Cup_Matches[[#This Row],[Home Team Goals]],"Away win","Draw"))</f>
        <v>Draw</v>
      </c>
    </row>
    <row r="723" spans="1:24" x14ac:dyDescent="0.2">
      <c r="A723" s="19">
        <v>2010</v>
      </c>
      <c r="B723" s="15" t="s">
        <v>1626</v>
      </c>
      <c r="C723" s="3" t="s">
        <v>1179</v>
      </c>
      <c r="D723" s="3" t="s">
        <v>1583</v>
      </c>
      <c r="E723" s="3" t="s">
        <v>1566</v>
      </c>
      <c r="F723" s="3" t="s">
        <v>42</v>
      </c>
      <c r="G723" s="11">
        <v>2</v>
      </c>
      <c r="H723" s="11">
        <v>1</v>
      </c>
      <c r="I723" s="3" t="s">
        <v>451</v>
      </c>
      <c r="J723" s="3" t="s">
        <v>1842</v>
      </c>
      <c r="K723" s="3">
        <v>54331</v>
      </c>
      <c r="L723" s="11">
        <v>0</v>
      </c>
      <c r="M723" s="11">
        <v>0</v>
      </c>
      <c r="N723" s="3" t="s">
        <v>1627</v>
      </c>
      <c r="O723" s="3" t="s">
        <v>1628</v>
      </c>
      <c r="P723" s="3" t="s">
        <v>1629</v>
      </c>
      <c r="Q723" s="11">
        <v>249722</v>
      </c>
      <c r="R723" s="11">
        <v>300061490</v>
      </c>
      <c r="S723" s="3" t="s">
        <v>47</v>
      </c>
      <c r="T723" s="4" t="s">
        <v>453</v>
      </c>
      <c r="U723" s="11">
        <f>World_Cup_Matches[[#This Row],[Home Team Goals]]+World_Cup_Matches[[#This Row],[Away Team Goals]]</f>
        <v>3</v>
      </c>
      <c r="V723" s="11">
        <f>World_Cup_Matches[[#This Row],[Home Team Goals]]-World_Cup_Matches[[#This Row],[Away Team Goals]]</f>
        <v>1</v>
      </c>
      <c r="W723" s="4" t="str">
        <f>IF(World_Cup_Matches[[#This Row],[Home Team Goals]]&gt;World_Cup_Matches[[#This Row],[Away Team Goals]],World_Cup_Matches[[#This Row],[Home Team Name]],IF(World_Cup_Matches[[#This Row],[Away Team Goals]]&gt;World_Cup_Matches[[#This Row],[Home Team Goals]], World_Cup_Matches[[#This Row],[Away Team Name]],"Draw"))</f>
        <v>Brazil</v>
      </c>
      <c r="X723" s="4" t="str">
        <f>IF(World_Cup_Matches[[#This Row],[Home Team Goals]]&gt;World_Cup_Matches[[#This Row],[Away Team Goals]],"Hime Win",IF(World_Cup_Matches[[#This Row],[Away Team Goals]]&gt;World_Cup_Matches[[#This Row],[Home Team Goals]],"Away win","Draw"))</f>
        <v>Hime Win</v>
      </c>
    </row>
    <row r="724" spans="1:24" x14ac:dyDescent="0.2">
      <c r="A724" s="19">
        <v>2010</v>
      </c>
      <c r="B724" s="15" t="s">
        <v>1630</v>
      </c>
      <c r="C724" s="3" t="s">
        <v>1160</v>
      </c>
      <c r="D724" s="3" t="s">
        <v>1631</v>
      </c>
      <c r="E724" s="3" t="s">
        <v>1632</v>
      </c>
      <c r="F724" s="3" t="s">
        <v>730</v>
      </c>
      <c r="G724" s="11">
        <v>0</v>
      </c>
      <c r="H724" s="11">
        <v>1</v>
      </c>
      <c r="I724" s="3" t="s">
        <v>61</v>
      </c>
      <c r="J724" s="3" t="s">
        <v>1842</v>
      </c>
      <c r="K724" s="3">
        <v>32664</v>
      </c>
      <c r="L724" s="11">
        <v>0</v>
      </c>
      <c r="M724" s="11">
        <v>1</v>
      </c>
      <c r="N724" s="3" t="s">
        <v>1633</v>
      </c>
      <c r="O724" s="3" t="s">
        <v>1634</v>
      </c>
      <c r="P724" s="3" t="s">
        <v>1635</v>
      </c>
      <c r="Q724" s="11">
        <v>249722</v>
      </c>
      <c r="R724" s="11">
        <v>300061495</v>
      </c>
      <c r="S724" s="3" t="s">
        <v>733</v>
      </c>
      <c r="T724" s="4" t="s">
        <v>63</v>
      </c>
      <c r="U724" s="11">
        <f>World_Cup_Matches[[#This Row],[Home Team Goals]]+World_Cup_Matches[[#This Row],[Away Team Goals]]</f>
        <v>1</v>
      </c>
      <c r="V724" s="11">
        <f>World_Cup_Matches[[#This Row],[Home Team Goals]]-World_Cup_Matches[[#This Row],[Away Team Goals]]</f>
        <v>-1</v>
      </c>
      <c r="W724" s="4" t="str">
        <f>IF(World_Cup_Matches[[#This Row],[Home Team Goals]]&gt;World_Cup_Matches[[#This Row],[Away Team Goals]],World_Cup_Matches[[#This Row],[Home Team Name]],IF(World_Cup_Matches[[#This Row],[Away Team Goals]]&gt;World_Cup_Matches[[#This Row],[Home Team Goals]], World_Cup_Matches[[#This Row],[Away Team Name]],"Draw"))</f>
        <v>Chile</v>
      </c>
      <c r="X724" s="4" t="str">
        <f>IF(World_Cup_Matches[[#This Row],[Home Team Goals]]&gt;World_Cup_Matches[[#This Row],[Away Team Goals]],"Hime Win",IF(World_Cup_Matches[[#This Row],[Away Team Goals]]&gt;World_Cup_Matches[[#This Row],[Home Team Goals]],"Away win","Draw"))</f>
        <v>Away win</v>
      </c>
    </row>
    <row r="725" spans="1:24" x14ac:dyDescent="0.2">
      <c r="A725" s="19">
        <v>2010</v>
      </c>
      <c r="B725" s="15" t="s">
        <v>1636</v>
      </c>
      <c r="C725" s="3" t="s">
        <v>1160</v>
      </c>
      <c r="D725" s="3" t="s">
        <v>1604</v>
      </c>
      <c r="E725" s="3" t="s">
        <v>1605</v>
      </c>
      <c r="F725" s="3" t="s">
        <v>131</v>
      </c>
      <c r="G725" s="11">
        <v>0</v>
      </c>
      <c r="H725" s="11">
        <v>1</v>
      </c>
      <c r="I725" s="3" t="s">
        <v>108</v>
      </c>
      <c r="J725" s="3" t="s">
        <v>1842</v>
      </c>
      <c r="K725" s="3">
        <v>62453</v>
      </c>
      <c r="L725" s="11">
        <v>0</v>
      </c>
      <c r="M725" s="11">
        <v>0</v>
      </c>
      <c r="N725" s="3" t="s">
        <v>1637</v>
      </c>
      <c r="O725" s="3" t="s">
        <v>1638</v>
      </c>
      <c r="P725" s="3" t="s">
        <v>1639</v>
      </c>
      <c r="Q725" s="11">
        <v>249722</v>
      </c>
      <c r="R725" s="11">
        <v>300111112</v>
      </c>
      <c r="S725" s="3" t="s">
        <v>135</v>
      </c>
      <c r="T725" s="4" t="s">
        <v>113</v>
      </c>
      <c r="U725" s="11">
        <f>World_Cup_Matches[[#This Row],[Home Team Goals]]+World_Cup_Matches[[#This Row],[Away Team Goals]]</f>
        <v>1</v>
      </c>
      <c r="V725" s="11">
        <f>World_Cup_Matches[[#This Row],[Home Team Goals]]-World_Cup_Matches[[#This Row],[Away Team Goals]]</f>
        <v>-1</v>
      </c>
      <c r="W725" s="4" t="str">
        <f>IF(World_Cup_Matches[[#This Row],[Home Team Goals]]&gt;World_Cup_Matches[[#This Row],[Away Team Goals]],World_Cup_Matches[[#This Row],[Home Team Name]],IF(World_Cup_Matches[[#This Row],[Away Team Goals]]&gt;World_Cup_Matches[[#This Row],[Home Team Goals]], World_Cup_Matches[[#This Row],[Away Team Name]],"Draw"))</f>
        <v>Switzerland</v>
      </c>
      <c r="X725" s="4" t="str">
        <f>IF(World_Cup_Matches[[#This Row],[Home Team Goals]]&gt;World_Cup_Matches[[#This Row],[Away Team Goals]],"Hime Win",IF(World_Cup_Matches[[#This Row],[Away Team Goals]]&gt;World_Cup_Matches[[#This Row],[Home Team Goals]],"Away win","Draw"))</f>
        <v>Away win</v>
      </c>
    </row>
    <row r="726" spans="1:24" x14ac:dyDescent="0.2">
      <c r="A726" s="19">
        <v>2010</v>
      </c>
      <c r="B726" s="15" t="s">
        <v>1640</v>
      </c>
      <c r="C726" s="3" t="s">
        <v>609</v>
      </c>
      <c r="D726" s="3" t="s">
        <v>1596</v>
      </c>
      <c r="E726" s="3" t="s">
        <v>1597</v>
      </c>
      <c r="F726" s="3" t="s">
        <v>1138</v>
      </c>
      <c r="G726" s="11">
        <v>0</v>
      </c>
      <c r="H726" s="11">
        <v>3</v>
      </c>
      <c r="I726" s="3" t="s">
        <v>72</v>
      </c>
      <c r="J726" s="3" t="s">
        <v>1842</v>
      </c>
      <c r="K726" s="3">
        <v>42658</v>
      </c>
      <c r="L726" s="11">
        <v>0</v>
      </c>
      <c r="M726" s="11">
        <v>1</v>
      </c>
      <c r="N726" s="3" t="s">
        <v>1501</v>
      </c>
      <c r="O726" s="3" t="s">
        <v>1503</v>
      </c>
      <c r="P726" s="3" t="s">
        <v>1502</v>
      </c>
      <c r="Q726" s="11">
        <v>249722</v>
      </c>
      <c r="R726" s="11">
        <v>300061452</v>
      </c>
      <c r="S726" s="3" t="s">
        <v>1142</v>
      </c>
      <c r="T726" s="4" t="s">
        <v>73</v>
      </c>
      <c r="U726" s="11">
        <f>World_Cup_Matches[[#This Row],[Home Team Goals]]+World_Cup_Matches[[#This Row],[Away Team Goals]]</f>
        <v>3</v>
      </c>
      <c r="V726" s="11">
        <f>World_Cup_Matches[[#This Row],[Home Team Goals]]-World_Cup_Matches[[#This Row],[Away Team Goals]]</f>
        <v>-3</v>
      </c>
      <c r="W726" s="4" t="str">
        <f>IF(World_Cup_Matches[[#This Row],[Home Team Goals]]&gt;World_Cup_Matches[[#This Row],[Away Team Goals]],World_Cup_Matches[[#This Row],[Home Team Name]],IF(World_Cup_Matches[[#This Row],[Away Team Goals]]&gt;World_Cup_Matches[[#This Row],[Home Team Goals]], World_Cup_Matches[[#This Row],[Away Team Name]],"Draw"))</f>
        <v>Uruguay</v>
      </c>
      <c r="X726" s="4" t="str">
        <f>IF(World_Cup_Matches[[#This Row],[Home Team Goals]]&gt;World_Cup_Matches[[#This Row],[Away Team Goals]],"Hime Win",IF(World_Cup_Matches[[#This Row],[Away Team Goals]]&gt;World_Cup_Matches[[#This Row],[Home Team Goals]],"Away win","Draw"))</f>
        <v>Away win</v>
      </c>
    </row>
    <row r="727" spans="1:24" x14ac:dyDescent="0.2">
      <c r="A727" s="19">
        <v>2010</v>
      </c>
      <c r="B727" s="15" t="s">
        <v>1641</v>
      </c>
      <c r="C727" s="3" t="s">
        <v>607</v>
      </c>
      <c r="D727" s="3" t="s">
        <v>1565</v>
      </c>
      <c r="E727" s="3" t="s">
        <v>1566</v>
      </c>
      <c r="F727" s="3" t="s">
        <v>56</v>
      </c>
      <c r="G727" s="11">
        <v>4</v>
      </c>
      <c r="H727" s="11">
        <v>1</v>
      </c>
      <c r="I727" s="3" t="s">
        <v>291</v>
      </c>
      <c r="J727" s="3" t="s">
        <v>1842</v>
      </c>
      <c r="K727" s="3">
        <v>82174</v>
      </c>
      <c r="L727" s="11">
        <v>2</v>
      </c>
      <c r="M727" s="11">
        <v>1</v>
      </c>
      <c r="N727" s="3" t="s">
        <v>1445</v>
      </c>
      <c r="O727" s="3" t="s">
        <v>1446</v>
      </c>
      <c r="P727" s="3" t="s">
        <v>1447</v>
      </c>
      <c r="Q727" s="11">
        <v>249722</v>
      </c>
      <c r="R727" s="11">
        <v>300061458</v>
      </c>
      <c r="S727" s="3" t="s">
        <v>59</v>
      </c>
      <c r="T727" s="4" t="s">
        <v>295</v>
      </c>
      <c r="U727" s="11">
        <f>World_Cup_Matches[[#This Row],[Home Team Goals]]+World_Cup_Matches[[#This Row],[Away Team Goals]]</f>
        <v>5</v>
      </c>
      <c r="V727" s="11">
        <f>World_Cup_Matches[[#This Row],[Home Team Goals]]-World_Cup_Matches[[#This Row],[Away Team Goals]]</f>
        <v>3</v>
      </c>
      <c r="W727" s="4" t="str">
        <f>IF(World_Cup_Matches[[#This Row],[Home Team Goals]]&gt;World_Cup_Matches[[#This Row],[Away Team Goals]],World_Cup_Matches[[#This Row],[Home Team Name]],IF(World_Cup_Matches[[#This Row],[Away Team Goals]]&gt;World_Cup_Matches[[#This Row],[Home Team Goals]], World_Cup_Matches[[#This Row],[Away Team Name]],"Draw"))</f>
        <v>Argentina</v>
      </c>
      <c r="X727" s="4" t="str">
        <f>IF(World_Cup_Matches[[#This Row],[Home Team Goals]]&gt;World_Cup_Matches[[#This Row],[Away Team Goals]],"Hime Win",IF(World_Cup_Matches[[#This Row],[Away Team Goals]]&gt;World_Cup_Matches[[#This Row],[Home Team Goals]],"Away win","Draw"))</f>
        <v>Hime Win</v>
      </c>
    </row>
    <row r="728" spans="1:24" x14ac:dyDescent="0.2">
      <c r="A728" s="19">
        <v>2010</v>
      </c>
      <c r="B728" s="15" t="s">
        <v>1642</v>
      </c>
      <c r="C728" s="3" t="s">
        <v>607</v>
      </c>
      <c r="D728" s="3" t="s">
        <v>1612</v>
      </c>
      <c r="E728" s="3" t="s">
        <v>1613</v>
      </c>
      <c r="F728" s="3" t="s">
        <v>1051</v>
      </c>
      <c r="G728" s="11">
        <v>2</v>
      </c>
      <c r="H728" s="11">
        <v>1</v>
      </c>
      <c r="I728" s="3" t="s">
        <v>1055</v>
      </c>
      <c r="J728" s="3" t="s">
        <v>1842</v>
      </c>
      <c r="K728" s="3">
        <v>31593</v>
      </c>
      <c r="L728" s="11">
        <v>1</v>
      </c>
      <c r="M728" s="11">
        <v>1</v>
      </c>
      <c r="N728" s="3" t="s">
        <v>1322</v>
      </c>
      <c r="O728" s="3" t="s">
        <v>1643</v>
      </c>
      <c r="P728" s="3" t="s">
        <v>1644</v>
      </c>
      <c r="Q728" s="11">
        <v>249722</v>
      </c>
      <c r="R728" s="11">
        <v>300061457</v>
      </c>
      <c r="S728" s="3" t="s">
        <v>1053</v>
      </c>
      <c r="T728" s="4" t="s">
        <v>1057</v>
      </c>
      <c r="U728" s="11">
        <f>World_Cup_Matches[[#This Row],[Home Team Goals]]+World_Cup_Matches[[#This Row],[Away Team Goals]]</f>
        <v>3</v>
      </c>
      <c r="V728" s="11">
        <f>World_Cup_Matches[[#This Row],[Home Team Goals]]-World_Cup_Matches[[#This Row],[Away Team Goals]]</f>
        <v>1</v>
      </c>
      <c r="W728" s="4" t="str">
        <f>IF(World_Cup_Matches[[#This Row],[Home Team Goals]]&gt;World_Cup_Matches[[#This Row],[Away Team Goals]],World_Cup_Matches[[#This Row],[Home Team Name]],IF(World_Cup_Matches[[#This Row],[Away Team Goals]]&gt;World_Cup_Matches[[#This Row],[Home Team Goals]], World_Cup_Matches[[#This Row],[Away Team Name]],"Draw"))</f>
        <v>Greece</v>
      </c>
      <c r="X728" s="4" t="str">
        <f>IF(World_Cup_Matches[[#This Row],[Home Team Goals]]&gt;World_Cup_Matches[[#This Row],[Away Team Goals]],"Hime Win",IF(World_Cup_Matches[[#This Row],[Away Team Goals]]&gt;World_Cup_Matches[[#This Row],[Home Team Goals]],"Away win","Draw"))</f>
        <v>Hime Win</v>
      </c>
    </row>
    <row r="729" spans="1:24" x14ac:dyDescent="0.2">
      <c r="A729" s="19">
        <v>2010</v>
      </c>
      <c r="B729" s="15" t="s">
        <v>1645</v>
      </c>
      <c r="C729" s="3" t="s">
        <v>609</v>
      </c>
      <c r="D729" s="3" t="s">
        <v>1592</v>
      </c>
      <c r="E729" s="3" t="s">
        <v>1593</v>
      </c>
      <c r="F729" s="3" t="s">
        <v>24</v>
      </c>
      <c r="G729" s="11">
        <v>0</v>
      </c>
      <c r="H729" s="11">
        <v>2</v>
      </c>
      <c r="I729" s="3" t="s">
        <v>25</v>
      </c>
      <c r="J729" s="3" t="s">
        <v>1842</v>
      </c>
      <c r="K729" s="3">
        <v>35370</v>
      </c>
      <c r="L729" s="11">
        <v>0</v>
      </c>
      <c r="M729" s="11">
        <v>0</v>
      </c>
      <c r="N729" s="3" t="s">
        <v>1646</v>
      </c>
      <c r="O729" s="3" t="s">
        <v>1647</v>
      </c>
      <c r="P729" s="3" t="s">
        <v>1648</v>
      </c>
      <c r="Q729" s="11">
        <v>249722</v>
      </c>
      <c r="R729" s="11">
        <v>300061451</v>
      </c>
      <c r="S729" s="3" t="s">
        <v>29</v>
      </c>
      <c r="T729" s="4" t="s">
        <v>30</v>
      </c>
      <c r="U729" s="11">
        <f>World_Cup_Matches[[#This Row],[Home Team Goals]]+World_Cup_Matches[[#This Row],[Away Team Goals]]</f>
        <v>2</v>
      </c>
      <c r="V729" s="11">
        <f>World_Cup_Matches[[#This Row],[Home Team Goals]]-World_Cup_Matches[[#This Row],[Away Team Goals]]</f>
        <v>-2</v>
      </c>
      <c r="W729" s="4" t="str">
        <f>IF(World_Cup_Matches[[#This Row],[Home Team Goals]]&gt;World_Cup_Matches[[#This Row],[Away Team Goals]],World_Cup_Matches[[#This Row],[Home Team Name]],IF(World_Cup_Matches[[#This Row],[Away Team Goals]]&gt;World_Cup_Matches[[#This Row],[Home Team Goals]], World_Cup_Matches[[#This Row],[Away Team Name]],"Draw"))</f>
        <v>Mexico</v>
      </c>
      <c r="X729" s="4" t="str">
        <f>IF(World_Cup_Matches[[#This Row],[Home Team Goals]]&gt;World_Cup_Matches[[#This Row],[Away Team Goals]],"Hime Win",IF(World_Cup_Matches[[#This Row],[Away Team Goals]]&gt;World_Cup_Matches[[#This Row],[Home Team Goals]],"Away win","Draw"))</f>
        <v>Away win</v>
      </c>
    </row>
    <row r="730" spans="1:24" x14ac:dyDescent="0.2">
      <c r="A730" s="19">
        <v>2010</v>
      </c>
      <c r="B730" s="15" t="s">
        <v>1649</v>
      </c>
      <c r="C730" s="3" t="s">
        <v>811</v>
      </c>
      <c r="D730" s="3" t="s">
        <v>1577</v>
      </c>
      <c r="E730" s="3" t="s">
        <v>1578</v>
      </c>
      <c r="F730" s="3" t="s">
        <v>124</v>
      </c>
      <c r="G730" s="11">
        <v>0</v>
      </c>
      <c r="H730" s="11">
        <v>1</v>
      </c>
      <c r="I730" s="3" t="s">
        <v>1598</v>
      </c>
      <c r="J730" s="3" t="s">
        <v>1842</v>
      </c>
      <c r="K730" s="3">
        <v>38294</v>
      </c>
      <c r="L730" s="11">
        <v>0</v>
      </c>
      <c r="M730" s="11">
        <v>1</v>
      </c>
      <c r="N730" s="3" t="s">
        <v>1650</v>
      </c>
      <c r="O730" s="3" t="s">
        <v>1651</v>
      </c>
      <c r="P730" s="3" t="s">
        <v>1652</v>
      </c>
      <c r="Q730" s="11">
        <v>249722</v>
      </c>
      <c r="R730" s="11">
        <v>300061470</v>
      </c>
      <c r="S730" s="3" t="s">
        <v>128</v>
      </c>
      <c r="T730" s="4" t="s">
        <v>1602</v>
      </c>
      <c r="U730" s="11">
        <f>World_Cup_Matches[[#This Row],[Home Team Goals]]+World_Cup_Matches[[#This Row],[Away Team Goals]]</f>
        <v>1</v>
      </c>
      <c r="V730" s="11">
        <f>World_Cup_Matches[[#This Row],[Home Team Goals]]-World_Cup_Matches[[#This Row],[Away Team Goals]]</f>
        <v>-1</v>
      </c>
      <c r="W730" s="4" t="str">
        <f>IF(World_Cup_Matches[[#This Row],[Home Team Goals]]&gt;World_Cup_Matches[[#This Row],[Away Team Goals]],World_Cup_Matches[[#This Row],[Home Team Name]],IF(World_Cup_Matches[[#This Row],[Away Team Goals]]&gt;World_Cup_Matches[[#This Row],[Home Team Goals]], World_Cup_Matches[[#This Row],[Away Team Name]],"Draw"))</f>
        <v>Serbia</v>
      </c>
      <c r="X730" s="4" t="str">
        <f>IF(World_Cup_Matches[[#This Row],[Home Team Goals]]&gt;World_Cup_Matches[[#This Row],[Away Team Goals]],"Hime Win",IF(World_Cup_Matches[[#This Row],[Away Team Goals]]&gt;World_Cup_Matches[[#This Row],[Home Team Goals]],"Away win","Draw"))</f>
        <v>Away win</v>
      </c>
    </row>
    <row r="731" spans="1:24" x14ac:dyDescent="0.2">
      <c r="A731" s="19">
        <v>2010</v>
      </c>
      <c r="B731" s="15" t="s">
        <v>1653</v>
      </c>
      <c r="C731" s="3" t="s">
        <v>805</v>
      </c>
      <c r="D731" s="3" t="s">
        <v>1583</v>
      </c>
      <c r="E731" s="3" t="s">
        <v>1566</v>
      </c>
      <c r="F731" s="3" t="s">
        <v>1293</v>
      </c>
      <c r="G731" s="11">
        <v>2</v>
      </c>
      <c r="H731" s="11">
        <v>2</v>
      </c>
      <c r="I731" s="3" t="s">
        <v>33</v>
      </c>
      <c r="J731" s="3" t="s">
        <v>1842</v>
      </c>
      <c r="K731" s="3">
        <v>45573</v>
      </c>
      <c r="L731" s="11">
        <v>2</v>
      </c>
      <c r="M731" s="11">
        <v>0</v>
      </c>
      <c r="N731" s="3" t="s">
        <v>1654</v>
      </c>
      <c r="O731" s="3" t="s">
        <v>1655</v>
      </c>
      <c r="P731" s="3" t="s">
        <v>1656</v>
      </c>
      <c r="Q731" s="11">
        <v>249722</v>
      </c>
      <c r="R731" s="11">
        <v>300061463</v>
      </c>
      <c r="S731" s="3" t="s">
        <v>1297</v>
      </c>
      <c r="T731" s="4" t="s">
        <v>33</v>
      </c>
      <c r="U731" s="11">
        <f>World_Cup_Matches[[#This Row],[Home Team Goals]]+World_Cup_Matches[[#This Row],[Away Team Goals]]</f>
        <v>4</v>
      </c>
      <c r="V731" s="11">
        <f>World_Cup_Matches[[#This Row],[Home Team Goals]]-World_Cup_Matches[[#This Row],[Away Team Goals]]</f>
        <v>0</v>
      </c>
      <c r="W731" s="4" t="str">
        <f>IF(World_Cup_Matches[[#This Row],[Home Team Goals]]&gt;World_Cup_Matches[[#This Row],[Away Team Goals]],World_Cup_Matches[[#This Row],[Home Team Name]],IF(World_Cup_Matches[[#This Row],[Away Team Goals]]&gt;World_Cup_Matches[[#This Row],[Home Team Goals]], World_Cup_Matches[[#This Row],[Away Team Name]],"Draw"))</f>
        <v>Draw</v>
      </c>
      <c r="X731" s="4" t="str">
        <f>IF(World_Cup_Matches[[#This Row],[Home Team Goals]]&gt;World_Cup_Matches[[#This Row],[Away Team Goals]],"Hime Win",IF(World_Cup_Matches[[#This Row],[Away Team Goals]]&gt;World_Cup_Matches[[#This Row],[Home Team Goals]],"Away win","Draw"))</f>
        <v>Draw</v>
      </c>
    </row>
    <row r="732" spans="1:24" x14ac:dyDescent="0.2">
      <c r="A732" s="19">
        <v>2010</v>
      </c>
      <c r="B732" s="15" t="s">
        <v>1657</v>
      </c>
      <c r="C732" s="3" t="s">
        <v>805</v>
      </c>
      <c r="D732" s="3" t="s">
        <v>1571</v>
      </c>
      <c r="E732" s="3" t="s">
        <v>1572</v>
      </c>
      <c r="F732" s="3" t="s">
        <v>223</v>
      </c>
      <c r="G732" s="11">
        <v>0</v>
      </c>
      <c r="H732" s="11">
        <v>0</v>
      </c>
      <c r="I732" s="3" t="s">
        <v>718</v>
      </c>
      <c r="J732" s="3" t="s">
        <v>1842</v>
      </c>
      <c r="K732" s="3">
        <v>64100</v>
      </c>
      <c r="L732" s="11">
        <v>0</v>
      </c>
      <c r="M732" s="11">
        <v>0</v>
      </c>
      <c r="N732" s="3" t="s">
        <v>1567</v>
      </c>
      <c r="O732" s="3" t="s">
        <v>1568</v>
      </c>
      <c r="P732" s="3" t="s">
        <v>1569</v>
      </c>
      <c r="Q732" s="11">
        <v>249722</v>
      </c>
      <c r="R732" s="11">
        <v>300061464</v>
      </c>
      <c r="S732" s="3" t="s">
        <v>227</v>
      </c>
      <c r="T732" s="4" t="s">
        <v>722</v>
      </c>
      <c r="U732" s="11">
        <f>World_Cup_Matches[[#This Row],[Home Team Goals]]+World_Cup_Matches[[#This Row],[Away Team Goals]]</f>
        <v>0</v>
      </c>
      <c r="V732" s="11">
        <f>World_Cup_Matches[[#This Row],[Home Team Goals]]-World_Cup_Matches[[#This Row],[Away Team Goals]]</f>
        <v>0</v>
      </c>
      <c r="W732" s="4" t="str">
        <f>IF(World_Cup_Matches[[#This Row],[Home Team Goals]]&gt;World_Cup_Matches[[#This Row],[Away Team Goals]],World_Cup_Matches[[#This Row],[Home Team Name]],IF(World_Cup_Matches[[#This Row],[Away Team Goals]]&gt;World_Cup_Matches[[#This Row],[Home Team Goals]], World_Cup_Matches[[#This Row],[Away Team Name]],"Draw"))</f>
        <v>Draw</v>
      </c>
      <c r="X732" s="4" t="str">
        <f>IF(World_Cup_Matches[[#This Row],[Home Team Goals]]&gt;World_Cup_Matches[[#This Row],[Away Team Goals]],"Hime Win",IF(World_Cup_Matches[[#This Row],[Away Team Goals]]&gt;World_Cup_Matches[[#This Row],[Home Team Goals]],"Away win","Draw"))</f>
        <v>Draw</v>
      </c>
    </row>
    <row r="733" spans="1:24" x14ac:dyDescent="0.2">
      <c r="A733" s="19">
        <v>2010</v>
      </c>
      <c r="B733" s="15" t="s">
        <v>1658</v>
      </c>
      <c r="C733" s="3" t="s">
        <v>846</v>
      </c>
      <c r="D733" s="3" t="s">
        <v>1604</v>
      </c>
      <c r="E733" s="3" t="s">
        <v>1605</v>
      </c>
      <c r="F733" s="3" t="s">
        <v>109</v>
      </c>
      <c r="G733" s="11">
        <v>1</v>
      </c>
      <c r="H733" s="11">
        <v>0</v>
      </c>
      <c r="I733" s="3" t="s">
        <v>1161</v>
      </c>
      <c r="J733" s="3" t="s">
        <v>1842</v>
      </c>
      <c r="K733" s="3">
        <v>62010</v>
      </c>
      <c r="L733" s="11">
        <v>0</v>
      </c>
      <c r="M733" s="11">
        <v>0</v>
      </c>
      <c r="N733" s="3" t="s">
        <v>1599</v>
      </c>
      <c r="O733" s="3" t="s">
        <v>1600</v>
      </c>
      <c r="P733" s="3" t="s">
        <v>1601</v>
      </c>
      <c r="Q733" s="11">
        <v>249722</v>
      </c>
      <c r="R733" s="11">
        <v>300111117</v>
      </c>
      <c r="S733" s="3" t="s">
        <v>114</v>
      </c>
      <c r="T733" s="4" t="s">
        <v>1164</v>
      </c>
      <c r="U733" s="11">
        <f>World_Cup_Matches[[#This Row],[Home Team Goals]]+World_Cup_Matches[[#This Row],[Away Team Goals]]</f>
        <v>1</v>
      </c>
      <c r="V733" s="11">
        <f>World_Cup_Matches[[#This Row],[Home Team Goals]]-World_Cup_Matches[[#This Row],[Away Team Goals]]</f>
        <v>1</v>
      </c>
      <c r="W733" s="4" t="str">
        <f>IF(World_Cup_Matches[[#This Row],[Home Team Goals]]&gt;World_Cup_Matches[[#This Row],[Away Team Goals]],World_Cup_Matches[[#This Row],[Home Team Name]],IF(World_Cup_Matches[[#This Row],[Away Team Goals]]&gt;World_Cup_Matches[[#This Row],[Home Team Goals]], World_Cup_Matches[[#This Row],[Away Team Name]],"Draw"))</f>
        <v>Netherlands</v>
      </c>
      <c r="X733" s="4" t="str">
        <f>IF(World_Cup_Matches[[#This Row],[Home Team Goals]]&gt;World_Cup_Matches[[#This Row],[Away Team Goals]],"Hime Win",IF(World_Cup_Matches[[#This Row],[Away Team Goals]]&gt;World_Cup_Matches[[#This Row],[Home Team Goals]],"Away win","Draw"))</f>
        <v>Hime Win</v>
      </c>
    </row>
    <row r="734" spans="1:24" x14ac:dyDescent="0.2">
      <c r="A734" s="19">
        <v>2010</v>
      </c>
      <c r="B734" s="15" t="s">
        <v>1659</v>
      </c>
      <c r="C734" s="3" t="s">
        <v>811</v>
      </c>
      <c r="D734" s="3" t="s">
        <v>1587</v>
      </c>
      <c r="E734" s="3" t="s">
        <v>1588</v>
      </c>
      <c r="F734" s="3" t="s">
        <v>1483</v>
      </c>
      <c r="G734" s="11">
        <v>1</v>
      </c>
      <c r="H734" s="11">
        <v>1</v>
      </c>
      <c r="I734" s="3" t="s">
        <v>556</v>
      </c>
      <c r="J734" s="3" t="s">
        <v>1842</v>
      </c>
      <c r="K734" s="3">
        <v>34812</v>
      </c>
      <c r="L734" s="11">
        <v>1</v>
      </c>
      <c r="M734" s="11">
        <v>1</v>
      </c>
      <c r="N734" s="3" t="s">
        <v>1459</v>
      </c>
      <c r="O734" s="3" t="s">
        <v>1660</v>
      </c>
      <c r="P734" s="3" t="s">
        <v>1661</v>
      </c>
      <c r="Q734" s="11">
        <v>249722</v>
      </c>
      <c r="R734" s="11">
        <v>300061469</v>
      </c>
      <c r="S734" s="3" t="s">
        <v>1486</v>
      </c>
      <c r="T734" s="4" t="s">
        <v>561</v>
      </c>
      <c r="U734" s="11">
        <f>World_Cup_Matches[[#This Row],[Home Team Goals]]+World_Cup_Matches[[#This Row],[Away Team Goals]]</f>
        <v>2</v>
      </c>
      <c r="V734" s="11">
        <f>World_Cup_Matches[[#This Row],[Home Team Goals]]-World_Cup_Matches[[#This Row],[Away Team Goals]]</f>
        <v>0</v>
      </c>
      <c r="W734" s="4" t="str">
        <f>IF(World_Cup_Matches[[#This Row],[Home Team Goals]]&gt;World_Cup_Matches[[#This Row],[Away Team Goals]],World_Cup_Matches[[#This Row],[Home Team Name]],IF(World_Cup_Matches[[#This Row],[Away Team Goals]]&gt;World_Cup_Matches[[#This Row],[Home Team Goals]], World_Cup_Matches[[#This Row],[Away Team Name]],"Draw"))</f>
        <v>Draw</v>
      </c>
      <c r="X734" s="4" t="str">
        <f>IF(World_Cup_Matches[[#This Row],[Home Team Goals]]&gt;World_Cup_Matches[[#This Row],[Away Team Goals]],"Hime Win",IF(World_Cup_Matches[[#This Row],[Away Team Goals]]&gt;World_Cup_Matches[[#This Row],[Home Team Goals]],"Away win","Draw"))</f>
        <v>Draw</v>
      </c>
    </row>
    <row r="735" spans="1:24" x14ac:dyDescent="0.2">
      <c r="A735" s="19">
        <v>2010</v>
      </c>
      <c r="B735" s="15" t="s">
        <v>1662</v>
      </c>
      <c r="C735" s="3" t="s">
        <v>846</v>
      </c>
      <c r="D735" s="3" t="s">
        <v>1596</v>
      </c>
      <c r="E735" s="3" t="s">
        <v>1597</v>
      </c>
      <c r="F735" s="3" t="s">
        <v>700</v>
      </c>
      <c r="G735" s="11">
        <v>1</v>
      </c>
      <c r="H735" s="11">
        <v>2</v>
      </c>
      <c r="I735" s="3" t="s">
        <v>849</v>
      </c>
      <c r="J735" s="3" t="s">
        <v>1842</v>
      </c>
      <c r="K735" s="3">
        <v>38074</v>
      </c>
      <c r="L735" s="11">
        <v>1</v>
      </c>
      <c r="M735" s="11">
        <v>1</v>
      </c>
      <c r="N735" s="3" t="s">
        <v>1466</v>
      </c>
      <c r="O735" s="3" t="s">
        <v>1468</v>
      </c>
      <c r="P735" s="3" t="s">
        <v>1625</v>
      </c>
      <c r="Q735" s="11">
        <v>249722</v>
      </c>
      <c r="R735" s="11">
        <v>300061475</v>
      </c>
      <c r="S735" s="3" t="s">
        <v>702</v>
      </c>
      <c r="T735" s="4" t="s">
        <v>853</v>
      </c>
      <c r="U735" s="11">
        <f>World_Cup_Matches[[#This Row],[Home Team Goals]]+World_Cup_Matches[[#This Row],[Away Team Goals]]</f>
        <v>3</v>
      </c>
      <c r="V735" s="11">
        <f>World_Cup_Matches[[#This Row],[Home Team Goals]]-World_Cup_Matches[[#This Row],[Away Team Goals]]</f>
        <v>-1</v>
      </c>
      <c r="W735" s="4" t="str">
        <f>IF(World_Cup_Matches[[#This Row],[Home Team Goals]]&gt;World_Cup_Matches[[#This Row],[Away Team Goals]],World_Cup_Matches[[#This Row],[Home Team Name]],IF(World_Cup_Matches[[#This Row],[Away Team Goals]]&gt;World_Cup_Matches[[#This Row],[Home Team Goals]], World_Cup_Matches[[#This Row],[Away Team Name]],"Draw"))</f>
        <v>Denmark</v>
      </c>
      <c r="X735" s="4" t="str">
        <f>IF(World_Cup_Matches[[#This Row],[Home Team Goals]]&gt;World_Cup_Matches[[#This Row],[Away Team Goals]],"Hime Win",IF(World_Cup_Matches[[#This Row],[Away Team Goals]]&gt;World_Cup_Matches[[#This Row],[Home Team Goals]],"Away win","Draw"))</f>
        <v>Away win</v>
      </c>
    </row>
    <row r="736" spans="1:24" x14ac:dyDescent="0.2">
      <c r="A736" s="19">
        <v>2010</v>
      </c>
      <c r="B736" s="15" t="s">
        <v>1663</v>
      </c>
      <c r="C736" s="3" t="s">
        <v>824</v>
      </c>
      <c r="D736" s="3" t="s">
        <v>1612</v>
      </c>
      <c r="E736" s="3" t="s">
        <v>1613</v>
      </c>
      <c r="F736" s="3" t="s">
        <v>1620</v>
      </c>
      <c r="G736" s="11">
        <v>0</v>
      </c>
      <c r="H736" s="11">
        <v>2</v>
      </c>
      <c r="I736" s="3" t="s">
        <v>68</v>
      </c>
      <c r="J736" s="3" t="s">
        <v>1842</v>
      </c>
      <c r="K736" s="3">
        <v>26643</v>
      </c>
      <c r="L736" s="11">
        <v>0</v>
      </c>
      <c r="M736" s="11">
        <v>1</v>
      </c>
      <c r="N736" s="3" t="s">
        <v>1633</v>
      </c>
      <c r="O736" s="3" t="s">
        <v>1634</v>
      </c>
      <c r="P736" s="3" t="s">
        <v>1635</v>
      </c>
      <c r="Q736" s="11">
        <v>249722</v>
      </c>
      <c r="R736" s="11">
        <v>300061481</v>
      </c>
      <c r="S736" s="3" t="s">
        <v>1623</v>
      </c>
      <c r="T736" s="4" t="s">
        <v>69</v>
      </c>
      <c r="U736" s="11">
        <f>World_Cup_Matches[[#This Row],[Home Team Goals]]+World_Cup_Matches[[#This Row],[Away Team Goals]]</f>
        <v>2</v>
      </c>
      <c r="V736" s="11">
        <f>World_Cup_Matches[[#This Row],[Home Team Goals]]-World_Cup_Matches[[#This Row],[Away Team Goals]]</f>
        <v>-2</v>
      </c>
      <c r="W736" s="4" t="str">
        <f>IF(World_Cup_Matches[[#This Row],[Home Team Goals]]&gt;World_Cup_Matches[[#This Row],[Away Team Goals]],World_Cup_Matches[[#This Row],[Home Team Name]],IF(World_Cup_Matches[[#This Row],[Away Team Goals]]&gt;World_Cup_Matches[[#This Row],[Home Team Goals]], World_Cup_Matches[[#This Row],[Away Team Name]],"Draw"))</f>
        <v>Paraguay</v>
      </c>
      <c r="X736" s="4" t="str">
        <f>IF(World_Cup_Matches[[#This Row],[Home Team Goals]]&gt;World_Cup_Matches[[#This Row],[Away Team Goals]],"Hime Win",IF(World_Cup_Matches[[#This Row],[Away Team Goals]]&gt;World_Cup_Matches[[#This Row],[Home Team Goals]],"Away win","Draw"))</f>
        <v>Away win</v>
      </c>
    </row>
    <row r="737" spans="1:24" x14ac:dyDescent="0.2">
      <c r="A737" s="19">
        <v>2010</v>
      </c>
      <c r="B737" s="15" t="s">
        <v>1664</v>
      </c>
      <c r="C737" s="3" t="s">
        <v>824</v>
      </c>
      <c r="D737" s="3" t="s">
        <v>1631</v>
      </c>
      <c r="E737" s="3" t="s">
        <v>1632</v>
      </c>
      <c r="F737" s="3" t="s">
        <v>138</v>
      </c>
      <c r="G737" s="11">
        <v>1</v>
      </c>
      <c r="H737" s="11">
        <v>1</v>
      </c>
      <c r="I737" s="3" t="s">
        <v>710</v>
      </c>
      <c r="J737" s="3" t="s">
        <v>1842</v>
      </c>
      <c r="K737" s="3">
        <v>38229</v>
      </c>
      <c r="L737" s="11">
        <v>1</v>
      </c>
      <c r="M737" s="11">
        <v>1</v>
      </c>
      <c r="N737" s="3" t="s">
        <v>1340</v>
      </c>
      <c r="O737" s="3" t="s">
        <v>1434</v>
      </c>
      <c r="P737" s="3" t="s">
        <v>1594</v>
      </c>
      <c r="Q737" s="11">
        <v>249722</v>
      </c>
      <c r="R737" s="11">
        <v>300061482</v>
      </c>
      <c r="S737" s="3" t="s">
        <v>142</v>
      </c>
      <c r="T737" s="4" t="s">
        <v>714</v>
      </c>
      <c r="U737" s="11">
        <f>World_Cup_Matches[[#This Row],[Home Team Goals]]+World_Cup_Matches[[#This Row],[Away Team Goals]]</f>
        <v>2</v>
      </c>
      <c r="V737" s="11">
        <f>World_Cup_Matches[[#This Row],[Home Team Goals]]-World_Cup_Matches[[#This Row],[Away Team Goals]]</f>
        <v>0</v>
      </c>
      <c r="W737" s="4" t="str">
        <f>IF(World_Cup_Matches[[#This Row],[Home Team Goals]]&gt;World_Cup_Matches[[#This Row],[Away Team Goals]],World_Cup_Matches[[#This Row],[Home Team Name]],IF(World_Cup_Matches[[#This Row],[Away Team Goals]]&gt;World_Cup_Matches[[#This Row],[Home Team Goals]], World_Cup_Matches[[#This Row],[Away Team Name]],"Draw"))</f>
        <v>Draw</v>
      </c>
      <c r="X737" s="4" t="str">
        <f>IF(World_Cup_Matches[[#This Row],[Home Team Goals]]&gt;World_Cup_Matches[[#This Row],[Away Team Goals]],"Hime Win",IF(World_Cup_Matches[[#This Row],[Away Team Goals]]&gt;World_Cup_Matches[[#This Row],[Home Team Goals]],"Away win","Draw"))</f>
        <v>Draw</v>
      </c>
    </row>
    <row r="738" spans="1:24" x14ac:dyDescent="0.2">
      <c r="A738" s="19">
        <v>2010</v>
      </c>
      <c r="B738" s="15" t="s">
        <v>1665</v>
      </c>
      <c r="C738" s="3" t="s">
        <v>1179</v>
      </c>
      <c r="D738" s="3" t="s">
        <v>1565</v>
      </c>
      <c r="E738" s="3" t="s">
        <v>1566</v>
      </c>
      <c r="F738" s="3" t="s">
        <v>42</v>
      </c>
      <c r="G738" s="11">
        <v>3</v>
      </c>
      <c r="H738" s="11">
        <v>1</v>
      </c>
      <c r="I738" s="3" t="s">
        <v>1444</v>
      </c>
      <c r="J738" s="3" t="s">
        <v>1842</v>
      </c>
      <c r="K738" s="3">
        <v>84455</v>
      </c>
      <c r="L738" s="11">
        <v>1</v>
      </c>
      <c r="M738" s="11">
        <v>0</v>
      </c>
      <c r="N738" s="3" t="s">
        <v>1608</v>
      </c>
      <c r="O738" s="3" t="s">
        <v>1609</v>
      </c>
      <c r="P738" s="3" t="s">
        <v>1610</v>
      </c>
      <c r="Q738" s="11">
        <v>249722</v>
      </c>
      <c r="R738" s="11">
        <v>300061488</v>
      </c>
      <c r="S738" s="3" t="s">
        <v>47</v>
      </c>
      <c r="T738" s="4" t="s">
        <v>1448</v>
      </c>
      <c r="U738" s="11">
        <f>World_Cup_Matches[[#This Row],[Home Team Goals]]+World_Cup_Matches[[#This Row],[Away Team Goals]]</f>
        <v>4</v>
      </c>
      <c r="V738" s="11">
        <f>World_Cup_Matches[[#This Row],[Home Team Goals]]-World_Cup_Matches[[#This Row],[Away Team Goals]]</f>
        <v>2</v>
      </c>
      <c r="W738" s="4" t="str">
        <f>IF(World_Cup_Matches[[#This Row],[Home Team Goals]]&gt;World_Cup_Matches[[#This Row],[Away Team Goals]],World_Cup_Matches[[#This Row],[Home Team Name]],IF(World_Cup_Matches[[#This Row],[Away Team Goals]]&gt;World_Cup_Matches[[#This Row],[Home Team Goals]], World_Cup_Matches[[#This Row],[Away Team Name]],"Draw"))</f>
        <v>Brazil</v>
      </c>
      <c r="X738" s="4" t="str">
        <f>IF(World_Cup_Matches[[#This Row],[Home Team Goals]]&gt;World_Cup_Matches[[#This Row],[Away Team Goals]],"Hime Win",IF(World_Cup_Matches[[#This Row],[Away Team Goals]]&gt;World_Cup_Matches[[#This Row],[Home Team Goals]],"Away win","Draw"))</f>
        <v>Hime Win</v>
      </c>
    </row>
    <row r="739" spans="1:24" x14ac:dyDescent="0.2">
      <c r="A739" s="19">
        <v>2010</v>
      </c>
      <c r="B739" s="15" t="s">
        <v>1666</v>
      </c>
      <c r="C739" s="3" t="s">
        <v>1179</v>
      </c>
      <c r="D739" s="3" t="s">
        <v>1571</v>
      </c>
      <c r="E739" s="3" t="s">
        <v>1572</v>
      </c>
      <c r="F739" s="3" t="s">
        <v>458</v>
      </c>
      <c r="G739" s="11">
        <v>7</v>
      </c>
      <c r="H739" s="11">
        <v>0</v>
      </c>
      <c r="I739" s="3" t="s">
        <v>451</v>
      </c>
      <c r="J739" s="3" t="s">
        <v>1842</v>
      </c>
      <c r="K739" s="3">
        <v>63644</v>
      </c>
      <c r="L739" s="11">
        <v>1</v>
      </c>
      <c r="M739" s="11">
        <v>0</v>
      </c>
      <c r="N739" s="3" t="s">
        <v>1667</v>
      </c>
      <c r="O739" s="3" t="s">
        <v>1668</v>
      </c>
      <c r="P739" s="3" t="s">
        <v>1669</v>
      </c>
      <c r="Q739" s="11">
        <v>249722</v>
      </c>
      <c r="R739" s="11">
        <v>300061487</v>
      </c>
      <c r="S739" s="3" t="s">
        <v>462</v>
      </c>
      <c r="T739" s="4" t="s">
        <v>453</v>
      </c>
      <c r="U739" s="11">
        <f>World_Cup_Matches[[#This Row],[Home Team Goals]]+World_Cup_Matches[[#This Row],[Away Team Goals]]</f>
        <v>7</v>
      </c>
      <c r="V739" s="11">
        <f>World_Cup_Matches[[#This Row],[Home Team Goals]]-World_Cup_Matches[[#This Row],[Away Team Goals]]</f>
        <v>7</v>
      </c>
      <c r="W739" s="4" t="str">
        <f>IF(World_Cup_Matches[[#This Row],[Home Team Goals]]&gt;World_Cup_Matches[[#This Row],[Away Team Goals]],World_Cup_Matches[[#This Row],[Home Team Name]],IF(World_Cup_Matches[[#This Row],[Away Team Goals]]&gt;World_Cup_Matches[[#This Row],[Home Team Goals]], World_Cup_Matches[[#This Row],[Away Team Name]],"Draw"))</f>
        <v>Portugal</v>
      </c>
      <c r="X739" s="4" t="str">
        <f>IF(World_Cup_Matches[[#This Row],[Home Team Goals]]&gt;World_Cup_Matches[[#This Row],[Away Team Goals]],"Hime Win",IF(World_Cup_Matches[[#This Row],[Away Team Goals]]&gt;World_Cup_Matches[[#This Row],[Home Team Goals]],"Away win","Draw"))</f>
        <v>Hime Win</v>
      </c>
    </row>
    <row r="740" spans="1:24" x14ac:dyDescent="0.2">
      <c r="A740" s="19">
        <v>2010</v>
      </c>
      <c r="B740" s="15" t="s">
        <v>1670</v>
      </c>
      <c r="C740" s="3" t="s">
        <v>1160</v>
      </c>
      <c r="D740" s="3" t="s">
        <v>1577</v>
      </c>
      <c r="E740" s="3" t="s">
        <v>1578</v>
      </c>
      <c r="F740" s="3" t="s">
        <v>61</v>
      </c>
      <c r="G740" s="11">
        <v>1</v>
      </c>
      <c r="H740" s="11">
        <v>0</v>
      </c>
      <c r="I740" s="3" t="s">
        <v>108</v>
      </c>
      <c r="J740" s="3" t="s">
        <v>1842</v>
      </c>
      <c r="K740" s="3">
        <v>34872</v>
      </c>
      <c r="L740" s="11">
        <v>0</v>
      </c>
      <c r="M740" s="11">
        <v>0</v>
      </c>
      <c r="N740" s="3" t="s">
        <v>1646</v>
      </c>
      <c r="O740" s="3" t="s">
        <v>1647</v>
      </c>
      <c r="P740" s="3" t="s">
        <v>1648</v>
      </c>
      <c r="Q740" s="11">
        <v>249722</v>
      </c>
      <c r="R740" s="11">
        <v>300061493</v>
      </c>
      <c r="S740" s="3" t="s">
        <v>63</v>
      </c>
      <c r="T740" s="4" t="s">
        <v>113</v>
      </c>
      <c r="U740" s="11">
        <f>World_Cup_Matches[[#This Row],[Home Team Goals]]+World_Cup_Matches[[#This Row],[Away Team Goals]]</f>
        <v>1</v>
      </c>
      <c r="V740" s="11">
        <f>World_Cup_Matches[[#This Row],[Home Team Goals]]-World_Cup_Matches[[#This Row],[Away Team Goals]]</f>
        <v>1</v>
      </c>
      <c r="W740" s="4" t="str">
        <f>IF(World_Cup_Matches[[#This Row],[Home Team Goals]]&gt;World_Cup_Matches[[#This Row],[Away Team Goals]],World_Cup_Matches[[#This Row],[Home Team Name]],IF(World_Cup_Matches[[#This Row],[Away Team Goals]]&gt;World_Cup_Matches[[#This Row],[Home Team Goals]], World_Cup_Matches[[#This Row],[Away Team Name]],"Draw"))</f>
        <v>Chile</v>
      </c>
      <c r="X740" s="4" t="str">
        <f>IF(World_Cup_Matches[[#This Row],[Home Team Goals]]&gt;World_Cup_Matches[[#This Row],[Away Team Goals]],"Hime Win",IF(World_Cup_Matches[[#This Row],[Away Team Goals]]&gt;World_Cup_Matches[[#This Row],[Home Team Goals]],"Away win","Draw"))</f>
        <v>Hime Win</v>
      </c>
    </row>
    <row r="741" spans="1:24" x14ac:dyDescent="0.2">
      <c r="A741" s="19">
        <v>2010</v>
      </c>
      <c r="B741" s="15" t="s">
        <v>1671</v>
      </c>
      <c r="C741" s="3" t="s">
        <v>1160</v>
      </c>
      <c r="D741" s="3" t="s">
        <v>1583</v>
      </c>
      <c r="E741" s="3" t="s">
        <v>1566</v>
      </c>
      <c r="F741" s="3" t="s">
        <v>131</v>
      </c>
      <c r="G741" s="11">
        <v>2</v>
      </c>
      <c r="H741" s="11">
        <v>0</v>
      </c>
      <c r="I741" s="3" t="s">
        <v>730</v>
      </c>
      <c r="J741" s="3" t="s">
        <v>1842</v>
      </c>
      <c r="K741" s="3">
        <v>54386</v>
      </c>
      <c r="L741" s="11">
        <v>1</v>
      </c>
      <c r="M741" s="11">
        <v>0</v>
      </c>
      <c r="N741" s="3" t="s">
        <v>1573</v>
      </c>
      <c r="O741" s="3" t="s">
        <v>1574</v>
      </c>
      <c r="P741" s="3" t="s">
        <v>1575</v>
      </c>
      <c r="Q741" s="11">
        <v>249722</v>
      </c>
      <c r="R741" s="11">
        <v>300061494</v>
      </c>
      <c r="S741" s="3" t="s">
        <v>135</v>
      </c>
      <c r="T741" s="4" t="s">
        <v>733</v>
      </c>
      <c r="U741" s="11">
        <f>World_Cup_Matches[[#This Row],[Home Team Goals]]+World_Cup_Matches[[#This Row],[Away Team Goals]]</f>
        <v>2</v>
      </c>
      <c r="V741" s="11">
        <f>World_Cup_Matches[[#This Row],[Home Team Goals]]-World_Cup_Matches[[#This Row],[Away Team Goals]]</f>
        <v>2</v>
      </c>
      <c r="W741" s="4" t="str">
        <f>IF(World_Cup_Matches[[#This Row],[Home Team Goals]]&gt;World_Cup_Matches[[#This Row],[Away Team Goals]],World_Cup_Matches[[#This Row],[Home Team Name]],IF(World_Cup_Matches[[#This Row],[Away Team Goals]]&gt;World_Cup_Matches[[#This Row],[Home Team Goals]], World_Cup_Matches[[#This Row],[Away Team Name]],"Draw"))</f>
        <v>Spain</v>
      </c>
      <c r="X741" s="4" t="str">
        <f>IF(World_Cup_Matches[[#This Row],[Home Team Goals]]&gt;World_Cup_Matches[[#This Row],[Away Team Goals]],"Hime Win",IF(World_Cup_Matches[[#This Row],[Away Team Goals]]&gt;World_Cup_Matches[[#This Row],[Home Team Goals]],"Away win","Draw"))</f>
        <v>Hime Win</v>
      </c>
    </row>
    <row r="742" spans="1:24" x14ac:dyDescent="0.2">
      <c r="A742" s="19">
        <v>2010</v>
      </c>
      <c r="B742" s="15" t="s">
        <v>1672</v>
      </c>
      <c r="C742" s="3" t="s">
        <v>609</v>
      </c>
      <c r="D742" s="3" t="s">
        <v>1587</v>
      </c>
      <c r="E742" s="3" t="s">
        <v>1588</v>
      </c>
      <c r="F742" s="3" t="s">
        <v>25</v>
      </c>
      <c r="G742" s="11">
        <v>0</v>
      </c>
      <c r="H742" s="11">
        <v>1</v>
      </c>
      <c r="I742" s="3" t="s">
        <v>72</v>
      </c>
      <c r="J742" s="3" t="s">
        <v>1842</v>
      </c>
      <c r="K742" s="3">
        <v>33425</v>
      </c>
      <c r="L742" s="11">
        <v>0</v>
      </c>
      <c r="M742" s="11">
        <v>1</v>
      </c>
      <c r="N742" s="3" t="s">
        <v>1627</v>
      </c>
      <c r="O742" s="3" t="s">
        <v>1628</v>
      </c>
      <c r="P742" s="3" t="s">
        <v>1629</v>
      </c>
      <c r="Q742" s="11">
        <v>249722</v>
      </c>
      <c r="R742" s="11">
        <v>300061450</v>
      </c>
      <c r="S742" s="3" t="s">
        <v>30</v>
      </c>
      <c r="T742" s="4" t="s">
        <v>73</v>
      </c>
      <c r="U742" s="11">
        <f>World_Cup_Matches[[#This Row],[Home Team Goals]]+World_Cup_Matches[[#This Row],[Away Team Goals]]</f>
        <v>1</v>
      </c>
      <c r="V742" s="11">
        <f>World_Cup_Matches[[#This Row],[Home Team Goals]]-World_Cup_Matches[[#This Row],[Away Team Goals]]</f>
        <v>-1</v>
      </c>
      <c r="W742" s="4" t="str">
        <f>IF(World_Cup_Matches[[#This Row],[Home Team Goals]]&gt;World_Cup_Matches[[#This Row],[Away Team Goals]],World_Cup_Matches[[#This Row],[Home Team Name]],IF(World_Cup_Matches[[#This Row],[Away Team Goals]]&gt;World_Cup_Matches[[#This Row],[Home Team Goals]], World_Cup_Matches[[#This Row],[Away Team Name]],"Draw"))</f>
        <v>Uruguay</v>
      </c>
      <c r="X742" s="4" t="str">
        <f>IF(World_Cup_Matches[[#This Row],[Home Team Goals]]&gt;World_Cup_Matches[[#This Row],[Away Team Goals]],"Hime Win",IF(World_Cup_Matches[[#This Row],[Away Team Goals]]&gt;World_Cup_Matches[[#This Row],[Home Team Goals]],"Away win","Draw"))</f>
        <v>Away win</v>
      </c>
    </row>
    <row r="743" spans="1:24" x14ac:dyDescent="0.2">
      <c r="A743" s="19">
        <v>2010</v>
      </c>
      <c r="B743" s="15" t="s">
        <v>1672</v>
      </c>
      <c r="C743" s="3" t="s">
        <v>609</v>
      </c>
      <c r="D743" s="3" t="s">
        <v>1612</v>
      </c>
      <c r="E743" s="3" t="s">
        <v>1613</v>
      </c>
      <c r="F743" s="3" t="s">
        <v>24</v>
      </c>
      <c r="G743" s="11">
        <v>1</v>
      </c>
      <c r="H743" s="11">
        <v>2</v>
      </c>
      <c r="I743" s="3" t="s">
        <v>1138</v>
      </c>
      <c r="J743" s="3" t="s">
        <v>1842</v>
      </c>
      <c r="K743" s="3">
        <v>39415</v>
      </c>
      <c r="L743" s="11">
        <v>0</v>
      </c>
      <c r="M743" s="11">
        <v>2</v>
      </c>
      <c r="N743" s="3" t="s">
        <v>1322</v>
      </c>
      <c r="O743" s="3" t="s">
        <v>1643</v>
      </c>
      <c r="P743" s="3" t="s">
        <v>1644</v>
      </c>
      <c r="Q743" s="11">
        <v>249722</v>
      </c>
      <c r="R743" s="11">
        <v>300061449</v>
      </c>
      <c r="S743" s="3" t="s">
        <v>29</v>
      </c>
      <c r="T743" s="4" t="s">
        <v>1142</v>
      </c>
      <c r="U743" s="11">
        <f>World_Cup_Matches[[#This Row],[Home Team Goals]]+World_Cup_Matches[[#This Row],[Away Team Goals]]</f>
        <v>3</v>
      </c>
      <c r="V743" s="11">
        <f>World_Cup_Matches[[#This Row],[Home Team Goals]]-World_Cup_Matches[[#This Row],[Away Team Goals]]</f>
        <v>-1</v>
      </c>
      <c r="W743" s="4" t="str">
        <f>IF(World_Cup_Matches[[#This Row],[Home Team Goals]]&gt;World_Cup_Matches[[#This Row],[Away Team Goals]],World_Cup_Matches[[#This Row],[Home Team Name]],IF(World_Cup_Matches[[#This Row],[Away Team Goals]]&gt;World_Cup_Matches[[#This Row],[Home Team Goals]], World_Cup_Matches[[#This Row],[Away Team Name]],"Draw"))</f>
        <v>South Africa</v>
      </c>
      <c r="X743" s="4" t="str">
        <f>IF(World_Cup_Matches[[#This Row],[Home Team Goals]]&gt;World_Cup_Matches[[#This Row],[Away Team Goals]],"Hime Win",IF(World_Cup_Matches[[#This Row],[Away Team Goals]]&gt;World_Cup_Matches[[#This Row],[Home Team Goals]],"Away win","Draw"))</f>
        <v>Away win</v>
      </c>
    </row>
    <row r="744" spans="1:24" x14ac:dyDescent="0.2">
      <c r="A744" s="19">
        <v>2010</v>
      </c>
      <c r="B744" s="15" t="s">
        <v>1673</v>
      </c>
      <c r="C744" s="3" t="s">
        <v>607</v>
      </c>
      <c r="D744" s="3" t="s">
        <v>1604</v>
      </c>
      <c r="E744" s="3" t="s">
        <v>1605</v>
      </c>
      <c r="F744" s="3" t="s">
        <v>1055</v>
      </c>
      <c r="G744" s="11">
        <v>2</v>
      </c>
      <c r="H744" s="11">
        <v>2</v>
      </c>
      <c r="I744" s="3" t="s">
        <v>291</v>
      </c>
      <c r="J744" s="3" t="s">
        <v>1842</v>
      </c>
      <c r="K744" s="3">
        <v>61874</v>
      </c>
      <c r="L744" s="11">
        <v>1</v>
      </c>
      <c r="M744" s="11">
        <v>1</v>
      </c>
      <c r="N744" s="3" t="s">
        <v>1614</v>
      </c>
      <c r="O744" s="3" t="s">
        <v>1615</v>
      </c>
      <c r="P744" s="3" t="s">
        <v>1616</v>
      </c>
      <c r="Q744" s="11">
        <v>249722</v>
      </c>
      <c r="R744" s="11">
        <v>300111115</v>
      </c>
      <c r="S744" s="3" t="s">
        <v>1057</v>
      </c>
      <c r="T744" s="4" t="s">
        <v>295</v>
      </c>
      <c r="U744" s="11">
        <f>World_Cup_Matches[[#This Row],[Home Team Goals]]+World_Cup_Matches[[#This Row],[Away Team Goals]]</f>
        <v>4</v>
      </c>
      <c r="V744" s="11">
        <f>World_Cup_Matches[[#This Row],[Home Team Goals]]-World_Cup_Matches[[#This Row],[Away Team Goals]]</f>
        <v>0</v>
      </c>
      <c r="W744" s="4" t="str">
        <f>IF(World_Cup_Matches[[#This Row],[Home Team Goals]]&gt;World_Cup_Matches[[#This Row],[Away Team Goals]],World_Cup_Matches[[#This Row],[Home Team Name]],IF(World_Cup_Matches[[#This Row],[Away Team Goals]]&gt;World_Cup_Matches[[#This Row],[Home Team Goals]], World_Cup_Matches[[#This Row],[Away Team Name]],"Draw"))</f>
        <v>Draw</v>
      </c>
      <c r="X744" s="4" t="str">
        <f>IF(World_Cup_Matches[[#This Row],[Home Team Goals]]&gt;World_Cup_Matches[[#This Row],[Away Team Goals]],"Hime Win",IF(World_Cup_Matches[[#This Row],[Away Team Goals]]&gt;World_Cup_Matches[[#This Row],[Home Team Goals]],"Away win","Draw"))</f>
        <v>Draw</v>
      </c>
    </row>
    <row r="745" spans="1:24" x14ac:dyDescent="0.2">
      <c r="A745" s="19">
        <v>2010</v>
      </c>
      <c r="B745" s="15" t="s">
        <v>1673</v>
      </c>
      <c r="C745" s="3" t="s">
        <v>607</v>
      </c>
      <c r="D745" s="3" t="s">
        <v>1592</v>
      </c>
      <c r="E745" s="3" t="s">
        <v>1593</v>
      </c>
      <c r="F745" s="3" t="s">
        <v>1051</v>
      </c>
      <c r="G745" s="11">
        <v>0</v>
      </c>
      <c r="H745" s="11">
        <v>2</v>
      </c>
      <c r="I745" s="3" t="s">
        <v>56</v>
      </c>
      <c r="J745" s="3" t="s">
        <v>1842</v>
      </c>
      <c r="K745" s="3">
        <v>38891</v>
      </c>
      <c r="L745" s="11">
        <v>0</v>
      </c>
      <c r="M745" s="11">
        <v>0</v>
      </c>
      <c r="N745" s="3" t="s">
        <v>1567</v>
      </c>
      <c r="O745" s="3" t="s">
        <v>1568</v>
      </c>
      <c r="P745" s="3" t="s">
        <v>1569</v>
      </c>
      <c r="Q745" s="11">
        <v>249722</v>
      </c>
      <c r="R745" s="11">
        <v>300061455</v>
      </c>
      <c r="S745" s="3" t="s">
        <v>1053</v>
      </c>
      <c r="T745" s="4" t="s">
        <v>59</v>
      </c>
      <c r="U745" s="11">
        <f>World_Cup_Matches[[#This Row],[Home Team Goals]]+World_Cup_Matches[[#This Row],[Away Team Goals]]</f>
        <v>2</v>
      </c>
      <c r="V745" s="11">
        <f>World_Cup_Matches[[#This Row],[Home Team Goals]]-World_Cup_Matches[[#This Row],[Away Team Goals]]</f>
        <v>-2</v>
      </c>
      <c r="W745" s="4" t="str">
        <f>IF(World_Cup_Matches[[#This Row],[Home Team Goals]]&gt;World_Cup_Matches[[#This Row],[Away Team Goals]],World_Cup_Matches[[#This Row],[Home Team Name]],IF(World_Cup_Matches[[#This Row],[Away Team Goals]]&gt;World_Cup_Matches[[#This Row],[Home Team Goals]], World_Cup_Matches[[#This Row],[Away Team Name]],"Draw"))</f>
        <v>Argentina</v>
      </c>
      <c r="X745" s="4" t="str">
        <f>IF(World_Cup_Matches[[#This Row],[Home Team Goals]]&gt;World_Cup_Matches[[#This Row],[Away Team Goals]],"Hime Win",IF(World_Cup_Matches[[#This Row],[Away Team Goals]]&gt;World_Cup_Matches[[#This Row],[Home Team Goals]],"Away win","Draw"))</f>
        <v>Away win</v>
      </c>
    </row>
    <row r="746" spans="1:24" x14ac:dyDescent="0.2">
      <c r="A746" s="19">
        <v>2010</v>
      </c>
      <c r="B746" s="15" t="s">
        <v>1674</v>
      </c>
      <c r="C746" s="3" t="s">
        <v>805</v>
      </c>
      <c r="D746" s="3" t="s">
        <v>1577</v>
      </c>
      <c r="E746" s="3" t="s">
        <v>1578</v>
      </c>
      <c r="F746" s="3" t="s">
        <v>1293</v>
      </c>
      <c r="G746" s="11">
        <v>0</v>
      </c>
      <c r="H746" s="11">
        <v>1</v>
      </c>
      <c r="I746" s="3" t="s">
        <v>223</v>
      </c>
      <c r="J746" s="3" t="s">
        <v>1842</v>
      </c>
      <c r="K746" s="3">
        <v>36893</v>
      </c>
      <c r="L746" s="11">
        <v>0</v>
      </c>
      <c r="M746" s="11">
        <v>1</v>
      </c>
      <c r="N746" s="3" t="s">
        <v>1584</v>
      </c>
      <c r="O746" s="3" t="s">
        <v>1454</v>
      </c>
      <c r="P746" s="3" t="s">
        <v>1585</v>
      </c>
      <c r="Q746" s="11">
        <v>249722</v>
      </c>
      <c r="R746" s="11">
        <v>300061462</v>
      </c>
      <c r="S746" s="3" t="s">
        <v>1297</v>
      </c>
      <c r="T746" s="4" t="s">
        <v>227</v>
      </c>
      <c r="U746" s="11">
        <f>World_Cup_Matches[[#This Row],[Home Team Goals]]+World_Cup_Matches[[#This Row],[Away Team Goals]]</f>
        <v>1</v>
      </c>
      <c r="V746" s="11">
        <f>World_Cup_Matches[[#This Row],[Home Team Goals]]-World_Cup_Matches[[#This Row],[Away Team Goals]]</f>
        <v>-1</v>
      </c>
      <c r="W746" s="4" t="str">
        <f>IF(World_Cup_Matches[[#This Row],[Home Team Goals]]&gt;World_Cup_Matches[[#This Row],[Away Team Goals]],World_Cup_Matches[[#This Row],[Home Team Name]],IF(World_Cup_Matches[[#This Row],[Away Team Goals]]&gt;World_Cup_Matches[[#This Row],[Home Team Goals]], World_Cup_Matches[[#This Row],[Away Team Name]],"Draw"))</f>
        <v>England</v>
      </c>
      <c r="X746" s="4" t="str">
        <f>IF(World_Cup_Matches[[#This Row],[Home Team Goals]]&gt;World_Cup_Matches[[#This Row],[Away Team Goals]],"Hime Win",IF(World_Cup_Matches[[#This Row],[Away Team Goals]]&gt;World_Cup_Matches[[#This Row],[Home Team Goals]],"Away win","Draw"))</f>
        <v>Away win</v>
      </c>
    </row>
    <row r="747" spans="1:24" x14ac:dyDescent="0.2">
      <c r="A747" s="19">
        <v>2010</v>
      </c>
      <c r="B747" s="15" t="s">
        <v>1674</v>
      </c>
      <c r="C747" s="3" t="s">
        <v>805</v>
      </c>
      <c r="D747" s="3" t="s">
        <v>1596</v>
      </c>
      <c r="E747" s="3" t="s">
        <v>1597</v>
      </c>
      <c r="F747" s="3" t="s">
        <v>33</v>
      </c>
      <c r="G747" s="11">
        <v>1</v>
      </c>
      <c r="H747" s="11">
        <v>0</v>
      </c>
      <c r="I747" s="3" t="s">
        <v>718</v>
      </c>
      <c r="J747" s="3" t="s">
        <v>1842</v>
      </c>
      <c r="K747" s="3">
        <v>35827</v>
      </c>
      <c r="L747" s="11">
        <v>0</v>
      </c>
      <c r="M747" s="11">
        <v>0</v>
      </c>
      <c r="N747" s="3" t="s">
        <v>1445</v>
      </c>
      <c r="O747" s="3" t="s">
        <v>1446</v>
      </c>
      <c r="P747" s="3" t="s">
        <v>1447</v>
      </c>
      <c r="Q747" s="11">
        <v>249722</v>
      </c>
      <c r="R747" s="11">
        <v>300061461</v>
      </c>
      <c r="S747" s="3" t="s">
        <v>33</v>
      </c>
      <c r="T747" s="4" t="s">
        <v>722</v>
      </c>
      <c r="U747" s="11">
        <f>World_Cup_Matches[[#This Row],[Home Team Goals]]+World_Cup_Matches[[#This Row],[Away Team Goals]]</f>
        <v>1</v>
      </c>
      <c r="V747" s="11">
        <f>World_Cup_Matches[[#This Row],[Home Team Goals]]-World_Cup_Matches[[#This Row],[Away Team Goals]]</f>
        <v>1</v>
      </c>
      <c r="W747" s="4" t="str">
        <f>IF(World_Cup_Matches[[#This Row],[Home Team Goals]]&gt;World_Cup_Matches[[#This Row],[Away Team Goals]],World_Cup_Matches[[#This Row],[Home Team Name]],IF(World_Cup_Matches[[#This Row],[Away Team Goals]]&gt;World_Cup_Matches[[#This Row],[Home Team Goals]], World_Cup_Matches[[#This Row],[Away Team Name]],"Draw"))</f>
        <v>USA</v>
      </c>
      <c r="X747" s="4" t="str">
        <f>IF(World_Cup_Matches[[#This Row],[Home Team Goals]]&gt;World_Cup_Matches[[#This Row],[Away Team Goals]],"Hime Win",IF(World_Cup_Matches[[#This Row],[Away Team Goals]]&gt;World_Cup_Matches[[#This Row],[Home Team Goals]],"Away win","Draw"))</f>
        <v>Hime Win</v>
      </c>
    </row>
    <row r="748" spans="1:24" x14ac:dyDescent="0.2">
      <c r="A748" s="19">
        <v>2010</v>
      </c>
      <c r="B748" s="15" t="s">
        <v>1675</v>
      </c>
      <c r="C748" s="3" t="s">
        <v>811</v>
      </c>
      <c r="D748" s="3" t="s">
        <v>1565</v>
      </c>
      <c r="E748" s="3" t="s">
        <v>1566</v>
      </c>
      <c r="F748" s="3" t="s">
        <v>1483</v>
      </c>
      <c r="G748" s="11">
        <v>0</v>
      </c>
      <c r="H748" s="11">
        <v>1</v>
      </c>
      <c r="I748" s="3" t="s">
        <v>124</v>
      </c>
      <c r="J748" s="3" t="s">
        <v>1842</v>
      </c>
      <c r="K748" s="3">
        <v>83391</v>
      </c>
      <c r="L748" s="11">
        <v>0</v>
      </c>
      <c r="M748" s="11">
        <v>0</v>
      </c>
      <c r="N748" s="3" t="s">
        <v>1288</v>
      </c>
      <c r="O748" s="3" t="s">
        <v>1589</v>
      </c>
      <c r="P748" s="3" t="s">
        <v>1590</v>
      </c>
      <c r="Q748" s="11">
        <v>249722</v>
      </c>
      <c r="R748" s="11">
        <v>300061468</v>
      </c>
      <c r="S748" s="3" t="s">
        <v>1486</v>
      </c>
      <c r="T748" s="4" t="s">
        <v>128</v>
      </c>
      <c r="U748" s="11">
        <f>World_Cup_Matches[[#This Row],[Home Team Goals]]+World_Cup_Matches[[#This Row],[Away Team Goals]]</f>
        <v>1</v>
      </c>
      <c r="V748" s="11">
        <f>World_Cup_Matches[[#This Row],[Home Team Goals]]-World_Cup_Matches[[#This Row],[Away Team Goals]]</f>
        <v>-1</v>
      </c>
      <c r="W748" s="4" t="str">
        <f>IF(World_Cup_Matches[[#This Row],[Home Team Goals]]&gt;World_Cup_Matches[[#This Row],[Away Team Goals]],World_Cup_Matches[[#This Row],[Home Team Name]],IF(World_Cup_Matches[[#This Row],[Away Team Goals]]&gt;World_Cup_Matches[[#This Row],[Home Team Goals]], World_Cup_Matches[[#This Row],[Away Team Name]],"Draw"))</f>
        <v>Germany</v>
      </c>
      <c r="X748" s="4" t="str">
        <f>IF(World_Cup_Matches[[#This Row],[Home Team Goals]]&gt;World_Cup_Matches[[#This Row],[Away Team Goals]],"Hime Win",IF(World_Cup_Matches[[#This Row],[Away Team Goals]]&gt;World_Cup_Matches[[#This Row],[Home Team Goals]],"Away win","Draw"))</f>
        <v>Away win</v>
      </c>
    </row>
    <row r="749" spans="1:24" x14ac:dyDescent="0.2">
      <c r="A749" s="19">
        <v>2010</v>
      </c>
      <c r="B749" s="15" t="s">
        <v>1675</v>
      </c>
      <c r="C749" s="3" t="s">
        <v>811</v>
      </c>
      <c r="D749" s="3" t="s">
        <v>1631</v>
      </c>
      <c r="E749" s="3" t="s">
        <v>1632</v>
      </c>
      <c r="F749" s="3" t="s">
        <v>556</v>
      </c>
      <c r="G749" s="11">
        <v>2</v>
      </c>
      <c r="H749" s="11">
        <v>1</v>
      </c>
      <c r="I749" s="3" t="s">
        <v>1598</v>
      </c>
      <c r="J749" s="3" t="s">
        <v>1842</v>
      </c>
      <c r="K749" s="3">
        <v>37836</v>
      </c>
      <c r="L749" s="11">
        <v>0</v>
      </c>
      <c r="M749" s="11">
        <v>0</v>
      </c>
      <c r="N749" s="3" t="s">
        <v>1466</v>
      </c>
      <c r="O749" s="3" t="s">
        <v>1468</v>
      </c>
      <c r="P749" s="3" t="s">
        <v>1625</v>
      </c>
      <c r="Q749" s="11">
        <v>249722</v>
      </c>
      <c r="R749" s="11">
        <v>300061467</v>
      </c>
      <c r="S749" s="3" t="s">
        <v>561</v>
      </c>
      <c r="T749" s="4" t="s">
        <v>1602</v>
      </c>
      <c r="U749" s="11">
        <f>World_Cup_Matches[[#This Row],[Home Team Goals]]+World_Cup_Matches[[#This Row],[Away Team Goals]]</f>
        <v>3</v>
      </c>
      <c r="V749" s="11">
        <f>World_Cup_Matches[[#This Row],[Home Team Goals]]-World_Cup_Matches[[#This Row],[Away Team Goals]]</f>
        <v>1</v>
      </c>
      <c r="W749" s="4" t="str">
        <f>IF(World_Cup_Matches[[#This Row],[Home Team Goals]]&gt;World_Cup_Matches[[#This Row],[Away Team Goals]],World_Cup_Matches[[#This Row],[Home Team Name]],IF(World_Cup_Matches[[#This Row],[Away Team Goals]]&gt;World_Cup_Matches[[#This Row],[Home Team Goals]], World_Cup_Matches[[#This Row],[Away Team Name]],"Draw"))</f>
        <v>Australia</v>
      </c>
      <c r="X749" s="4" t="str">
        <f>IF(World_Cup_Matches[[#This Row],[Home Team Goals]]&gt;World_Cup_Matches[[#This Row],[Away Team Goals]],"Hime Win",IF(World_Cup_Matches[[#This Row],[Away Team Goals]]&gt;World_Cup_Matches[[#This Row],[Home Team Goals]],"Away win","Draw"))</f>
        <v>Hime Win</v>
      </c>
    </row>
    <row r="750" spans="1:24" x14ac:dyDescent="0.2">
      <c r="A750" s="19">
        <v>2010</v>
      </c>
      <c r="B750" s="15" t="s">
        <v>1676</v>
      </c>
      <c r="C750" s="3" t="s">
        <v>824</v>
      </c>
      <c r="D750" s="3" t="s">
        <v>1583</v>
      </c>
      <c r="E750" s="3" t="s">
        <v>1566</v>
      </c>
      <c r="F750" s="3" t="s">
        <v>1620</v>
      </c>
      <c r="G750" s="11">
        <v>3</v>
      </c>
      <c r="H750" s="11">
        <v>2</v>
      </c>
      <c r="I750" s="3" t="s">
        <v>138</v>
      </c>
      <c r="J750" s="3" t="s">
        <v>1842</v>
      </c>
      <c r="K750" s="3">
        <v>53412</v>
      </c>
      <c r="L750" s="11">
        <v>1</v>
      </c>
      <c r="M750" s="11">
        <v>0</v>
      </c>
      <c r="N750" s="3" t="s">
        <v>1637</v>
      </c>
      <c r="O750" s="3" t="s">
        <v>1638</v>
      </c>
      <c r="P750" s="3" t="s">
        <v>1639</v>
      </c>
      <c r="Q750" s="11">
        <v>249722</v>
      </c>
      <c r="R750" s="11">
        <v>300061480</v>
      </c>
      <c r="S750" s="3" t="s">
        <v>1623</v>
      </c>
      <c r="T750" s="4" t="s">
        <v>142</v>
      </c>
      <c r="U750" s="11">
        <f>World_Cup_Matches[[#This Row],[Home Team Goals]]+World_Cup_Matches[[#This Row],[Away Team Goals]]</f>
        <v>5</v>
      </c>
      <c r="V750" s="11">
        <f>World_Cup_Matches[[#This Row],[Home Team Goals]]-World_Cup_Matches[[#This Row],[Away Team Goals]]</f>
        <v>1</v>
      </c>
      <c r="W750" s="4" t="str">
        <f>IF(World_Cup_Matches[[#This Row],[Home Team Goals]]&gt;World_Cup_Matches[[#This Row],[Away Team Goals]],World_Cup_Matches[[#This Row],[Home Team Name]],IF(World_Cup_Matches[[#This Row],[Away Team Goals]]&gt;World_Cup_Matches[[#This Row],[Home Team Goals]], World_Cup_Matches[[#This Row],[Away Team Name]],"Draw"))</f>
        <v>Slovakia</v>
      </c>
      <c r="X750" s="4" t="str">
        <f>IF(World_Cup_Matches[[#This Row],[Home Team Goals]]&gt;World_Cup_Matches[[#This Row],[Away Team Goals]],"Hime Win",IF(World_Cup_Matches[[#This Row],[Away Team Goals]]&gt;World_Cup_Matches[[#This Row],[Home Team Goals]],"Away win","Draw"))</f>
        <v>Hime Win</v>
      </c>
    </row>
    <row r="751" spans="1:24" x14ac:dyDescent="0.2">
      <c r="A751" s="19">
        <v>2010</v>
      </c>
      <c r="B751" s="15" t="s">
        <v>1676</v>
      </c>
      <c r="C751" s="3" t="s">
        <v>824</v>
      </c>
      <c r="D751" s="3" t="s">
        <v>1592</v>
      </c>
      <c r="E751" s="3" t="s">
        <v>1593</v>
      </c>
      <c r="F751" s="3" t="s">
        <v>68</v>
      </c>
      <c r="G751" s="11">
        <v>0</v>
      </c>
      <c r="H751" s="11">
        <v>0</v>
      </c>
      <c r="I751" s="3" t="s">
        <v>710</v>
      </c>
      <c r="J751" s="3" t="s">
        <v>1842</v>
      </c>
      <c r="K751" s="3">
        <v>34850</v>
      </c>
      <c r="L751" s="11">
        <v>0</v>
      </c>
      <c r="M751" s="11">
        <v>0</v>
      </c>
      <c r="N751" s="3" t="s">
        <v>1573</v>
      </c>
      <c r="O751" s="3" t="s">
        <v>1574</v>
      </c>
      <c r="P751" s="3" t="s">
        <v>1575</v>
      </c>
      <c r="Q751" s="11">
        <v>249722</v>
      </c>
      <c r="R751" s="11">
        <v>300061479</v>
      </c>
      <c r="S751" s="3" t="s">
        <v>69</v>
      </c>
      <c r="T751" s="4" t="s">
        <v>714</v>
      </c>
      <c r="U751" s="11">
        <f>World_Cup_Matches[[#This Row],[Home Team Goals]]+World_Cup_Matches[[#This Row],[Away Team Goals]]</f>
        <v>0</v>
      </c>
      <c r="V751" s="11">
        <f>World_Cup_Matches[[#This Row],[Home Team Goals]]-World_Cup_Matches[[#This Row],[Away Team Goals]]</f>
        <v>0</v>
      </c>
      <c r="W751" s="4" t="str">
        <f>IF(World_Cup_Matches[[#This Row],[Home Team Goals]]&gt;World_Cup_Matches[[#This Row],[Away Team Goals]],World_Cup_Matches[[#This Row],[Home Team Name]],IF(World_Cup_Matches[[#This Row],[Away Team Goals]]&gt;World_Cup_Matches[[#This Row],[Home Team Goals]], World_Cup_Matches[[#This Row],[Away Team Name]],"Draw"))</f>
        <v>Draw</v>
      </c>
      <c r="X751" s="4" t="str">
        <f>IF(World_Cup_Matches[[#This Row],[Home Team Goals]]&gt;World_Cup_Matches[[#This Row],[Away Team Goals]],"Hime Win",IF(World_Cup_Matches[[#This Row],[Away Team Goals]]&gt;World_Cup_Matches[[#This Row],[Home Team Goals]],"Away win","Draw"))</f>
        <v>Draw</v>
      </c>
    </row>
    <row r="752" spans="1:24" x14ac:dyDescent="0.2">
      <c r="A752" s="19">
        <v>2010</v>
      </c>
      <c r="B752" s="15" t="s">
        <v>1677</v>
      </c>
      <c r="C752" s="3" t="s">
        <v>846</v>
      </c>
      <c r="D752" s="3" t="s">
        <v>1587</v>
      </c>
      <c r="E752" s="3" t="s">
        <v>1588</v>
      </c>
      <c r="F752" s="3" t="s">
        <v>849</v>
      </c>
      <c r="G752" s="11">
        <v>1</v>
      </c>
      <c r="H752" s="11">
        <v>3</v>
      </c>
      <c r="I752" s="3" t="s">
        <v>1161</v>
      </c>
      <c r="J752" s="3" t="s">
        <v>1842</v>
      </c>
      <c r="K752" s="3">
        <v>27967</v>
      </c>
      <c r="L752" s="11">
        <v>0</v>
      </c>
      <c r="M752" s="11">
        <v>2</v>
      </c>
      <c r="N752" s="3" t="s">
        <v>1621</v>
      </c>
      <c r="O752" s="3" t="s">
        <v>1513</v>
      </c>
      <c r="P752" s="3" t="s">
        <v>1622</v>
      </c>
      <c r="Q752" s="11">
        <v>249722</v>
      </c>
      <c r="R752" s="11">
        <v>300061474</v>
      </c>
      <c r="S752" s="3" t="s">
        <v>853</v>
      </c>
      <c r="T752" s="4" t="s">
        <v>1164</v>
      </c>
      <c r="U752" s="11">
        <f>World_Cup_Matches[[#This Row],[Home Team Goals]]+World_Cup_Matches[[#This Row],[Away Team Goals]]</f>
        <v>4</v>
      </c>
      <c r="V752" s="11">
        <f>World_Cup_Matches[[#This Row],[Home Team Goals]]-World_Cup_Matches[[#This Row],[Away Team Goals]]</f>
        <v>-2</v>
      </c>
      <c r="W752" s="4" t="str">
        <f>IF(World_Cup_Matches[[#This Row],[Home Team Goals]]&gt;World_Cup_Matches[[#This Row],[Away Team Goals]],World_Cup_Matches[[#This Row],[Home Team Name]],IF(World_Cup_Matches[[#This Row],[Away Team Goals]]&gt;World_Cup_Matches[[#This Row],[Home Team Goals]], World_Cup_Matches[[#This Row],[Away Team Name]],"Draw"))</f>
        <v>Japan</v>
      </c>
      <c r="X752" s="4" t="str">
        <f>IF(World_Cup_Matches[[#This Row],[Home Team Goals]]&gt;World_Cup_Matches[[#This Row],[Away Team Goals]],"Hime Win",IF(World_Cup_Matches[[#This Row],[Away Team Goals]]&gt;World_Cup_Matches[[#This Row],[Home Team Goals]],"Away win","Draw"))</f>
        <v>Away win</v>
      </c>
    </row>
    <row r="753" spans="1:24" x14ac:dyDescent="0.2">
      <c r="A753" s="19">
        <v>2010</v>
      </c>
      <c r="B753" s="15" t="s">
        <v>1677</v>
      </c>
      <c r="C753" s="3" t="s">
        <v>846</v>
      </c>
      <c r="D753" s="3" t="s">
        <v>1571</v>
      </c>
      <c r="E753" s="3" t="s">
        <v>1572</v>
      </c>
      <c r="F753" s="3" t="s">
        <v>700</v>
      </c>
      <c r="G753" s="11">
        <v>1</v>
      </c>
      <c r="H753" s="11">
        <v>2</v>
      </c>
      <c r="I753" s="3" t="s">
        <v>109</v>
      </c>
      <c r="J753" s="3" t="s">
        <v>1842</v>
      </c>
      <c r="K753" s="3">
        <v>63093</v>
      </c>
      <c r="L753" s="11">
        <v>0</v>
      </c>
      <c r="M753" s="11">
        <v>1</v>
      </c>
      <c r="N753" s="3" t="s">
        <v>1667</v>
      </c>
      <c r="O753" s="3" t="s">
        <v>1668</v>
      </c>
      <c r="P753" s="3" t="s">
        <v>1669</v>
      </c>
      <c r="Q753" s="11">
        <v>249722</v>
      </c>
      <c r="R753" s="11">
        <v>300061473</v>
      </c>
      <c r="S753" s="3" t="s">
        <v>702</v>
      </c>
      <c r="T753" s="4" t="s">
        <v>114</v>
      </c>
      <c r="U753" s="11">
        <f>World_Cup_Matches[[#This Row],[Home Team Goals]]+World_Cup_Matches[[#This Row],[Away Team Goals]]</f>
        <v>3</v>
      </c>
      <c r="V753" s="11">
        <f>World_Cup_Matches[[#This Row],[Home Team Goals]]-World_Cup_Matches[[#This Row],[Away Team Goals]]</f>
        <v>-1</v>
      </c>
      <c r="W753" s="4" t="str">
        <f>IF(World_Cup_Matches[[#This Row],[Home Team Goals]]&gt;World_Cup_Matches[[#This Row],[Away Team Goals]],World_Cup_Matches[[#This Row],[Home Team Name]],IF(World_Cup_Matches[[#This Row],[Away Team Goals]]&gt;World_Cup_Matches[[#This Row],[Home Team Goals]], World_Cup_Matches[[#This Row],[Away Team Name]],"Draw"))</f>
        <v>Netherlands</v>
      </c>
      <c r="X753" s="4" t="str">
        <f>IF(World_Cup_Matches[[#This Row],[Home Team Goals]]&gt;World_Cup_Matches[[#This Row],[Away Team Goals]],"Hime Win",IF(World_Cup_Matches[[#This Row],[Away Team Goals]]&gt;World_Cup_Matches[[#This Row],[Home Team Goals]],"Away win","Draw"))</f>
        <v>Away win</v>
      </c>
    </row>
    <row r="754" spans="1:24" x14ac:dyDescent="0.2">
      <c r="A754" s="19">
        <v>2010</v>
      </c>
      <c r="B754" s="15" t="s">
        <v>1678</v>
      </c>
      <c r="C754" s="3" t="s">
        <v>1179</v>
      </c>
      <c r="D754" s="3" t="s">
        <v>1604</v>
      </c>
      <c r="E754" s="3" t="s">
        <v>1605</v>
      </c>
      <c r="F754" s="3" t="s">
        <v>458</v>
      </c>
      <c r="G754" s="11">
        <v>0</v>
      </c>
      <c r="H754" s="11">
        <v>0</v>
      </c>
      <c r="I754" s="3" t="s">
        <v>42</v>
      </c>
      <c r="J754" s="3" t="s">
        <v>1842</v>
      </c>
      <c r="K754" s="3">
        <v>62712</v>
      </c>
      <c r="L754" s="11">
        <v>0</v>
      </c>
      <c r="M754" s="11">
        <v>0</v>
      </c>
      <c r="N754" s="3" t="s">
        <v>1497</v>
      </c>
      <c r="O754" s="3" t="s">
        <v>1305</v>
      </c>
      <c r="P754" s="3" t="s">
        <v>1618</v>
      </c>
      <c r="Q754" s="11">
        <v>249722</v>
      </c>
      <c r="R754" s="11">
        <v>300111111</v>
      </c>
      <c r="S754" s="3" t="s">
        <v>462</v>
      </c>
      <c r="T754" s="4" t="s">
        <v>47</v>
      </c>
      <c r="U754" s="11">
        <f>World_Cup_Matches[[#This Row],[Home Team Goals]]+World_Cup_Matches[[#This Row],[Away Team Goals]]</f>
        <v>0</v>
      </c>
      <c r="V754" s="11">
        <f>World_Cup_Matches[[#This Row],[Home Team Goals]]-World_Cup_Matches[[#This Row],[Away Team Goals]]</f>
        <v>0</v>
      </c>
      <c r="W754" s="4" t="str">
        <f>IF(World_Cup_Matches[[#This Row],[Home Team Goals]]&gt;World_Cup_Matches[[#This Row],[Away Team Goals]],World_Cup_Matches[[#This Row],[Home Team Name]],IF(World_Cup_Matches[[#This Row],[Away Team Goals]]&gt;World_Cup_Matches[[#This Row],[Home Team Goals]], World_Cup_Matches[[#This Row],[Away Team Name]],"Draw"))</f>
        <v>Draw</v>
      </c>
      <c r="X754" s="4" t="str">
        <f>IF(World_Cup_Matches[[#This Row],[Home Team Goals]]&gt;World_Cup_Matches[[#This Row],[Away Team Goals]],"Hime Win",IF(World_Cup_Matches[[#This Row],[Away Team Goals]]&gt;World_Cup_Matches[[#This Row],[Home Team Goals]],"Away win","Draw"))</f>
        <v>Draw</v>
      </c>
    </row>
    <row r="755" spans="1:24" x14ac:dyDescent="0.2">
      <c r="A755" s="19">
        <v>2010</v>
      </c>
      <c r="B755" s="15" t="s">
        <v>1678</v>
      </c>
      <c r="C755" s="3" t="s">
        <v>1179</v>
      </c>
      <c r="D755" s="3" t="s">
        <v>1631</v>
      </c>
      <c r="E755" s="3" t="s">
        <v>1632</v>
      </c>
      <c r="F755" s="3" t="s">
        <v>451</v>
      </c>
      <c r="G755" s="11">
        <v>0</v>
      </c>
      <c r="H755" s="11">
        <v>3</v>
      </c>
      <c r="I755" s="3" t="s">
        <v>1444</v>
      </c>
      <c r="J755" s="3" t="s">
        <v>1842</v>
      </c>
      <c r="K755" s="3">
        <v>34763</v>
      </c>
      <c r="L755" s="11">
        <v>0</v>
      </c>
      <c r="M755" s="11">
        <v>2</v>
      </c>
      <c r="N755" s="3" t="s">
        <v>1650</v>
      </c>
      <c r="O755" s="3" t="s">
        <v>1651</v>
      </c>
      <c r="P755" s="3" t="s">
        <v>1652</v>
      </c>
      <c r="Q755" s="11">
        <v>249722</v>
      </c>
      <c r="R755" s="11">
        <v>300061486</v>
      </c>
      <c r="S755" s="3" t="s">
        <v>453</v>
      </c>
      <c r="T755" s="4" t="s">
        <v>1448</v>
      </c>
      <c r="U755" s="11">
        <f>World_Cup_Matches[[#This Row],[Home Team Goals]]+World_Cup_Matches[[#This Row],[Away Team Goals]]</f>
        <v>3</v>
      </c>
      <c r="V755" s="11">
        <f>World_Cup_Matches[[#This Row],[Home Team Goals]]-World_Cup_Matches[[#This Row],[Away Team Goals]]</f>
        <v>-3</v>
      </c>
      <c r="W755" s="4" t="str">
        <f>IF(World_Cup_Matches[[#This Row],[Home Team Goals]]&gt;World_Cup_Matches[[#This Row],[Away Team Goals]],World_Cup_Matches[[#This Row],[Home Team Name]],IF(World_Cup_Matches[[#This Row],[Away Team Goals]]&gt;World_Cup_Matches[[#This Row],[Home Team Goals]], World_Cup_Matches[[#This Row],[Away Team Name]],"Draw"))</f>
        <v>Cï¿½te d'Ivoire</v>
      </c>
      <c r="X755" s="4" t="str">
        <f>IF(World_Cup_Matches[[#This Row],[Home Team Goals]]&gt;World_Cup_Matches[[#This Row],[Away Team Goals]],"Hime Win",IF(World_Cup_Matches[[#This Row],[Away Team Goals]]&gt;World_Cup_Matches[[#This Row],[Home Team Goals]],"Away win","Draw"))</f>
        <v>Away win</v>
      </c>
    </row>
    <row r="756" spans="1:24" x14ac:dyDescent="0.2">
      <c r="A756" s="19">
        <v>2010</v>
      </c>
      <c r="B756" s="15" t="s">
        <v>1679</v>
      </c>
      <c r="C756" s="3" t="s">
        <v>1160</v>
      </c>
      <c r="D756" s="3" t="s">
        <v>1596</v>
      </c>
      <c r="E756" s="3" t="s">
        <v>1597</v>
      </c>
      <c r="F756" s="3" t="s">
        <v>61</v>
      </c>
      <c r="G756" s="11">
        <v>1</v>
      </c>
      <c r="H756" s="11">
        <v>2</v>
      </c>
      <c r="I756" s="3" t="s">
        <v>131</v>
      </c>
      <c r="J756" s="3" t="s">
        <v>1842</v>
      </c>
      <c r="K756" s="3">
        <v>41958</v>
      </c>
      <c r="L756" s="11">
        <v>0</v>
      </c>
      <c r="M756" s="11">
        <v>2</v>
      </c>
      <c r="N756" s="3" t="s">
        <v>1432</v>
      </c>
      <c r="O756" s="3" t="s">
        <v>1433</v>
      </c>
      <c r="P756" s="3" t="s">
        <v>1606</v>
      </c>
      <c r="Q756" s="11">
        <v>249722</v>
      </c>
      <c r="R756" s="11">
        <v>300061491</v>
      </c>
      <c r="S756" s="3" t="s">
        <v>63</v>
      </c>
      <c r="T756" s="4" t="s">
        <v>135</v>
      </c>
      <c r="U756" s="11">
        <f>World_Cup_Matches[[#This Row],[Home Team Goals]]+World_Cup_Matches[[#This Row],[Away Team Goals]]</f>
        <v>3</v>
      </c>
      <c r="V756" s="11">
        <f>World_Cup_Matches[[#This Row],[Home Team Goals]]-World_Cup_Matches[[#This Row],[Away Team Goals]]</f>
        <v>-1</v>
      </c>
      <c r="W756" s="4" t="str">
        <f>IF(World_Cup_Matches[[#This Row],[Home Team Goals]]&gt;World_Cup_Matches[[#This Row],[Away Team Goals]],World_Cup_Matches[[#This Row],[Home Team Name]],IF(World_Cup_Matches[[#This Row],[Away Team Goals]]&gt;World_Cup_Matches[[#This Row],[Home Team Goals]], World_Cup_Matches[[#This Row],[Away Team Name]],"Draw"))</f>
        <v>Spain</v>
      </c>
      <c r="X756" s="4" t="str">
        <f>IF(World_Cup_Matches[[#This Row],[Home Team Goals]]&gt;World_Cup_Matches[[#This Row],[Away Team Goals]],"Hime Win",IF(World_Cup_Matches[[#This Row],[Away Team Goals]]&gt;World_Cup_Matches[[#This Row],[Home Team Goals]],"Away win","Draw"))</f>
        <v>Away win</v>
      </c>
    </row>
    <row r="757" spans="1:24" x14ac:dyDescent="0.2">
      <c r="A757" s="19">
        <v>2010</v>
      </c>
      <c r="B757" s="15" t="s">
        <v>1679</v>
      </c>
      <c r="C757" s="3" t="s">
        <v>1160</v>
      </c>
      <c r="D757" s="3" t="s">
        <v>1612</v>
      </c>
      <c r="E757" s="3" t="s">
        <v>1613</v>
      </c>
      <c r="F757" s="3" t="s">
        <v>108</v>
      </c>
      <c r="G757" s="11">
        <v>0</v>
      </c>
      <c r="H757" s="11">
        <v>0</v>
      </c>
      <c r="I757" s="3" t="s">
        <v>730</v>
      </c>
      <c r="J757" s="3" t="s">
        <v>1842</v>
      </c>
      <c r="K757" s="3">
        <v>28042</v>
      </c>
      <c r="L757" s="11">
        <v>0</v>
      </c>
      <c r="M757" s="11">
        <v>0</v>
      </c>
      <c r="N757" s="3" t="s">
        <v>1599</v>
      </c>
      <c r="O757" s="3" t="s">
        <v>1600</v>
      </c>
      <c r="P757" s="3" t="s">
        <v>1601</v>
      </c>
      <c r="Q757" s="11">
        <v>249722</v>
      </c>
      <c r="R757" s="11">
        <v>300061492</v>
      </c>
      <c r="S757" s="3" t="s">
        <v>113</v>
      </c>
      <c r="T757" s="4" t="s">
        <v>733</v>
      </c>
      <c r="U757" s="11">
        <f>World_Cup_Matches[[#This Row],[Home Team Goals]]+World_Cup_Matches[[#This Row],[Away Team Goals]]</f>
        <v>0</v>
      </c>
      <c r="V757" s="11">
        <f>World_Cup_Matches[[#This Row],[Home Team Goals]]-World_Cup_Matches[[#This Row],[Away Team Goals]]</f>
        <v>0</v>
      </c>
      <c r="W757" s="4" t="str">
        <f>IF(World_Cup_Matches[[#This Row],[Home Team Goals]]&gt;World_Cup_Matches[[#This Row],[Away Team Goals]],World_Cup_Matches[[#This Row],[Home Team Name]],IF(World_Cup_Matches[[#This Row],[Away Team Goals]]&gt;World_Cup_Matches[[#This Row],[Home Team Goals]], World_Cup_Matches[[#This Row],[Away Team Name]],"Draw"))</f>
        <v>Draw</v>
      </c>
      <c r="X757" s="4" t="str">
        <f>IF(World_Cup_Matches[[#This Row],[Home Team Goals]]&gt;World_Cup_Matches[[#This Row],[Away Team Goals]],"Hime Win",IF(World_Cup_Matches[[#This Row],[Away Team Goals]]&gt;World_Cup_Matches[[#This Row],[Home Team Goals]],"Away win","Draw"))</f>
        <v>Draw</v>
      </c>
    </row>
    <row r="758" spans="1:24" x14ac:dyDescent="0.2">
      <c r="A758" s="19">
        <v>2010</v>
      </c>
      <c r="B758" s="15" t="s">
        <v>1680</v>
      </c>
      <c r="C758" s="3" t="s">
        <v>878</v>
      </c>
      <c r="D758" s="3" t="s">
        <v>1577</v>
      </c>
      <c r="E758" s="3" t="s">
        <v>1578</v>
      </c>
      <c r="F758" s="3" t="s">
        <v>72</v>
      </c>
      <c r="G758" s="11">
        <v>2</v>
      </c>
      <c r="H758" s="11">
        <v>1</v>
      </c>
      <c r="I758" s="3" t="s">
        <v>291</v>
      </c>
      <c r="J758" s="3" t="s">
        <v>1842</v>
      </c>
      <c r="K758" s="3">
        <v>30597</v>
      </c>
      <c r="L758" s="11">
        <v>1</v>
      </c>
      <c r="M758" s="11">
        <v>0</v>
      </c>
      <c r="N758" s="3" t="s">
        <v>1584</v>
      </c>
      <c r="O758" s="3" t="s">
        <v>1454</v>
      </c>
      <c r="P758" s="3" t="s">
        <v>1585</v>
      </c>
      <c r="Q758" s="11">
        <v>249717</v>
      </c>
      <c r="R758" s="11">
        <v>300061504</v>
      </c>
      <c r="S758" s="3" t="s">
        <v>73</v>
      </c>
      <c r="T758" s="4" t="s">
        <v>295</v>
      </c>
      <c r="U758" s="11">
        <f>World_Cup_Matches[[#This Row],[Home Team Goals]]+World_Cup_Matches[[#This Row],[Away Team Goals]]</f>
        <v>3</v>
      </c>
      <c r="V758" s="11">
        <f>World_Cup_Matches[[#This Row],[Home Team Goals]]-World_Cup_Matches[[#This Row],[Away Team Goals]]</f>
        <v>1</v>
      </c>
      <c r="W758" s="4" t="str">
        <f>IF(World_Cup_Matches[[#This Row],[Home Team Goals]]&gt;World_Cup_Matches[[#This Row],[Away Team Goals]],World_Cup_Matches[[#This Row],[Home Team Name]],IF(World_Cup_Matches[[#This Row],[Away Team Goals]]&gt;World_Cup_Matches[[#This Row],[Home Team Goals]], World_Cup_Matches[[#This Row],[Away Team Name]],"Draw"))</f>
        <v>Uruguay</v>
      </c>
      <c r="X758" s="4" t="str">
        <f>IF(World_Cup_Matches[[#This Row],[Home Team Goals]]&gt;World_Cup_Matches[[#This Row],[Away Team Goals]],"Hime Win",IF(World_Cup_Matches[[#This Row],[Away Team Goals]]&gt;World_Cup_Matches[[#This Row],[Home Team Goals]],"Away win","Draw"))</f>
        <v>Hime Win</v>
      </c>
    </row>
    <row r="759" spans="1:24" x14ac:dyDescent="0.2">
      <c r="A759" s="19">
        <v>2010</v>
      </c>
      <c r="B759" s="15" t="s">
        <v>1681</v>
      </c>
      <c r="C759" s="3" t="s">
        <v>878</v>
      </c>
      <c r="D759" s="3" t="s">
        <v>1587</v>
      </c>
      <c r="E759" s="3" t="s">
        <v>1588</v>
      </c>
      <c r="F759" s="3" t="s">
        <v>33</v>
      </c>
      <c r="G759" s="11">
        <v>1</v>
      </c>
      <c r="H759" s="11">
        <v>2</v>
      </c>
      <c r="I759" s="3" t="s">
        <v>1483</v>
      </c>
      <c r="J759" s="3" t="s">
        <v>1682</v>
      </c>
      <c r="K759" s="3">
        <v>34976</v>
      </c>
      <c r="L759" s="11">
        <v>0</v>
      </c>
      <c r="M759" s="11">
        <v>0</v>
      </c>
      <c r="N759" s="3" t="s">
        <v>1627</v>
      </c>
      <c r="O759" s="3" t="s">
        <v>1628</v>
      </c>
      <c r="P759" s="3" t="s">
        <v>1629</v>
      </c>
      <c r="Q759" s="11">
        <v>249717</v>
      </c>
      <c r="R759" s="11">
        <v>300061503</v>
      </c>
      <c r="S759" s="3" t="s">
        <v>33</v>
      </c>
      <c r="T759" s="4" t="s">
        <v>1486</v>
      </c>
      <c r="U759" s="11">
        <f>World_Cup_Matches[[#This Row],[Home Team Goals]]+World_Cup_Matches[[#This Row],[Away Team Goals]]</f>
        <v>3</v>
      </c>
      <c r="V759" s="11">
        <f>World_Cup_Matches[[#This Row],[Home Team Goals]]-World_Cup_Matches[[#This Row],[Away Team Goals]]</f>
        <v>-1</v>
      </c>
      <c r="W759" s="4" t="str">
        <f>IF(World_Cup_Matches[[#This Row],[Home Team Goals]]&gt;World_Cup_Matches[[#This Row],[Away Team Goals]],World_Cup_Matches[[#This Row],[Home Team Name]],IF(World_Cup_Matches[[#This Row],[Away Team Goals]]&gt;World_Cup_Matches[[#This Row],[Home Team Goals]], World_Cup_Matches[[#This Row],[Away Team Name]],"Draw"))</f>
        <v>Ghana</v>
      </c>
      <c r="X759" s="4" t="str">
        <f>IF(World_Cup_Matches[[#This Row],[Home Team Goals]]&gt;World_Cup_Matches[[#This Row],[Away Team Goals]],"Hime Win",IF(World_Cup_Matches[[#This Row],[Away Team Goals]]&gt;World_Cup_Matches[[#This Row],[Home Team Goals]],"Away win","Draw"))</f>
        <v>Away win</v>
      </c>
    </row>
    <row r="760" spans="1:24" x14ac:dyDescent="0.2">
      <c r="A760" s="19">
        <v>2010</v>
      </c>
      <c r="B760" s="15" t="s">
        <v>1683</v>
      </c>
      <c r="C760" s="3" t="s">
        <v>878</v>
      </c>
      <c r="D760" s="3" t="s">
        <v>1612</v>
      </c>
      <c r="E760" s="3" t="s">
        <v>1613</v>
      </c>
      <c r="F760" s="3" t="s">
        <v>124</v>
      </c>
      <c r="G760" s="11">
        <v>4</v>
      </c>
      <c r="H760" s="11">
        <v>1</v>
      </c>
      <c r="I760" s="3" t="s">
        <v>223</v>
      </c>
      <c r="J760" s="3" t="s">
        <v>1842</v>
      </c>
      <c r="K760" s="3">
        <v>40510</v>
      </c>
      <c r="L760" s="11">
        <v>2</v>
      </c>
      <c r="M760" s="11">
        <v>1</v>
      </c>
      <c r="N760" s="3" t="s">
        <v>1466</v>
      </c>
      <c r="O760" s="3" t="s">
        <v>1468</v>
      </c>
      <c r="P760" s="3" t="s">
        <v>1625</v>
      </c>
      <c r="Q760" s="11">
        <v>249717</v>
      </c>
      <c r="R760" s="11">
        <v>300061501</v>
      </c>
      <c r="S760" s="3" t="s">
        <v>128</v>
      </c>
      <c r="T760" s="4" t="s">
        <v>227</v>
      </c>
      <c r="U760" s="11">
        <f>World_Cup_Matches[[#This Row],[Home Team Goals]]+World_Cup_Matches[[#This Row],[Away Team Goals]]</f>
        <v>5</v>
      </c>
      <c r="V760" s="11">
        <f>World_Cup_Matches[[#This Row],[Home Team Goals]]-World_Cup_Matches[[#This Row],[Away Team Goals]]</f>
        <v>3</v>
      </c>
      <c r="W760" s="4" t="str">
        <f>IF(World_Cup_Matches[[#This Row],[Home Team Goals]]&gt;World_Cup_Matches[[#This Row],[Away Team Goals]],World_Cup_Matches[[#This Row],[Home Team Name]],IF(World_Cup_Matches[[#This Row],[Away Team Goals]]&gt;World_Cup_Matches[[#This Row],[Home Team Goals]], World_Cup_Matches[[#This Row],[Away Team Name]],"Draw"))</f>
        <v>Germany</v>
      </c>
      <c r="X760" s="4" t="str">
        <f>IF(World_Cup_Matches[[#This Row],[Home Team Goals]]&gt;World_Cup_Matches[[#This Row],[Away Team Goals]],"Hime Win",IF(World_Cup_Matches[[#This Row],[Away Team Goals]]&gt;World_Cup_Matches[[#This Row],[Home Team Goals]],"Away win","Draw"))</f>
        <v>Hime Win</v>
      </c>
    </row>
    <row r="761" spans="1:24" x14ac:dyDescent="0.2">
      <c r="A761" s="19">
        <v>2010</v>
      </c>
      <c r="B761" s="15" t="s">
        <v>1684</v>
      </c>
      <c r="C761" s="3" t="s">
        <v>878</v>
      </c>
      <c r="D761" s="3" t="s">
        <v>1565</v>
      </c>
      <c r="E761" s="3" t="s">
        <v>1566</v>
      </c>
      <c r="F761" s="3" t="s">
        <v>56</v>
      </c>
      <c r="G761" s="11">
        <v>3</v>
      </c>
      <c r="H761" s="11">
        <v>1</v>
      </c>
      <c r="I761" s="3" t="s">
        <v>25</v>
      </c>
      <c r="J761" s="3" t="s">
        <v>1842</v>
      </c>
      <c r="K761" s="3">
        <v>84377</v>
      </c>
      <c r="L761" s="11">
        <v>2</v>
      </c>
      <c r="M761" s="11">
        <v>0</v>
      </c>
      <c r="N761" s="3" t="s">
        <v>1459</v>
      </c>
      <c r="O761" s="3" t="s">
        <v>1660</v>
      </c>
      <c r="P761" s="3" t="s">
        <v>1661</v>
      </c>
      <c r="Q761" s="11">
        <v>249717</v>
      </c>
      <c r="R761" s="11">
        <v>300061502</v>
      </c>
      <c r="S761" s="3" t="s">
        <v>59</v>
      </c>
      <c r="T761" s="4" t="s">
        <v>30</v>
      </c>
      <c r="U761" s="11">
        <f>World_Cup_Matches[[#This Row],[Home Team Goals]]+World_Cup_Matches[[#This Row],[Away Team Goals]]</f>
        <v>4</v>
      </c>
      <c r="V761" s="11">
        <f>World_Cup_Matches[[#This Row],[Home Team Goals]]-World_Cup_Matches[[#This Row],[Away Team Goals]]</f>
        <v>2</v>
      </c>
      <c r="W761" s="4" t="str">
        <f>IF(World_Cup_Matches[[#This Row],[Home Team Goals]]&gt;World_Cup_Matches[[#This Row],[Away Team Goals]],World_Cup_Matches[[#This Row],[Home Team Name]],IF(World_Cup_Matches[[#This Row],[Away Team Goals]]&gt;World_Cup_Matches[[#This Row],[Home Team Goals]], World_Cup_Matches[[#This Row],[Away Team Name]],"Draw"))</f>
        <v>Argentina</v>
      </c>
      <c r="X761" s="4" t="str">
        <f>IF(World_Cup_Matches[[#This Row],[Home Team Goals]]&gt;World_Cup_Matches[[#This Row],[Away Team Goals]],"Hime Win",IF(World_Cup_Matches[[#This Row],[Away Team Goals]]&gt;World_Cup_Matches[[#This Row],[Home Team Goals]],"Away win","Draw"))</f>
        <v>Hime Win</v>
      </c>
    </row>
    <row r="762" spans="1:24" x14ac:dyDescent="0.2">
      <c r="A762" s="19">
        <v>2010</v>
      </c>
      <c r="B762" s="15" t="s">
        <v>1685</v>
      </c>
      <c r="C762" s="3" t="s">
        <v>878</v>
      </c>
      <c r="D762" s="3" t="s">
        <v>1604</v>
      </c>
      <c r="E762" s="3" t="s">
        <v>1605</v>
      </c>
      <c r="F762" s="3" t="s">
        <v>109</v>
      </c>
      <c r="G762" s="11">
        <v>2</v>
      </c>
      <c r="H762" s="11">
        <v>1</v>
      </c>
      <c r="I762" s="3" t="s">
        <v>1620</v>
      </c>
      <c r="J762" s="3" t="s">
        <v>1842</v>
      </c>
      <c r="K762" s="3">
        <v>61962</v>
      </c>
      <c r="L762" s="11">
        <v>1</v>
      </c>
      <c r="M762" s="11">
        <v>0</v>
      </c>
      <c r="N762" s="3" t="s">
        <v>1650</v>
      </c>
      <c r="O762" s="3" t="s">
        <v>1651</v>
      </c>
      <c r="P762" s="3" t="s">
        <v>1652</v>
      </c>
      <c r="Q762" s="11">
        <v>249717</v>
      </c>
      <c r="R762" s="11">
        <v>300111113</v>
      </c>
      <c r="S762" s="3" t="s">
        <v>114</v>
      </c>
      <c r="T762" s="4" t="s">
        <v>1623</v>
      </c>
      <c r="U762" s="11">
        <f>World_Cup_Matches[[#This Row],[Home Team Goals]]+World_Cup_Matches[[#This Row],[Away Team Goals]]</f>
        <v>3</v>
      </c>
      <c r="V762" s="11">
        <f>World_Cup_Matches[[#This Row],[Home Team Goals]]-World_Cup_Matches[[#This Row],[Away Team Goals]]</f>
        <v>1</v>
      </c>
      <c r="W762" s="4" t="str">
        <f>IF(World_Cup_Matches[[#This Row],[Home Team Goals]]&gt;World_Cup_Matches[[#This Row],[Away Team Goals]],World_Cup_Matches[[#This Row],[Home Team Name]],IF(World_Cup_Matches[[#This Row],[Away Team Goals]]&gt;World_Cup_Matches[[#This Row],[Home Team Goals]], World_Cup_Matches[[#This Row],[Away Team Name]],"Draw"))</f>
        <v>Netherlands</v>
      </c>
      <c r="X762" s="4" t="str">
        <f>IF(World_Cup_Matches[[#This Row],[Home Team Goals]]&gt;World_Cup_Matches[[#This Row],[Away Team Goals]],"Hime Win",IF(World_Cup_Matches[[#This Row],[Away Team Goals]]&gt;World_Cup_Matches[[#This Row],[Home Team Goals]],"Away win","Draw"))</f>
        <v>Hime Win</v>
      </c>
    </row>
    <row r="763" spans="1:24" x14ac:dyDescent="0.2">
      <c r="A763" s="19">
        <v>2010</v>
      </c>
      <c r="B763" s="15" t="s">
        <v>1686</v>
      </c>
      <c r="C763" s="3" t="s">
        <v>878</v>
      </c>
      <c r="D763" s="3" t="s">
        <v>1583</v>
      </c>
      <c r="E763" s="3" t="s">
        <v>1566</v>
      </c>
      <c r="F763" s="3" t="s">
        <v>42</v>
      </c>
      <c r="G763" s="11">
        <v>3</v>
      </c>
      <c r="H763" s="11">
        <v>0</v>
      </c>
      <c r="I763" s="3" t="s">
        <v>61</v>
      </c>
      <c r="J763" s="3" t="s">
        <v>1842</v>
      </c>
      <c r="K763" s="3">
        <v>54096</v>
      </c>
      <c r="L763" s="11">
        <v>2</v>
      </c>
      <c r="M763" s="11">
        <v>0</v>
      </c>
      <c r="N763" s="3" t="s">
        <v>1637</v>
      </c>
      <c r="O763" s="3" t="s">
        <v>1638</v>
      </c>
      <c r="P763" s="3" t="s">
        <v>1639</v>
      </c>
      <c r="Q763" s="11">
        <v>249717</v>
      </c>
      <c r="R763" s="11">
        <v>300061500</v>
      </c>
      <c r="S763" s="3" t="s">
        <v>47</v>
      </c>
      <c r="T763" s="4" t="s">
        <v>63</v>
      </c>
      <c r="U763" s="11">
        <f>World_Cup_Matches[[#This Row],[Home Team Goals]]+World_Cup_Matches[[#This Row],[Away Team Goals]]</f>
        <v>3</v>
      </c>
      <c r="V763" s="11">
        <f>World_Cup_Matches[[#This Row],[Home Team Goals]]-World_Cup_Matches[[#This Row],[Away Team Goals]]</f>
        <v>3</v>
      </c>
      <c r="W763" s="4" t="str">
        <f>IF(World_Cup_Matches[[#This Row],[Home Team Goals]]&gt;World_Cup_Matches[[#This Row],[Away Team Goals]],World_Cup_Matches[[#This Row],[Home Team Name]],IF(World_Cup_Matches[[#This Row],[Away Team Goals]]&gt;World_Cup_Matches[[#This Row],[Home Team Goals]], World_Cup_Matches[[#This Row],[Away Team Name]],"Draw"))</f>
        <v>Brazil</v>
      </c>
      <c r="X763" s="4" t="str">
        <f>IF(World_Cup_Matches[[#This Row],[Home Team Goals]]&gt;World_Cup_Matches[[#This Row],[Away Team Goals]],"Hime Win",IF(World_Cup_Matches[[#This Row],[Away Team Goals]]&gt;World_Cup_Matches[[#This Row],[Home Team Goals]],"Away win","Draw"))</f>
        <v>Hime Win</v>
      </c>
    </row>
    <row r="764" spans="1:24" x14ac:dyDescent="0.2">
      <c r="A764" s="19">
        <v>2010</v>
      </c>
      <c r="B764" s="15" t="s">
        <v>1687</v>
      </c>
      <c r="C764" s="3" t="s">
        <v>878</v>
      </c>
      <c r="D764" s="3" t="s">
        <v>1596</v>
      </c>
      <c r="E764" s="3" t="s">
        <v>1597</v>
      </c>
      <c r="F764" s="3" t="s">
        <v>68</v>
      </c>
      <c r="G764" s="11">
        <v>0</v>
      </c>
      <c r="H764" s="11">
        <v>0</v>
      </c>
      <c r="I764" s="3" t="s">
        <v>1161</v>
      </c>
      <c r="J764" s="3" t="s">
        <v>1688</v>
      </c>
      <c r="K764" s="3">
        <v>36742</v>
      </c>
      <c r="L764" s="11">
        <v>0</v>
      </c>
      <c r="M764" s="11">
        <v>0</v>
      </c>
      <c r="N764" s="3" t="s">
        <v>1445</v>
      </c>
      <c r="O764" s="3" t="s">
        <v>1446</v>
      </c>
      <c r="P764" s="3" t="s">
        <v>1447</v>
      </c>
      <c r="Q764" s="11">
        <v>249717</v>
      </c>
      <c r="R764" s="11">
        <v>300061497</v>
      </c>
      <c r="S764" s="3" t="s">
        <v>69</v>
      </c>
      <c r="T764" s="4" t="s">
        <v>1164</v>
      </c>
      <c r="U764" s="11">
        <f>World_Cup_Matches[[#This Row],[Home Team Goals]]+World_Cup_Matches[[#This Row],[Away Team Goals]]</f>
        <v>0</v>
      </c>
      <c r="V764" s="11">
        <f>World_Cup_Matches[[#This Row],[Home Team Goals]]-World_Cup_Matches[[#This Row],[Away Team Goals]]</f>
        <v>0</v>
      </c>
      <c r="W764" s="4" t="str">
        <f>IF(World_Cup_Matches[[#This Row],[Home Team Goals]]&gt;World_Cup_Matches[[#This Row],[Away Team Goals]],World_Cup_Matches[[#This Row],[Home Team Name]],IF(World_Cup_Matches[[#This Row],[Away Team Goals]]&gt;World_Cup_Matches[[#This Row],[Home Team Goals]], World_Cup_Matches[[#This Row],[Away Team Name]],"Draw"))</f>
        <v>Draw</v>
      </c>
      <c r="X764" s="4" t="str">
        <f>IF(World_Cup_Matches[[#This Row],[Home Team Goals]]&gt;World_Cup_Matches[[#This Row],[Away Team Goals]],"Hime Win",IF(World_Cup_Matches[[#This Row],[Away Team Goals]]&gt;World_Cup_Matches[[#This Row],[Home Team Goals]],"Away win","Draw"))</f>
        <v>Draw</v>
      </c>
    </row>
    <row r="765" spans="1:24" x14ac:dyDescent="0.2">
      <c r="A765" s="19">
        <v>2010</v>
      </c>
      <c r="B765" s="15" t="s">
        <v>1689</v>
      </c>
      <c r="C765" s="3" t="s">
        <v>878</v>
      </c>
      <c r="D765" s="3" t="s">
        <v>1571</v>
      </c>
      <c r="E765" s="3" t="s">
        <v>1572</v>
      </c>
      <c r="F765" s="3" t="s">
        <v>131</v>
      </c>
      <c r="G765" s="11">
        <v>1</v>
      </c>
      <c r="H765" s="11">
        <v>0</v>
      </c>
      <c r="I765" s="3" t="s">
        <v>458</v>
      </c>
      <c r="J765" s="3" t="s">
        <v>1842</v>
      </c>
      <c r="K765" s="3">
        <v>62955</v>
      </c>
      <c r="L765" s="11">
        <v>0</v>
      </c>
      <c r="M765" s="11">
        <v>0</v>
      </c>
      <c r="N765" s="3" t="s">
        <v>1599</v>
      </c>
      <c r="O765" s="3" t="s">
        <v>1600</v>
      </c>
      <c r="P765" s="3" t="s">
        <v>1601</v>
      </c>
      <c r="Q765" s="11">
        <v>249717</v>
      </c>
      <c r="R765" s="11">
        <v>300061498</v>
      </c>
      <c r="S765" s="3" t="s">
        <v>135</v>
      </c>
      <c r="T765" s="4" t="s">
        <v>462</v>
      </c>
      <c r="U765" s="11">
        <f>World_Cup_Matches[[#This Row],[Home Team Goals]]+World_Cup_Matches[[#This Row],[Away Team Goals]]</f>
        <v>1</v>
      </c>
      <c r="V765" s="11">
        <f>World_Cup_Matches[[#This Row],[Home Team Goals]]-World_Cup_Matches[[#This Row],[Away Team Goals]]</f>
        <v>1</v>
      </c>
      <c r="W765" s="4" t="str">
        <f>IF(World_Cup_Matches[[#This Row],[Home Team Goals]]&gt;World_Cup_Matches[[#This Row],[Away Team Goals]],World_Cup_Matches[[#This Row],[Home Team Name]],IF(World_Cup_Matches[[#This Row],[Away Team Goals]]&gt;World_Cup_Matches[[#This Row],[Home Team Goals]], World_Cup_Matches[[#This Row],[Away Team Name]],"Draw"))</f>
        <v>Spain</v>
      </c>
      <c r="X765" s="4" t="str">
        <f>IF(World_Cup_Matches[[#This Row],[Home Team Goals]]&gt;World_Cup_Matches[[#This Row],[Away Team Goals]],"Hime Win",IF(World_Cup_Matches[[#This Row],[Away Team Goals]]&gt;World_Cup_Matches[[#This Row],[Home Team Goals]],"Away win","Draw"))</f>
        <v>Hime Win</v>
      </c>
    </row>
    <row r="766" spans="1:24" x14ac:dyDescent="0.2">
      <c r="A766" s="19">
        <v>2010</v>
      </c>
      <c r="B766" s="15" t="s">
        <v>1690</v>
      </c>
      <c r="C766" s="3" t="s">
        <v>150</v>
      </c>
      <c r="D766" s="3" t="s">
        <v>1577</v>
      </c>
      <c r="E766" s="3" t="s">
        <v>1578</v>
      </c>
      <c r="F766" s="3" t="s">
        <v>109</v>
      </c>
      <c r="G766" s="11">
        <v>2</v>
      </c>
      <c r="H766" s="11">
        <v>1</v>
      </c>
      <c r="I766" s="3" t="s">
        <v>42</v>
      </c>
      <c r="J766" s="3" t="s">
        <v>1842</v>
      </c>
      <c r="K766" s="3">
        <v>40186</v>
      </c>
      <c r="L766" s="11">
        <v>0</v>
      </c>
      <c r="M766" s="11">
        <v>1</v>
      </c>
      <c r="N766" s="3" t="s">
        <v>1573</v>
      </c>
      <c r="O766" s="3" t="s">
        <v>1574</v>
      </c>
      <c r="P766" s="3" t="s">
        <v>1575</v>
      </c>
      <c r="Q766" s="11">
        <v>249718</v>
      </c>
      <c r="R766" s="11">
        <v>300061507</v>
      </c>
      <c r="S766" s="3" t="s">
        <v>114</v>
      </c>
      <c r="T766" s="4" t="s">
        <v>47</v>
      </c>
      <c r="U766" s="11">
        <f>World_Cup_Matches[[#This Row],[Home Team Goals]]+World_Cup_Matches[[#This Row],[Away Team Goals]]</f>
        <v>3</v>
      </c>
      <c r="V766" s="11">
        <f>World_Cup_Matches[[#This Row],[Home Team Goals]]-World_Cup_Matches[[#This Row],[Away Team Goals]]</f>
        <v>1</v>
      </c>
      <c r="W766" s="4" t="str">
        <f>IF(World_Cup_Matches[[#This Row],[Home Team Goals]]&gt;World_Cup_Matches[[#This Row],[Away Team Goals]],World_Cup_Matches[[#This Row],[Home Team Name]],IF(World_Cup_Matches[[#This Row],[Away Team Goals]]&gt;World_Cup_Matches[[#This Row],[Home Team Goals]], World_Cup_Matches[[#This Row],[Away Team Name]],"Draw"))</f>
        <v>Netherlands</v>
      </c>
      <c r="X766" s="4" t="str">
        <f>IF(World_Cup_Matches[[#This Row],[Home Team Goals]]&gt;World_Cup_Matches[[#This Row],[Away Team Goals]],"Hime Win",IF(World_Cup_Matches[[#This Row],[Away Team Goals]]&gt;World_Cup_Matches[[#This Row],[Home Team Goals]],"Away win","Draw"))</f>
        <v>Hime Win</v>
      </c>
    </row>
    <row r="767" spans="1:24" x14ac:dyDescent="0.2">
      <c r="A767" s="19">
        <v>2010</v>
      </c>
      <c r="B767" s="15" t="s">
        <v>1691</v>
      </c>
      <c r="C767" s="3" t="s">
        <v>150</v>
      </c>
      <c r="D767" s="3" t="s">
        <v>1565</v>
      </c>
      <c r="E767" s="3" t="s">
        <v>1566</v>
      </c>
      <c r="F767" s="3" t="s">
        <v>72</v>
      </c>
      <c r="G767" s="11">
        <v>1</v>
      </c>
      <c r="H767" s="11">
        <v>1</v>
      </c>
      <c r="I767" s="3" t="s">
        <v>1483</v>
      </c>
      <c r="J767" s="3" t="s">
        <v>1692</v>
      </c>
      <c r="K767" s="3">
        <v>84017</v>
      </c>
      <c r="L767" s="11">
        <v>0</v>
      </c>
      <c r="M767" s="11">
        <v>0</v>
      </c>
      <c r="N767" s="3" t="s">
        <v>1614</v>
      </c>
      <c r="O767" s="3" t="s">
        <v>1615</v>
      </c>
      <c r="P767" s="3" t="s">
        <v>1616</v>
      </c>
      <c r="Q767" s="11">
        <v>249718</v>
      </c>
      <c r="R767" s="11">
        <v>300061508</v>
      </c>
      <c r="S767" s="3" t="s">
        <v>73</v>
      </c>
      <c r="T767" s="4" t="s">
        <v>1486</v>
      </c>
      <c r="U767" s="11">
        <f>World_Cup_Matches[[#This Row],[Home Team Goals]]+World_Cup_Matches[[#This Row],[Away Team Goals]]</f>
        <v>2</v>
      </c>
      <c r="V767" s="11">
        <f>World_Cup_Matches[[#This Row],[Home Team Goals]]-World_Cup_Matches[[#This Row],[Away Team Goals]]</f>
        <v>0</v>
      </c>
      <c r="W767" s="4" t="str">
        <f>IF(World_Cup_Matches[[#This Row],[Home Team Goals]]&gt;World_Cup_Matches[[#This Row],[Away Team Goals]],World_Cup_Matches[[#This Row],[Home Team Name]],IF(World_Cup_Matches[[#This Row],[Away Team Goals]]&gt;World_Cup_Matches[[#This Row],[Home Team Goals]], World_Cup_Matches[[#This Row],[Away Team Name]],"Draw"))</f>
        <v>Draw</v>
      </c>
      <c r="X767" s="4" t="str">
        <f>IF(World_Cup_Matches[[#This Row],[Home Team Goals]]&gt;World_Cup_Matches[[#This Row],[Away Team Goals]],"Hime Win",IF(World_Cup_Matches[[#This Row],[Away Team Goals]]&gt;World_Cup_Matches[[#This Row],[Home Team Goals]],"Away win","Draw"))</f>
        <v>Draw</v>
      </c>
    </row>
    <row r="768" spans="1:24" x14ac:dyDescent="0.2">
      <c r="A768" s="19">
        <v>2010</v>
      </c>
      <c r="B768" s="15" t="s">
        <v>1693</v>
      </c>
      <c r="C768" s="3" t="s">
        <v>150</v>
      </c>
      <c r="D768" s="3" t="s">
        <v>1571</v>
      </c>
      <c r="E768" s="3" t="s">
        <v>1572</v>
      </c>
      <c r="F768" s="3" t="s">
        <v>56</v>
      </c>
      <c r="G768" s="11">
        <v>0</v>
      </c>
      <c r="H768" s="11">
        <v>4</v>
      </c>
      <c r="I768" s="3" t="s">
        <v>124</v>
      </c>
      <c r="J768" s="3" t="s">
        <v>1842</v>
      </c>
      <c r="K768" s="3">
        <v>64100</v>
      </c>
      <c r="L768" s="11">
        <v>0</v>
      </c>
      <c r="M768" s="11">
        <v>1</v>
      </c>
      <c r="N768" s="3" t="s">
        <v>1567</v>
      </c>
      <c r="O768" s="3" t="s">
        <v>1568</v>
      </c>
      <c r="P768" s="3" t="s">
        <v>1569</v>
      </c>
      <c r="Q768" s="11">
        <v>249718</v>
      </c>
      <c r="R768" s="11">
        <v>300061505</v>
      </c>
      <c r="S768" s="3" t="s">
        <v>59</v>
      </c>
      <c r="T768" s="4" t="s">
        <v>128</v>
      </c>
      <c r="U768" s="11">
        <f>World_Cup_Matches[[#This Row],[Home Team Goals]]+World_Cup_Matches[[#This Row],[Away Team Goals]]</f>
        <v>4</v>
      </c>
      <c r="V768" s="11">
        <f>World_Cup_Matches[[#This Row],[Home Team Goals]]-World_Cup_Matches[[#This Row],[Away Team Goals]]</f>
        <v>-4</v>
      </c>
      <c r="W768" s="4" t="str">
        <f>IF(World_Cup_Matches[[#This Row],[Home Team Goals]]&gt;World_Cup_Matches[[#This Row],[Away Team Goals]],World_Cup_Matches[[#This Row],[Home Team Name]],IF(World_Cup_Matches[[#This Row],[Away Team Goals]]&gt;World_Cup_Matches[[#This Row],[Home Team Goals]], World_Cup_Matches[[#This Row],[Away Team Name]],"Draw"))</f>
        <v>Germany</v>
      </c>
      <c r="X768" s="4" t="str">
        <f>IF(World_Cup_Matches[[#This Row],[Home Team Goals]]&gt;World_Cup_Matches[[#This Row],[Away Team Goals]],"Hime Win",IF(World_Cup_Matches[[#This Row],[Away Team Goals]]&gt;World_Cup_Matches[[#This Row],[Home Team Goals]],"Away win","Draw"))</f>
        <v>Away win</v>
      </c>
    </row>
    <row r="769" spans="1:24" x14ac:dyDescent="0.2">
      <c r="A769" s="19">
        <v>2010</v>
      </c>
      <c r="B769" s="15" t="s">
        <v>1694</v>
      </c>
      <c r="C769" s="3" t="s">
        <v>150</v>
      </c>
      <c r="D769" s="3" t="s">
        <v>1583</v>
      </c>
      <c r="E769" s="3" t="s">
        <v>1566</v>
      </c>
      <c r="F769" s="3" t="s">
        <v>68</v>
      </c>
      <c r="G769" s="11">
        <v>0</v>
      </c>
      <c r="H769" s="11">
        <v>1</v>
      </c>
      <c r="I769" s="3" t="s">
        <v>131</v>
      </c>
      <c r="J769" s="3" t="s">
        <v>1842</v>
      </c>
      <c r="K769" s="3">
        <v>55359</v>
      </c>
      <c r="L769" s="11">
        <v>0</v>
      </c>
      <c r="M769" s="11">
        <v>0</v>
      </c>
      <c r="N769" s="3" t="s">
        <v>1340</v>
      </c>
      <c r="O769" s="3" t="s">
        <v>1434</v>
      </c>
      <c r="P769" s="3" t="s">
        <v>1594</v>
      </c>
      <c r="Q769" s="11">
        <v>249718</v>
      </c>
      <c r="R769" s="11">
        <v>300061506</v>
      </c>
      <c r="S769" s="3" t="s">
        <v>69</v>
      </c>
      <c r="T769" s="4" t="s">
        <v>135</v>
      </c>
      <c r="U769" s="11">
        <f>World_Cup_Matches[[#This Row],[Home Team Goals]]+World_Cup_Matches[[#This Row],[Away Team Goals]]</f>
        <v>1</v>
      </c>
      <c r="V769" s="11">
        <f>World_Cup_Matches[[#This Row],[Home Team Goals]]-World_Cup_Matches[[#This Row],[Away Team Goals]]</f>
        <v>-1</v>
      </c>
      <c r="W769" s="4" t="str">
        <f>IF(World_Cup_Matches[[#This Row],[Home Team Goals]]&gt;World_Cup_Matches[[#This Row],[Away Team Goals]],World_Cup_Matches[[#This Row],[Home Team Name]],IF(World_Cup_Matches[[#This Row],[Away Team Goals]]&gt;World_Cup_Matches[[#This Row],[Home Team Goals]], World_Cup_Matches[[#This Row],[Away Team Name]],"Draw"))</f>
        <v>Spain</v>
      </c>
      <c r="X769" s="4" t="str">
        <f>IF(World_Cup_Matches[[#This Row],[Home Team Goals]]&gt;World_Cup_Matches[[#This Row],[Away Team Goals]],"Hime Win",IF(World_Cup_Matches[[#This Row],[Away Team Goals]]&gt;World_Cup_Matches[[#This Row],[Home Team Goals]],"Away win","Draw"))</f>
        <v>Away win</v>
      </c>
    </row>
    <row r="770" spans="1:24" x14ac:dyDescent="0.2">
      <c r="A770" s="19">
        <v>2010</v>
      </c>
      <c r="B770" s="15" t="s">
        <v>1695</v>
      </c>
      <c r="C770" s="3" t="s">
        <v>83</v>
      </c>
      <c r="D770" s="3" t="s">
        <v>1571</v>
      </c>
      <c r="E770" s="3" t="s">
        <v>1572</v>
      </c>
      <c r="F770" s="3" t="s">
        <v>72</v>
      </c>
      <c r="G770" s="11">
        <v>2</v>
      </c>
      <c r="H770" s="11">
        <v>3</v>
      </c>
      <c r="I770" s="3" t="s">
        <v>109</v>
      </c>
      <c r="J770" s="3" t="s">
        <v>1842</v>
      </c>
      <c r="K770" s="3">
        <v>62479</v>
      </c>
      <c r="L770" s="11">
        <v>1</v>
      </c>
      <c r="M770" s="11">
        <v>1</v>
      </c>
      <c r="N770" s="3" t="s">
        <v>1567</v>
      </c>
      <c r="O770" s="3" t="s">
        <v>1568</v>
      </c>
      <c r="P770" s="3" t="s">
        <v>1569</v>
      </c>
      <c r="Q770" s="11">
        <v>249719</v>
      </c>
      <c r="R770" s="11">
        <v>300061512</v>
      </c>
      <c r="S770" s="3" t="s">
        <v>73</v>
      </c>
      <c r="T770" s="4" t="s">
        <v>114</v>
      </c>
      <c r="U770" s="11">
        <f>World_Cup_Matches[[#This Row],[Home Team Goals]]+World_Cup_Matches[[#This Row],[Away Team Goals]]</f>
        <v>5</v>
      </c>
      <c r="V770" s="11">
        <f>World_Cup_Matches[[#This Row],[Home Team Goals]]-World_Cup_Matches[[#This Row],[Away Team Goals]]</f>
        <v>-1</v>
      </c>
      <c r="W770" s="4" t="str">
        <f>IF(World_Cup_Matches[[#This Row],[Home Team Goals]]&gt;World_Cup_Matches[[#This Row],[Away Team Goals]],World_Cup_Matches[[#This Row],[Home Team Name]],IF(World_Cup_Matches[[#This Row],[Away Team Goals]]&gt;World_Cup_Matches[[#This Row],[Home Team Goals]], World_Cup_Matches[[#This Row],[Away Team Name]],"Draw"))</f>
        <v>Netherlands</v>
      </c>
      <c r="X770" s="4" t="str">
        <f>IF(World_Cup_Matches[[#This Row],[Home Team Goals]]&gt;World_Cup_Matches[[#This Row],[Away Team Goals]],"Hime Win",IF(World_Cup_Matches[[#This Row],[Away Team Goals]]&gt;World_Cup_Matches[[#This Row],[Home Team Goals]],"Away win","Draw"))</f>
        <v>Away win</v>
      </c>
    </row>
    <row r="771" spans="1:24" x14ac:dyDescent="0.2">
      <c r="A771" s="19">
        <v>2010</v>
      </c>
      <c r="B771" s="15" t="s">
        <v>1696</v>
      </c>
      <c r="C771" s="3" t="s">
        <v>83</v>
      </c>
      <c r="D771" s="3" t="s">
        <v>1604</v>
      </c>
      <c r="E771" s="3" t="s">
        <v>1605</v>
      </c>
      <c r="F771" s="3" t="s">
        <v>124</v>
      </c>
      <c r="G771" s="11">
        <v>0</v>
      </c>
      <c r="H771" s="11">
        <v>1</v>
      </c>
      <c r="I771" s="3" t="s">
        <v>131</v>
      </c>
      <c r="J771" s="3" t="s">
        <v>1842</v>
      </c>
      <c r="K771" s="3">
        <v>60960</v>
      </c>
      <c r="L771" s="11">
        <v>0</v>
      </c>
      <c r="M771" s="11">
        <v>0</v>
      </c>
      <c r="N771" s="3" t="s">
        <v>1627</v>
      </c>
      <c r="O771" s="3" t="s">
        <v>1628</v>
      </c>
      <c r="P771" s="3" t="s">
        <v>1629</v>
      </c>
      <c r="Q771" s="11">
        <v>249719</v>
      </c>
      <c r="R771" s="11">
        <v>300111114</v>
      </c>
      <c r="S771" s="3" t="s">
        <v>128</v>
      </c>
      <c r="T771" s="4" t="s">
        <v>135</v>
      </c>
      <c r="U771" s="11">
        <f>World_Cup_Matches[[#This Row],[Home Team Goals]]+World_Cup_Matches[[#This Row],[Away Team Goals]]</f>
        <v>1</v>
      </c>
      <c r="V771" s="11">
        <f>World_Cup_Matches[[#This Row],[Home Team Goals]]-World_Cup_Matches[[#This Row],[Away Team Goals]]</f>
        <v>-1</v>
      </c>
      <c r="W771" s="4" t="str">
        <f>IF(World_Cup_Matches[[#This Row],[Home Team Goals]]&gt;World_Cup_Matches[[#This Row],[Away Team Goals]],World_Cup_Matches[[#This Row],[Home Team Name]],IF(World_Cup_Matches[[#This Row],[Away Team Goals]]&gt;World_Cup_Matches[[#This Row],[Home Team Goals]], World_Cup_Matches[[#This Row],[Away Team Name]],"Draw"))</f>
        <v>Spain</v>
      </c>
      <c r="X771" s="4" t="str">
        <f>IF(World_Cup_Matches[[#This Row],[Home Team Goals]]&gt;World_Cup_Matches[[#This Row],[Away Team Goals]],"Hime Win",IF(World_Cup_Matches[[#This Row],[Away Team Goals]]&gt;World_Cup_Matches[[#This Row],[Home Team Goals]],"Away win","Draw"))</f>
        <v>Away win</v>
      </c>
    </row>
    <row r="772" spans="1:24" x14ac:dyDescent="0.2">
      <c r="A772" s="19">
        <v>2010</v>
      </c>
      <c r="B772" s="15" t="s">
        <v>1697</v>
      </c>
      <c r="C772" s="3" t="s">
        <v>155</v>
      </c>
      <c r="D772" s="3" t="s">
        <v>1577</v>
      </c>
      <c r="E772" s="3" t="s">
        <v>1578</v>
      </c>
      <c r="F772" s="3" t="s">
        <v>72</v>
      </c>
      <c r="G772" s="11">
        <v>2</v>
      </c>
      <c r="H772" s="11">
        <v>3</v>
      </c>
      <c r="I772" s="3" t="s">
        <v>124</v>
      </c>
      <c r="J772" s="3" t="s">
        <v>1842</v>
      </c>
      <c r="K772" s="3">
        <v>36254</v>
      </c>
      <c r="L772" s="11">
        <v>1</v>
      </c>
      <c r="M772" s="11">
        <v>1</v>
      </c>
      <c r="N772" s="3" t="s">
        <v>1497</v>
      </c>
      <c r="O772" s="3" t="s">
        <v>1305</v>
      </c>
      <c r="P772" s="3" t="s">
        <v>1618</v>
      </c>
      <c r="Q772" s="11">
        <v>249720</v>
      </c>
      <c r="R772" s="11">
        <v>300061510</v>
      </c>
      <c r="S772" s="3" t="s">
        <v>73</v>
      </c>
      <c r="T772" s="4" t="s">
        <v>128</v>
      </c>
      <c r="U772" s="11">
        <f>World_Cup_Matches[[#This Row],[Home Team Goals]]+World_Cup_Matches[[#This Row],[Away Team Goals]]</f>
        <v>5</v>
      </c>
      <c r="V772" s="11">
        <f>World_Cup_Matches[[#This Row],[Home Team Goals]]-World_Cup_Matches[[#This Row],[Away Team Goals]]</f>
        <v>-1</v>
      </c>
      <c r="W772" s="4" t="str">
        <f>IF(World_Cup_Matches[[#This Row],[Home Team Goals]]&gt;World_Cup_Matches[[#This Row],[Away Team Goals]],World_Cup_Matches[[#This Row],[Home Team Name]],IF(World_Cup_Matches[[#This Row],[Away Team Goals]]&gt;World_Cup_Matches[[#This Row],[Home Team Goals]], World_Cup_Matches[[#This Row],[Away Team Name]],"Draw"))</f>
        <v>Germany</v>
      </c>
      <c r="X772" s="4" t="str">
        <f>IF(World_Cup_Matches[[#This Row],[Home Team Goals]]&gt;World_Cup_Matches[[#This Row],[Away Team Goals]],"Hime Win",IF(World_Cup_Matches[[#This Row],[Away Team Goals]]&gt;World_Cup_Matches[[#This Row],[Home Team Goals]],"Away win","Draw"))</f>
        <v>Away win</v>
      </c>
    </row>
    <row r="773" spans="1:24" x14ac:dyDescent="0.2">
      <c r="A773" s="19">
        <v>2010</v>
      </c>
      <c r="B773" s="15" t="s">
        <v>1698</v>
      </c>
      <c r="C773" s="3" t="s">
        <v>86</v>
      </c>
      <c r="D773" s="3" t="s">
        <v>1565</v>
      </c>
      <c r="E773" s="3" t="s">
        <v>1566</v>
      </c>
      <c r="F773" s="3" t="s">
        <v>109</v>
      </c>
      <c r="G773" s="11">
        <v>0</v>
      </c>
      <c r="H773" s="11">
        <v>1</v>
      </c>
      <c r="I773" s="3" t="s">
        <v>131</v>
      </c>
      <c r="J773" s="3" t="s">
        <v>1699</v>
      </c>
      <c r="K773" s="3">
        <v>84490</v>
      </c>
      <c r="L773" s="11">
        <v>0</v>
      </c>
      <c r="M773" s="11">
        <v>0</v>
      </c>
      <c r="N773" s="3" t="s">
        <v>1637</v>
      </c>
      <c r="O773" s="3" t="s">
        <v>1638</v>
      </c>
      <c r="P773" s="3" t="s">
        <v>1639</v>
      </c>
      <c r="Q773" s="11">
        <v>249721</v>
      </c>
      <c r="R773" s="11">
        <v>300061509</v>
      </c>
      <c r="S773" s="3" t="s">
        <v>114</v>
      </c>
      <c r="T773" s="4" t="s">
        <v>135</v>
      </c>
      <c r="U773" s="11">
        <f>World_Cup_Matches[[#This Row],[Home Team Goals]]+World_Cup_Matches[[#This Row],[Away Team Goals]]</f>
        <v>1</v>
      </c>
      <c r="V773" s="11">
        <f>World_Cup_Matches[[#This Row],[Home Team Goals]]-World_Cup_Matches[[#This Row],[Away Team Goals]]</f>
        <v>-1</v>
      </c>
      <c r="W773" s="4" t="str">
        <f>IF(World_Cup_Matches[[#This Row],[Home Team Goals]]&gt;World_Cup_Matches[[#This Row],[Away Team Goals]],World_Cup_Matches[[#This Row],[Home Team Name]],IF(World_Cup_Matches[[#This Row],[Away Team Goals]]&gt;World_Cup_Matches[[#This Row],[Home Team Goals]], World_Cup_Matches[[#This Row],[Away Team Name]],"Draw"))</f>
        <v>Spain</v>
      </c>
      <c r="X773" s="4" t="str">
        <f>IF(World_Cup_Matches[[#This Row],[Home Team Goals]]&gt;World_Cup_Matches[[#This Row],[Away Team Goals]],"Hime Win",IF(World_Cup_Matches[[#This Row],[Away Team Goals]]&gt;World_Cup_Matches[[#This Row],[Home Team Goals]],"Away win","Draw"))</f>
        <v>Away win</v>
      </c>
    </row>
    <row r="774" spans="1:24" x14ac:dyDescent="0.2">
      <c r="A774" s="19">
        <v>2014</v>
      </c>
      <c r="B774" s="15" t="s">
        <v>1700</v>
      </c>
      <c r="C774" s="3" t="s">
        <v>609</v>
      </c>
      <c r="D774" s="3" t="s">
        <v>1701</v>
      </c>
      <c r="E774" s="3" t="s">
        <v>233</v>
      </c>
      <c r="F774" s="3" t="s">
        <v>42</v>
      </c>
      <c r="G774" s="11">
        <v>3</v>
      </c>
      <c r="H774" s="11">
        <v>1</v>
      </c>
      <c r="I774" s="3" t="s">
        <v>1172</v>
      </c>
      <c r="J774" s="3" t="s">
        <v>1842</v>
      </c>
      <c r="K774" s="3">
        <v>62103</v>
      </c>
      <c r="L774" s="11">
        <v>1</v>
      </c>
      <c r="M774" s="11">
        <v>1</v>
      </c>
      <c r="N774" s="3" t="s">
        <v>1573</v>
      </c>
      <c r="O774" s="3" t="s">
        <v>1574</v>
      </c>
      <c r="P774" s="3" t="s">
        <v>1702</v>
      </c>
      <c r="Q774" s="11">
        <v>255931</v>
      </c>
      <c r="R774" s="11">
        <v>300186456</v>
      </c>
      <c r="S774" s="3" t="s">
        <v>47</v>
      </c>
      <c r="T774" s="4" t="s">
        <v>1177</v>
      </c>
      <c r="U774" s="11">
        <f>World_Cup_Matches[[#This Row],[Home Team Goals]]+World_Cup_Matches[[#This Row],[Away Team Goals]]</f>
        <v>4</v>
      </c>
      <c r="V774" s="11">
        <f>World_Cup_Matches[[#This Row],[Home Team Goals]]-World_Cup_Matches[[#This Row],[Away Team Goals]]</f>
        <v>2</v>
      </c>
      <c r="W774" s="4" t="str">
        <f>IF(World_Cup_Matches[[#This Row],[Home Team Goals]]&gt;World_Cup_Matches[[#This Row],[Away Team Goals]],World_Cup_Matches[[#This Row],[Home Team Name]],IF(World_Cup_Matches[[#This Row],[Away Team Goals]]&gt;World_Cup_Matches[[#This Row],[Home Team Goals]], World_Cup_Matches[[#This Row],[Away Team Name]],"Draw"))</f>
        <v>Brazil</v>
      </c>
      <c r="X774" s="4" t="str">
        <f>IF(World_Cup_Matches[[#This Row],[Home Team Goals]]&gt;World_Cup_Matches[[#This Row],[Away Team Goals]],"Hime Win",IF(World_Cup_Matches[[#This Row],[Away Team Goals]]&gt;World_Cup_Matches[[#This Row],[Home Team Goals]],"Away win","Draw"))</f>
        <v>Hime Win</v>
      </c>
    </row>
    <row r="775" spans="1:24" x14ac:dyDescent="0.2">
      <c r="A775" s="19">
        <v>2014</v>
      </c>
      <c r="B775" s="15" t="s">
        <v>1703</v>
      </c>
      <c r="C775" s="3" t="s">
        <v>609</v>
      </c>
      <c r="D775" s="3" t="s">
        <v>1704</v>
      </c>
      <c r="E775" s="3" t="s">
        <v>1705</v>
      </c>
      <c r="F775" s="3" t="s">
        <v>25</v>
      </c>
      <c r="G775" s="11">
        <v>1</v>
      </c>
      <c r="H775" s="11">
        <v>0</v>
      </c>
      <c r="I775" s="3" t="s">
        <v>700</v>
      </c>
      <c r="J775" s="3" t="s">
        <v>1842</v>
      </c>
      <c r="K775" s="3">
        <v>39216</v>
      </c>
      <c r="L775" s="11">
        <v>0</v>
      </c>
      <c r="M775" s="11">
        <v>0</v>
      </c>
      <c r="N775" s="3" t="s">
        <v>1706</v>
      </c>
      <c r="O775" s="3" t="s">
        <v>1644</v>
      </c>
      <c r="P775" s="3" t="s">
        <v>1707</v>
      </c>
      <c r="Q775" s="11">
        <v>255931</v>
      </c>
      <c r="R775" s="11">
        <v>300186492</v>
      </c>
      <c r="S775" s="3" t="s">
        <v>30</v>
      </c>
      <c r="T775" s="4" t="s">
        <v>702</v>
      </c>
      <c r="U775" s="11">
        <f>World_Cup_Matches[[#This Row],[Home Team Goals]]+World_Cup_Matches[[#This Row],[Away Team Goals]]</f>
        <v>1</v>
      </c>
      <c r="V775" s="11">
        <f>World_Cup_Matches[[#This Row],[Home Team Goals]]-World_Cup_Matches[[#This Row],[Away Team Goals]]</f>
        <v>1</v>
      </c>
      <c r="W775" s="4" t="str">
        <f>IF(World_Cup_Matches[[#This Row],[Home Team Goals]]&gt;World_Cup_Matches[[#This Row],[Away Team Goals]],World_Cup_Matches[[#This Row],[Home Team Name]],IF(World_Cup_Matches[[#This Row],[Away Team Goals]]&gt;World_Cup_Matches[[#This Row],[Home Team Goals]], World_Cup_Matches[[#This Row],[Away Team Name]],"Draw"))</f>
        <v>Mexico</v>
      </c>
      <c r="X775" s="4" t="str">
        <f>IF(World_Cup_Matches[[#This Row],[Home Team Goals]]&gt;World_Cup_Matches[[#This Row],[Away Team Goals]],"Hime Win",IF(World_Cup_Matches[[#This Row],[Away Team Goals]]&gt;World_Cup_Matches[[#This Row],[Home Team Goals]],"Away win","Draw"))</f>
        <v>Hime Win</v>
      </c>
    </row>
    <row r="776" spans="1:24" x14ac:dyDescent="0.2">
      <c r="A776" s="19">
        <v>2014</v>
      </c>
      <c r="B776" s="15" t="s">
        <v>1708</v>
      </c>
      <c r="C776" s="3" t="s">
        <v>607</v>
      </c>
      <c r="D776" s="3" t="s">
        <v>1709</v>
      </c>
      <c r="E776" s="3" t="s">
        <v>1710</v>
      </c>
      <c r="F776" s="3" t="s">
        <v>131</v>
      </c>
      <c r="G776" s="11">
        <v>1</v>
      </c>
      <c r="H776" s="11">
        <v>5</v>
      </c>
      <c r="I776" s="3" t="s">
        <v>109</v>
      </c>
      <c r="J776" s="3" t="s">
        <v>1842</v>
      </c>
      <c r="K776" s="3">
        <v>48173</v>
      </c>
      <c r="L776" s="11">
        <v>1</v>
      </c>
      <c r="M776" s="11">
        <v>1</v>
      </c>
      <c r="N776" s="3" t="s">
        <v>1711</v>
      </c>
      <c r="O776" s="3" t="s">
        <v>1712</v>
      </c>
      <c r="P776" s="3" t="s">
        <v>1713</v>
      </c>
      <c r="Q776" s="11">
        <v>255931</v>
      </c>
      <c r="R776" s="11">
        <v>300186510</v>
      </c>
      <c r="S776" s="3" t="s">
        <v>135</v>
      </c>
      <c r="T776" s="4" t="s">
        <v>114</v>
      </c>
      <c r="U776" s="11">
        <f>World_Cup_Matches[[#This Row],[Home Team Goals]]+World_Cup_Matches[[#This Row],[Away Team Goals]]</f>
        <v>6</v>
      </c>
      <c r="V776" s="11">
        <f>World_Cup_Matches[[#This Row],[Home Team Goals]]-World_Cup_Matches[[#This Row],[Away Team Goals]]</f>
        <v>-4</v>
      </c>
      <c r="W776" s="4" t="str">
        <f>IF(World_Cup_Matches[[#This Row],[Home Team Goals]]&gt;World_Cup_Matches[[#This Row],[Away Team Goals]],World_Cup_Matches[[#This Row],[Home Team Name]],IF(World_Cup_Matches[[#This Row],[Away Team Goals]]&gt;World_Cup_Matches[[#This Row],[Home Team Goals]], World_Cup_Matches[[#This Row],[Away Team Name]],"Draw"))</f>
        <v>Netherlands</v>
      </c>
      <c r="X776" s="4" t="str">
        <f>IF(World_Cup_Matches[[#This Row],[Home Team Goals]]&gt;World_Cup_Matches[[#This Row],[Away Team Goals]],"Hime Win",IF(World_Cup_Matches[[#This Row],[Away Team Goals]]&gt;World_Cup_Matches[[#This Row],[Home Team Goals]],"Away win","Draw"))</f>
        <v>Away win</v>
      </c>
    </row>
    <row r="777" spans="1:24" x14ac:dyDescent="0.2">
      <c r="A777" s="19">
        <v>2014</v>
      </c>
      <c r="B777" s="15" t="s">
        <v>1714</v>
      </c>
      <c r="C777" s="3" t="s">
        <v>607</v>
      </c>
      <c r="D777" s="3" t="s">
        <v>1715</v>
      </c>
      <c r="E777" s="3" t="s">
        <v>1716</v>
      </c>
      <c r="F777" s="3" t="s">
        <v>61</v>
      </c>
      <c r="G777" s="11">
        <v>3</v>
      </c>
      <c r="H777" s="11">
        <v>1</v>
      </c>
      <c r="I777" s="3" t="s">
        <v>556</v>
      </c>
      <c r="J777" s="3" t="s">
        <v>1842</v>
      </c>
      <c r="K777" s="3">
        <v>40275</v>
      </c>
      <c r="L777" s="11">
        <v>2</v>
      </c>
      <c r="M777" s="11">
        <v>1</v>
      </c>
      <c r="N777" s="3" t="s">
        <v>1717</v>
      </c>
      <c r="O777" s="3" t="s">
        <v>1718</v>
      </c>
      <c r="P777" s="3" t="s">
        <v>1719</v>
      </c>
      <c r="Q777" s="11">
        <v>255931</v>
      </c>
      <c r="R777" s="11">
        <v>300186473</v>
      </c>
      <c r="S777" s="3" t="s">
        <v>63</v>
      </c>
      <c r="T777" s="4" t="s">
        <v>561</v>
      </c>
      <c r="U777" s="11">
        <f>World_Cup_Matches[[#This Row],[Home Team Goals]]+World_Cup_Matches[[#This Row],[Away Team Goals]]</f>
        <v>4</v>
      </c>
      <c r="V777" s="11">
        <f>World_Cup_Matches[[#This Row],[Home Team Goals]]-World_Cup_Matches[[#This Row],[Away Team Goals]]</f>
        <v>2</v>
      </c>
      <c r="W777" s="4" t="str">
        <f>IF(World_Cup_Matches[[#This Row],[Home Team Goals]]&gt;World_Cup_Matches[[#This Row],[Away Team Goals]],World_Cup_Matches[[#This Row],[Home Team Name]],IF(World_Cup_Matches[[#This Row],[Away Team Goals]]&gt;World_Cup_Matches[[#This Row],[Home Team Goals]], World_Cup_Matches[[#This Row],[Away Team Name]],"Draw"))</f>
        <v>Chile</v>
      </c>
      <c r="X777" s="4" t="str">
        <f>IF(World_Cup_Matches[[#This Row],[Home Team Goals]]&gt;World_Cup_Matches[[#This Row],[Away Team Goals]],"Hime Win",IF(World_Cup_Matches[[#This Row],[Away Team Goals]]&gt;World_Cup_Matches[[#This Row],[Home Team Goals]],"Away win","Draw"))</f>
        <v>Hime Win</v>
      </c>
    </row>
    <row r="778" spans="1:24" x14ac:dyDescent="0.2">
      <c r="A778" s="19">
        <v>2014</v>
      </c>
      <c r="B778" s="15" t="s">
        <v>1720</v>
      </c>
      <c r="C778" s="3" t="s">
        <v>805</v>
      </c>
      <c r="D778" s="3" t="s">
        <v>1721</v>
      </c>
      <c r="E778" s="3" t="s">
        <v>237</v>
      </c>
      <c r="F778" s="3" t="s">
        <v>390</v>
      </c>
      <c r="G778" s="11">
        <v>3</v>
      </c>
      <c r="H778" s="11">
        <v>0</v>
      </c>
      <c r="I778" s="3" t="s">
        <v>1051</v>
      </c>
      <c r="J778" s="3" t="s">
        <v>1842</v>
      </c>
      <c r="K778" s="3">
        <v>57174</v>
      </c>
      <c r="L778" s="11">
        <v>1</v>
      </c>
      <c r="M778" s="11">
        <v>0</v>
      </c>
      <c r="N778" s="3" t="s">
        <v>1722</v>
      </c>
      <c r="O778" s="3" t="s">
        <v>1723</v>
      </c>
      <c r="P778" s="3" t="s">
        <v>1724</v>
      </c>
      <c r="Q778" s="11">
        <v>255931</v>
      </c>
      <c r="R778" s="11">
        <v>300186471</v>
      </c>
      <c r="S778" s="3" t="s">
        <v>394</v>
      </c>
      <c r="T778" s="4" t="s">
        <v>1053</v>
      </c>
      <c r="U778" s="11">
        <f>World_Cup_Matches[[#This Row],[Home Team Goals]]+World_Cup_Matches[[#This Row],[Away Team Goals]]</f>
        <v>3</v>
      </c>
      <c r="V778" s="11">
        <f>World_Cup_Matches[[#This Row],[Home Team Goals]]-World_Cup_Matches[[#This Row],[Away Team Goals]]</f>
        <v>3</v>
      </c>
      <c r="W778" s="4" t="str">
        <f>IF(World_Cup_Matches[[#This Row],[Home Team Goals]]&gt;World_Cup_Matches[[#This Row],[Away Team Goals]],World_Cup_Matches[[#This Row],[Home Team Name]],IF(World_Cup_Matches[[#This Row],[Away Team Goals]]&gt;World_Cup_Matches[[#This Row],[Home Team Goals]], World_Cup_Matches[[#This Row],[Away Team Name]],"Draw"))</f>
        <v>Colombia</v>
      </c>
      <c r="X778" s="4" t="str">
        <f>IF(World_Cup_Matches[[#This Row],[Home Team Goals]]&gt;World_Cup_Matches[[#This Row],[Away Team Goals]],"Hime Win",IF(World_Cup_Matches[[#This Row],[Away Team Goals]]&gt;World_Cup_Matches[[#This Row],[Home Team Goals]],"Away win","Draw"))</f>
        <v>Hime Win</v>
      </c>
    </row>
    <row r="779" spans="1:24" x14ac:dyDescent="0.2">
      <c r="A779" s="19">
        <v>2014</v>
      </c>
      <c r="B779" s="15" t="s">
        <v>1725</v>
      </c>
      <c r="C779" s="3" t="s">
        <v>811</v>
      </c>
      <c r="D779" s="3" t="s">
        <v>1726</v>
      </c>
      <c r="E779" s="3" t="s">
        <v>1727</v>
      </c>
      <c r="F779" s="3" t="s">
        <v>72</v>
      </c>
      <c r="G779" s="11">
        <v>1</v>
      </c>
      <c r="H779" s="11">
        <v>3</v>
      </c>
      <c r="I779" s="3" t="s">
        <v>925</v>
      </c>
      <c r="J779" s="3" t="s">
        <v>1842</v>
      </c>
      <c r="K779" s="3">
        <v>58679</v>
      </c>
      <c r="L779" s="11">
        <v>1</v>
      </c>
      <c r="M779" s="11">
        <v>0</v>
      </c>
      <c r="N779" s="3" t="s">
        <v>1728</v>
      </c>
      <c r="O779" s="3" t="s">
        <v>1729</v>
      </c>
      <c r="P779" s="3" t="s">
        <v>1730</v>
      </c>
      <c r="Q779" s="11">
        <v>255931</v>
      </c>
      <c r="R779" s="11">
        <v>300186489</v>
      </c>
      <c r="S779" s="3" t="s">
        <v>73</v>
      </c>
      <c r="T779" s="4" t="s">
        <v>929</v>
      </c>
      <c r="U779" s="11">
        <f>World_Cup_Matches[[#This Row],[Home Team Goals]]+World_Cup_Matches[[#This Row],[Away Team Goals]]</f>
        <v>4</v>
      </c>
      <c r="V779" s="11">
        <f>World_Cup_Matches[[#This Row],[Home Team Goals]]-World_Cup_Matches[[#This Row],[Away Team Goals]]</f>
        <v>-2</v>
      </c>
      <c r="W779" s="4" t="str">
        <f>IF(World_Cup_Matches[[#This Row],[Home Team Goals]]&gt;World_Cup_Matches[[#This Row],[Away Team Goals]],World_Cup_Matches[[#This Row],[Home Team Name]],IF(World_Cup_Matches[[#This Row],[Away Team Goals]]&gt;World_Cup_Matches[[#This Row],[Home Team Goals]], World_Cup_Matches[[#This Row],[Away Team Name]],"Draw"))</f>
        <v>Costa Rica</v>
      </c>
      <c r="X779" s="4" t="str">
        <f>IF(World_Cup_Matches[[#This Row],[Home Team Goals]]&gt;World_Cup_Matches[[#This Row],[Away Team Goals]],"Hime Win",IF(World_Cup_Matches[[#This Row],[Away Team Goals]]&gt;World_Cup_Matches[[#This Row],[Home Team Goals]],"Away win","Draw"))</f>
        <v>Away win</v>
      </c>
    </row>
    <row r="780" spans="1:24" x14ac:dyDescent="0.2">
      <c r="A780" s="19">
        <v>2014</v>
      </c>
      <c r="B780" s="15" t="s">
        <v>1731</v>
      </c>
      <c r="C780" s="3" t="s">
        <v>811</v>
      </c>
      <c r="D780" s="3" t="s">
        <v>1732</v>
      </c>
      <c r="E780" s="3" t="s">
        <v>1733</v>
      </c>
      <c r="F780" s="3" t="s">
        <v>223</v>
      </c>
      <c r="G780" s="11">
        <v>1</v>
      </c>
      <c r="H780" s="11">
        <v>2</v>
      </c>
      <c r="I780" s="3" t="s">
        <v>138</v>
      </c>
      <c r="J780" s="3" t="s">
        <v>1842</v>
      </c>
      <c r="K780" s="3">
        <v>39800</v>
      </c>
      <c r="L780" s="11">
        <v>1</v>
      </c>
      <c r="M780" s="11">
        <v>1</v>
      </c>
      <c r="N780" s="3" t="s">
        <v>1734</v>
      </c>
      <c r="O780" s="3" t="s">
        <v>1735</v>
      </c>
      <c r="P780" s="3" t="s">
        <v>1736</v>
      </c>
      <c r="Q780" s="11">
        <v>255931</v>
      </c>
      <c r="R780" s="11">
        <v>300186513</v>
      </c>
      <c r="S780" s="3" t="s">
        <v>227</v>
      </c>
      <c r="T780" s="4" t="s">
        <v>142</v>
      </c>
      <c r="U780" s="11">
        <f>World_Cup_Matches[[#This Row],[Home Team Goals]]+World_Cup_Matches[[#This Row],[Away Team Goals]]</f>
        <v>3</v>
      </c>
      <c r="V780" s="11">
        <f>World_Cup_Matches[[#This Row],[Home Team Goals]]-World_Cup_Matches[[#This Row],[Away Team Goals]]</f>
        <v>-1</v>
      </c>
      <c r="W780" s="4" t="str">
        <f>IF(World_Cup_Matches[[#This Row],[Home Team Goals]]&gt;World_Cup_Matches[[#This Row],[Away Team Goals]],World_Cup_Matches[[#This Row],[Home Team Name]],IF(World_Cup_Matches[[#This Row],[Away Team Goals]]&gt;World_Cup_Matches[[#This Row],[Home Team Goals]], World_Cup_Matches[[#This Row],[Away Team Name]],"Draw"))</f>
        <v>Italy</v>
      </c>
      <c r="X780" s="4" t="str">
        <f>IF(World_Cup_Matches[[#This Row],[Home Team Goals]]&gt;World_Cup_Matches[[#This Row],[Away Team Goals]],"Hime Win",IF(World_Cup_Matches[[#This Row],[Away Team Goals]]&gt;World_Cup_Matches[[#This Row],[Home Team Goals]],"Away win","Draw"))</f>
        <v>Away win</v>
      </c>
    </row>
    <row r="781" spans="1:24" x14ac:dyDescent="0.2">
      <c r="A781" s="19">
        <v>2014</v>
      </c>
      <c r="B781" s="15" t="s">
        <v>1737</v>
      </c>
      <c r="C781" s="3" t="s">
        <v>805</v>
      </c>
      <c r="D781" s="3" t="s">
        <v>1738</v>
      </c>
      <c r="E781" s="3" t="s">
        <v>259</v>
      </c>
      <c r="F781" s="3" t="s">
        <v>1444</v>
      </c>
      <c r="G781" s="11">
        <v>2</v>
      </c>
      <c r="H781" s="11">
        <v>1</v>
      </c>
      <c r="I781" s="3" t="s">
        <v>1161</v>
      </c>
      <c r="J781" s="3" t="s">
        <v>1842</v>
      </c>
      <c r="K781" s="3">
        <v>40267</v>
      </c>
      <c r="L781" s="11">
        <v>0</v>
      </c>
      <c r="M781" s="11">
        <v>1</v>
      </c>
      <c r="N781" s="3" t="s">
        <v>1739</v>
      </c>
      <c r="O781" s="3" t="s">
        <v>1740</v>
      </c>
      <c r="P781" s="3" t="s">
        <v>1741</v>
      </c>
      <c r="Q781" s="11">
        <v>255931</v>
      </c>
      <c r="R781" s="11">
        <v>300186507</v>
      </c>
      <c r="S781" s="3" t="s">
        <v>1448</v>
      </c>
      <c r="T781" s="4" t="s">
        <v>1164</v>
      </c>
      <c r="U781" s="11">
        <f>World_Cup_Matches[[#This Row],[Home Team Goals]]+World_Cup_Matches[[#This Row],[Away Team Goals]]</f>
        <v>3</v>
      </c>
      <c r="V781" s="11">
        <f>World_Cup_Matches[[#This Row],[Home Team Goals]]-World_Cup_Matches[[#This Row],[Away Team Goals]]</f>
        <v>1</v>
      </c>
      <c r="W781" s="4" t="str">
        <f>IF(World_Cup_Matches[[#This Row],[Home Team Goals]]&gt;World_Cup_Matches[[#This Row],[Away Team Goals]],World_Cup_Matches[[#This Row],[Home Team Name]],IF(World_Cup_Matches[[#This Row],[Away Team Goals]]&gt;World_Cup_Matches[[#This Row],[Home Team Goals]], World_Cup_Matches[[#This Row],[Away Team Name]],"Draw"))</f>
        <v>Cï¿½te d'Ivoire</v>
      </c>
      <c r="X781" s="4" t="str">
        <f>IF(World_Cup_Matches[[#This Row],[Home Team Goals]]&gt;World_Cup_Matches[[#This Row],[Away Team Goals]],"Hime Win",IF(World_Cup_Matches[[#This Row],[Away Team Goals]]&gt;World_Cup_Matches[[#This Row],[Home Team Goals]],"Away win","Draw"))</f>
        <v>Hime Win</v>
      </c>
    </row>
    <row r="782" spans="1:24" x14ac:dyDescent="0.2">
      <c r="A782" s="19">
        <v>2014</v>
      </c>
      <c r="B782" s="15" t="s">
        <v>1742</v>
      </c>
      <c r="C782" s="3" t="s">
        <v>846</v>
      </c>
      <c r="D782" s="3" t="s">
        <v>1743</v>
      </c>
      <c r="E782" s="3" t="s">
        <v>1744</v>
      </c>
      <c r="F782" s="3" t="s">
        <v>108</v>
      </c>
      <c r="G782" s="11">
        <v>2</v>
      </c>
      <c r="H782" s="11">
        <v>1</v>
      </c>
      <c r="I782" s="3" t="s">
        <v>1303</v>
      </c>
      <c r="J782" s="3" t="s">
        <v>1842</v>
      </c>
      <c r="K782" s="3">
        <v>68351</v>
      </c>
      <c r="L782" s="11">
        <v>0</v>
      </c>
      <c r="M782" s="11">
        <v>1</v>
      </c>
      <c r="N782" s="3" t="s">
        <v>1567</v>
      </c>
      <c r="O782" s="3" t="s">
        <v>1745</v>
      </c>
      <c r="P782" s="3" t="s">
        <v>1569</v>
      </c>
      <c r="Q782" s="11">
        <v>255931</v>
      </c>
      <c r="R782" s="11">
        <v>300186494</v>
      </c>
      <c r="S782" s="3" t="s">
        <v>113</v>
      </c>
      <c r="T782" s="4" t="s">
        <v>1307</v>
      </c>
      <c r="U782" s="11">
        <f>World_Cup_Matches[[#This Row],[Home Team Goals]]+World_Cup_Matches[[#This Row],[Away Team Goals]]</f>
        <v>3</v>
      </c>
      <c r="V782" s="11">
        <f>World_Cup_Matches[[#This Row],[Home Team Goals]]-World_Cup_Matches[[#This Row],[Away Team Goals]]</f>
        <v>1</v>
      </c>
      <c r="W782" s="4" t="str">
        <f>IF(World_Cup_Matches[[#This Row],[Home Team Goals]]&gt;World_Cup_Matches[[#This Row],[Away Team Goals]],World_Cup_Matches[[#This Row],[Home Team Name]],IF(World_Cup_Matches[[#This Row],[Away Team Goals]]&gt;World_Cup_Matches[[#This Row],[Home Team Goals]], World_Cup_Matches[[#This Row],[Away Team Name]],"Draw"))</f>
        <v>Switzerland</v>
      </c>
      <c r="X782" s="4" t="str">
        <f>IF(World_Cup_Matches[[#This Row],[Home Team Goals]]&gt;World_Cup_Matches[[#This Row],[Away Team Goals]],"Hime Win",IF(World_Cup_Matches[[#This Row],[Away Team Goals]]&gt;World_Cup_Matches[[#This Row],[Home Team Goals]],"Away win","Draw"))</f>
        <v>Hime Win</v>
      </c>
    </row>
    <row r="783" spans="1:24" x14ac:dyDescent="0.2">
      <c r="A783" s="19">
        <v>2014</v>
      </c>
      <c r="B783" s="15" t="s">
        <v>1746</v>
      </c>
      <c r="C783" s="3" t="s">
        <v>846</v>
      </c>
      <c r="D783" s="3" t="s">
        <v>1747</v>
      </c>
      <c r="E783" s="3" t="s">
        <v>244</v>
      </c>
      <c r="F783" s="3" t="s">
        <v>24</v>
      </c>
      <c r="G783" s="11">
        <v>3</v>
      </c>
      <c r="H783" s="11">
        <v>0</v>
      </c>
      <c r="I783" s="3" t="s">
        <v>730</v>
      </c>
      <c r="J783" s="3" t="s">
        <v>1842</v>
      </c>
      <c r="K783" s="3">
        <v>43012</v>
      </c>
      <c r="L783" s="11">
        <v>1</v>
      </c>
      <c r="M783" s="11">
        <v>0</v>
      </c>
      <c r="N783" s="3" t="s">
        <v>1748</v>
      </c>
      <c r="O783" s="3" t="s">
        <v>1749</v>
      </c>
      <c r="P783" s="3" t="s">
        <v>1750</v>
      </c>
      <c r="Q783" s="11">
        <v>255931</v>
      </c>
      <c r="R783" s="11">
        <v>300186496</v>
      </c>
      <c r="S783" s="3" t="s">
        <v>29</v>
      </c>
      <c r="T783" s="4" t="s">
        <v>733</v>
      </c>
      <c r="U783" s="11">
        <f>World_Cup_Matches[[#This Row],[Home Team Goals]]+World_Cup_Matches[[#This Row],[Away Team Goals]]</f>
        <v>3</v>
      </c>
      <c r="V783" s="11">
        <f>World_Cup_Matches[[#This Row],[Home Team Goals]]-World_Cup_Matches[[#This Row],[Away Team Goals]]</f>
        <v>3</v>
      </c>
      <c r="W783" s="4" t="str">
        <f>IF(World_Cup_Matches[[#This Row],[Home Team Goals]]&gt;World_Cup_Matches[[#This Row],[Away Team Goals]],World_Cup_Matches[[#This Row],[Home Team Name]],IF(World_Cup_Matches[[#This Row],[Away Team Goals]]&gt;World_Cup_Matches[[#This Row],[Home Team Goals]], World_Cup_Matches[[#This Row],[Away Team Name]],"Draw"))</f>
        <v>France</v>
      </c>
      <c r="X783" s="4" t="str">
        <f>IF(World_Cup_Matches[[#This Row],[Home Team Goals]]&gt;World_Cup_Matches[[#This Row],[Away Team Goals]],"Hime Win",IF(World_Cup_Matches[[#This Row],[Away Team Goals]]&gt;World_Cup_Matches[[#This Row],[Home Team Goals]],"Away win","Draw"))</f>
        <v>Hime Win</v>
      </c>
    </row>
    <row r="784" spans="1:24" x14ac:dyDescent="0.2">
      <c r="A784" s="19">
        <v>2014</v>
      </c>
      <c r="B784" s="15" t="s">
        <v>1751</v>
      </c>
      <c r="C784" s="3" t="s">
        <v>824</v>
      </c>
      <c r="D784" s="3" t="s">
        <v>1752</v>
      </c>
      <c r="E784" s="3" t="s">
        <v>218</v>
      </c>
      <c r="F784" s="3" t="s">
        <v>56</v>
      </c>
      <c r="G784" s="11">
        <v>2</v>
      </c>
      <c r="H784" s="11">
        <v>1</v>
      </c>
      <c r="I784" s="3" t="s">
        <v>1753</v>
      </c>
      <c r="J784" s="3" t="s">
        <v>1842</v>
      </c>
      <c r="K784" s="3">
        <v>74738</v>
      </c>
      <c r="L784" s="11">
        <v>1</v>
      </c>
      <c r="M784" s="11">
        <v>0</v>
      </c>
      <c r="N784" s="3" t="s">
        <v>1754</v>
      </c>
      <c r="O784" s="3" t="s">
        <v>1755</v>
      </c>
      <c r="P784" s="3" t="s">
        <v>1756</v>
      </c>
      <c r="Q784" s="11">
        <v>255931</v>
      </c>
      <c r="R784" s="11">
        <v>300186477</v>
      </c>
      <c r="S784" s="3" t="s">
        <v>59</v>
      </c>
      <c r="T784" s="4" t="s">
        <v>1757</v>
      </c>
      <c r="U784" s="11">
        <f>World_Cup_Matches[[#This Row],[Home Team Goals]]+World_Cup_Matches[[#This Row],[Away Team Goals]]</f>
        <v>3</v>
      </c>
      <c r="V784" s="11">
        <f>World_Cup_Matches[[#This Row],[Home Team Goals]]-World_Cup_Matches[[#This Row],[Away Team Goals]]</f>
        <v>1</v>
      </c>
      <c r="W784" s="4" t="str">
        <f>IF(World_Cup_Matches[[#This Row],[Home Team Goals]]&gt;World_Cup_Matches[[#This Row],[Away Team Goals]],World_Cup_Matches[[#This Row],[Home Team Name]],IF(World_Cup_Matches[[#This Row],[Away Team Goals]]&gt;World_Cup_Matches[[#This Row],[Home Team Goals]], World_Cup_Matches[[#This Row],[Away Team Name]],"Draw"))</f>
        <v>Argentina</v>
      </c>
      <c r="X784" s="4" t="str">
        <f>IF(World_Cup_Matches[[#This Row],[Home Team Goals]]&gt;World_Cup_Matches[[#This Row],[Away Team Goals]],"Hime Win",IF(World_Cup_Matches[[#This Row],[Away Team Goals]]&gt;World_Cup_Matches[[#This Row],[Home Team Goals]],"Away win","Draw"))</f>
        <v>Hime Win</v>
      </c>
    </row>
    <row r="785" spans="1:24" x14ac:dyDescent="0.2">
      <c r="A785" s="19">
        <v>2014</v>
      </c>
      <c r="B785" s="15" t="s">
        <v>1758</v>
      </c>
      <c r="C785" s="3" t="s">
        <v>1179</v>
      </c>
      <c r="D785" s="3" t="s">
        <v>1709</v>
      </c>
      <c r="E785" s="3" t="s">
        <v>1710</v>
      </c>
      <c r="F785" s="3" t="s">
        <v>124</v>
      </c>
      <c r="G785" s="11">
        <v>4</v>
      </c>
      <c r="H785" s="11">
        <v>0</v>
      </c>
      <c r="I785" s="3" t="s">
        <v>458</v>
      </c>
      <c r="J785" s="3" t="s">
        <v>1842</v>
      </c>
      <c r="K785" s="3">
        <v>51081</v>
      </c>
      <c r="L785" s="11">
        <v>3</v>
      </c>
      <c r="M785" s="11">
        <v>0</v>
      </c>
      <c r="N785" s="3" t="s">
        <v>1759</v>
      </c>
      <c r="O785" s="3" t="s">
        <v>1760</v>
      </c>
      <c r="P785" s="3" t="s">
        <v>1761</v>
      </c>
      <c r="Q785" s="11">
        <v>255931</v>
      </c>
      <c r="R785" s="11">
        <v>300186475</v>
      </c>
      <c r="S785" s="3" t="s">
        <v>128</v>
      </c>
      <c r="T785" s="4" t="s">
        <v>462</v>
      </c>
      <c r="U785" s="11">
        <f>World_Cup_Matches[[#This Row],[Home Team Goals]]+World_Cup_Matches[[#This Row],[Away Team Goals]]</f>
        <v>4</v>
      </c>
      <c r="V785" s="11">
        <f>World_Cup_Matches[[#This Row],[Home Team Goals]]-World_Cup_Matches[[#This Row],[Away Team Goals]]</f>
        <v>4</v>
      </c>
      <c r="W785" s="4" t="str">
        <f>IF(World_Cup_Matches[[#This Row],[Home Team Goals]]&gt;World_Cup_Matches[[#This Row],[Away Team Goals]],World_Cup_Matches[[#This Row],[Home Team Name]],IF(World_Cup_Matches[[#This Row],[Away Team Goals]]&gt;World_Cup_Matches[[#This Row],[Home Team Goals]], World_Cup_Matches[[#This Row],[Away Team Name]],"Draw"))</f>
        <v>Germany</v>
      </c>
      <c r="X785" s="4" t="str">
        <f>IF(World_Cup_Matches[[#This Row],[Home Team Goals]]&gt;World_Cup_Matches[[#This Row],[Away Team Goals]],"Hime Win",IF(World_Cup_Matches[[#This Row],[Away Team Goals]]&gt;World_Cup_Matches[[#This Row],[Home Team Goals]],"Away win","Draw"))</f>
        <v>Hime Win</v>
      </c>
    </row>
    <row r="786" spans="1:24" x14ac:dyDescent="0.2">
      <c r="A786" s="19">
        <v>2014</v>
      </c>
      <c r="B786" s="15" t="s">
        <v>1762</v>
      </c>
      <c r="C786" s="3" t="s">
        <v>824</v>
      </c>
      <c r="D786" s="3" t="s">
        <v>1763</v>
      </c>
      <c r="E786" s="3" t="s">
        <v>229</v>
      </c>
      <c r="F786" s="3" t="s">
        <v>648</v>
      </c>
      <c r="G786" s="11">
        <v>0</v>
      </c>
      <c r="H786" s="11">
        <v>0</v>
      </c>
      <c r="I786" s="3" t="s">
        <v>1055</v>
      </c>
      <c r="J786" s="3" t="s">
        <v>1842</v>
      </c>
      <c r="K786" s="3">
        <v>39081</v>
      </c>
      <c r="L786" s="11">
        <v>0</v>
      </c>
      <c r="M786" s="11">
        <v>0</v>
      </c>
      <c r="N786" s="3" t="s">
        <v>1764</v>
      </c>
      <c r="O786" s="3" t="s">
        <v>1765</v>
      </c>
      <c r="P786" s="3" t="s">
        <v>1766</v>
      </c>
      <c r="Q786" s="11">
        <v>255931</v>
      </c>
      <c r="R786" s="11">
        <v>300186505</v>
      </c>
      <c r="S786" s="3" t="s">
        <v>650</v>
      </c>
      <c r="T786" s="4" t="s">
        <v>1057</v>
      </c>
      <c r="U786" s="11">
        <f>World_Cup_Matches[[#This Row],[Home Team Goals]]+World_Cup_Matches[[#This Row],[Away Team Goals]]</f>
        <v>0</v>
      </c>
      <c r="V786" s="11">
        <f>World_Cup_Matches[[#This Row],[Home Team Goals]]-World_Cup_Matches[[#This Row],[Away Team Goals]]</f>
        <v>0</v>
      </c>
      <c r="W786" s="4" t="str">
        <f>IF(World_Cup_Matches[[#This Row],[Home Team Goals]]&gt;World_Cup_Matches[[#This Row],[Away Team Goals]],World_Cup_Matches[[#This Row],[Home Team Name]],IF(World_Cup_Matches[[#This Row],[Away Team Goals]]&gt;World_Cup_Matches[[#This Row],[Home Team Goals]], World_Cup_Matches[[#This Row],[Away Team Name]],"Draw"))</f>
        <v>Draw</v>
      </c>
      <c r="X786" s="4" t="str">
        <f>IF(World_Cup_Matches[[#This Row],[Home Team Goals]]&gt;World_Cup_Matches[[#This Row],[Away Team Goals]],"Hime Win",IF(World_Cup_Matches[[#This Row],[Away Team Goals]]&gt;World_Cup_Matches[[#This Row],[Home Team Goals]],"Away win","Draw"))</f>
        <v>Draw</v>
      </c>
    </row>
    <row r="787" spans="1:24" x14ac:dyDescent="0.2">
      <c r="A787" s="19">
        <v>2014</v>
      </c>
      <c r="B787" s="15" t="s">
        <v>1767</v>
      </c>
      <c r="C787" s="3" t="s">
        <v>1179</v>
      </c>
      <c r="D787" s="3" t="s">
        <v>1704</v>
      </c>
      <c r="E787" s="3" t="s">
        <v>1705</v>
      </c>
      <c r="F787" s="3" t="s">
        <v>1483</v>
      </c>
      <c r="G787" s="11">
        <v>1</v>
      </c>
      <c r="H787" s="11">
        <v>2</v>
      </c>
      <c r="I787" s="3" t="s">
        <v>33</v>
      </c>
      <c r="J787" s="3" t="s">
        <v>1842</v>
      </c>
      <c r="K787" s="3">
        <v>39760</v>
      </c>
      <c r="L787" s="11">
        <v>0</v>
      </c>
      <c r="M787" s="11">
        <v>1</v>
      </c>
      <c r="N787" s="3" t="s">
        <v>1768</v>
      </c>
      <c r="O787" s="3" t="s">
        <v>1769</v>
      </c>
      <c r="P787" s="3" t="s">
        <v>1770</v>
      </c>
      <c r="Q787" s="11">
        <v>255931</v>
      </c>
      <c r="R787" s="11">
        <v>300186512</v>
      </c>
      <c r="S787" s="3" t="s">
        <v>1486</v>
      </c>
      <c r="T787" s="4" t="s">
        <v>33</v>
      </c>
      <c r="U787" s="11">
        <f>World_Cup_Matches[[#This Row],[Home Team Goals]]+World_Cup_Matches[[#This Row],[Away Team Goals]]</f>
        <v>3</v>
      </c>
      <c r="V787" s="11">
        <f>World_Cup_Matches[[#This Row],[Home Team Goals]]-World_Cup_Matches[[#This Row],[Away Team Goals]]</f>
        <v>-1</v>
      </c>
      <c r="W787" s="4" t="str">
        <f>IF(World_Cup_Matches[[#This Row],[Home Team Goals]]&gt;World_Cup_Matches[[#This Row],[Away Team Goals]],World_Cup_Matches[[#This Row],[Home Team Name]],IF(World_Cup_Matches[[#This Row],[Away Team Goals]]&gt;World_Cup_Matches[[#This Row],[Home Team Goals]], World_Cup_Matches[[#This Row],[Away Team Name]],"Draw"))</f>
        <v>USA</v>
      </c>
      <c r="X787" s="4" t="str">
        <f>IF(World_Cup_Matches[[#This Row],[Home Team Goals]]&gt;World_Cup_Matches[[#This Row],[Away Team Goals]],"Hime Win",IF(World_Cup_Matches[[#This Row],[Away Team Goals]]&gt;World_Cup_Matches[[#This Row],[Home Team Goals]],"Away win","Draw"))</f>
        <v>Away win</v>
      </c>
    </row>
    <row r="788" spans="1:24" x14ac:dyDescent="0.2">
      <c r="A788" s="19">
        <v>2014</v>
      </c>
      <c r="B788" s="15" t="s">
        <v>1771</v>
      </c>
      <c r="C788" s="3" t="s">
        <v>1160</v>
      </c>
      <c r="D788" s="3" t="s">
        <v>1721</v>
      </c>
      <c r="E788" s="3" t="s">
        <v>237</v>
      </c>
      <c r="F788" s="3" t="s">
        <v>34</v>
      </c>
      <c r="G788" s="11">
        <v>2</v>
      </c>
      <c r="H788" s="11">
        <v>1</v>
      </c>
      <c r="I788" s="3" t="s">
        <v>718</v>
      </c>
      <c r="J788" s="3" t="s">
        <v>1842</v>
      </c>
      <c r="K788" s="3">
        <v>56800</v>
      </c>
      <c r="L788" s="11">
        <v>0</v>
      </c>
      <c r="M788" s="11">
        <v>1</v>
      </c>
      <c r="N788" s="3" t="s">
        <v>1432</v>
      </c>
      <c r="O788" s="3" t="s">
        <v>1618</v>
      </c>
      <c r="P788" s="3" t="s">
        <v>1772</v>
      </c>
      <c r="Q788" s="11">
        <v>255931</v>
      </c>
      <c r="R788" s="11">
        <v>300186479</v>
      </c>
      <c r="S788" s="3" t="s">
        <v>38</v>
      </c>
      <c r="T788" s="4" t="s">
        <v>722</v>
      </c>
      <c r="U788" s="11">
        <f>World_Cup_Matches[[#This Row],[Home Team Goals]]+World_Cup_Matches[[#This Row],[Away Team Goals]]</f>
        <v>3</v>
      </c>
      <c r="V788" s="11">
        <f>World_Cup_Matches[[#This Row],[Home Team Goals]]-World_Cup_Matches[[#This Row],[Away Team Goals]]</f>
        <v>1</v>
      </c>
      <c r="W788" s="4" t="str">
        <f>IF(World_Cup_Matches[[#This Row],[Home Team Goals]]&gt;World_Cup_Matches[[#This Row],[Away Team Goals]],World_Cup_Matches[[#This Row],[Home Team Name]],IF(World_Cup_Matches[[#This Row],[Away Team Goals]]&gt;World_Cup_Matches[[#This Row],[Home Team Goals]], World_Cup_Matches[[#This Row],[Away Team Name]],"Draw"))</f>
        <v>Belgium</v>
      </c>
      <c r="X788" s="4" t="str">
        <f>IF(World_Cup_Matches[[#This Row],[Home Team Goals]]&gt;World_Cup_Matches[[#This Row],[Away Team Goals]],"Hime Win",IF(World_Cup_Matches[[#This Row],[Away Team Goals]]&gt;World_Cup_Matches[[#This Row],[Home Team Goals]],"Away win","Draw"))</f>
        <v>Hime Win</v>
      </c>
    </row>
    <row r="789" spans="1:24" x14ac:dyDescent="0.2">
      <c r="A789" s="19">
        <v>2014</v>
      </c>
      <c r="B789" s="15" t="s">
        <v>1773</v>
      </c>
      <c r="C789" s="3" t="s">
        <v>609</v>
      </c>
      <c r="D789" s="3" t="s">
        <v>1726</v>
      </c>
      <c r="E789" s="3" t="s">
        <v>1727</v>
      </c>
      <c r="F789" s="3" t="s">
        <v>42</v>
      </c>
      <c r="G789" s="11">
        <v>0</v>
      </c>
      <c r="H789" s="11">
        <v>0</v>
      </c>
      <c r="I789" s="3" t="s">
        <v>25</v>
      </c>
      <c r="J789" s="3" t="s">
        <v>1842</v>
      </c>
      <c r="K789" s="3">
        <v>60342</v>
      </c>
      <c r="L789" s="11">
        <v>0</v>
      </c>
      <c r="M789" s="11">
        <v>0</v>
      </c>
      <c r="N789" s="3" t="s">
        <v>1774</v>
      </c>
      <c r="O789" s="3" t="s">
        <v>1775</v>
      </c>
      <c r="P789" s="3" t="s">
        <v>1776</v>
      </c>
      <c r="Q789" s="11">
        <v>255931</v>
      </c>
      <c r="R789" s="11">
        <v>300186509</v>
      </c>
      <c r="S789" s="3" t="s">
        <v>47</v>
      </c>
      <c r="T789" s="4" t="s">
        <v>30</v>
      </c>
      <c r="U789" s="11">
        <f>World_Cup_Matches[[#This Row],[Home Team Goals]]+World_Cup_Matches[[#This Row],[Away Team Goals]]</f>
        <v>0</v>
      </c>
      <c r="V789" s="11">
        <f>World_Cup_Matches[[#This Row],[Home Team Goals]]-World_Cup_Matches[[#This Row],[Away Team Goals]]</f>
        <v>0</v>
      </c>
      <c r="W789" s="4" t="str">
        <f>IF(World_Cup_Matches[[#This Row],[Home Team Goals]]&gt;World_Cup_Matches[[#This Row],[Away Team Goals]],World_Cup_Matches[[#This Row],[Home Team Name]],IF(World_Cup_Matches[[#This Row],[Away Team Goals]]&gt;World_Cup_Matches[[#This Row],[Home Team Goals]], World_Cup_Matches[[#This Row],[Away Team Name]],"Draw"))</f>
        <v>Draw</v>
      </c>
      <c r="X789" s="4" t="str">
        <f>IF(World_Cup_Matches[[#This Row],[Home Team Goals]]&gt;World_Cup_Matches[[#This Row],[Away Team Goals]],"Hime Win",IF(World_Cup_Matches[[#This Row],[Away Team Goals]]&gt;World_Cup_Matches[[#This Row],[Home Team Goals]],"Away win","Draw"))</f>
        <v>Draw</v>
      </c>
    </row>
    <row r="790" spans="1:24" x14ac:dyDescent="0.2">
      <c r="A790" s="19">
        <v>2014</v>
      </c>
      <c r="B790" s="15" t="s">
        <v>1777</v>
      </c>
      <c r="C790" s="3" t="s">
        <v>1160</v>
      </c>
      <c r="D790" s="3" t="s">
        <v>1715</v>
      </c>
      <c r="E790" s="3" t="s">
        <v>1716</v>
      </c>
      <c r="F790" s="3" t="s">
        <v>1043</v>
      </c>
      <c r="G790" s="11">
        <v>1</v>
      </c>
      <c r="H790" s="11">
        <v>1</v>
      </c>
      <c r="I790" s="3" t="s">
        <v>291</v>
      </c>
      <c r="J790" s="3" t="s">
        <v>1842</v>
      </c>
      <c r="K790" s="3">
        <v>37603</v>
      </c>
      <c r="L790" s="11">
        <v>0</v>
      </c>
      <c r="M790" s="11">
        <v>0</v>
      </c>
      <c r="N790" s="3" t="s">
        <v>1778</v>
      </c>
      <c r="O790" s="3" t="s">
        <v>1601</v>
      </c>
      <c r="P790" s="3" t="s">
        <v>1779</v>
      </c>
      <c r="Q790" s="11">
        <v>255931</v>
      </c>
      <c r="R790" s="11">
        <v>300186499</v>
      </c>
      <c r="S790" s="3" t="s">
        <v>1047</v>
      </c>
      <c r="T790" s="4" t="s">
        <v>295</v>
      </c>
      <c r="U790" s="11">
        <f>World_Cup_Matches[[#This Row],[Home Team Goals]]+World_Cup_Matches[[#This Row],[Away Team Goals]]</f>
        <v>2</v>
      </c>
      <c r="V790" s="11">
        <f>World_Cup_Matches[[#This Row],[Home Team Goals]]-World_Cup_Matches[[#This Row],[Away Team Goals]]</f>
        <v>0</v>
      </c>
      <c r="W790" s="4" t="str">
        <f>IF(World_Cup_Matches[[#This Row],[Home Team Goals]]&gt;World_Cup_Matches[[#This Row],[Away Team Goals]],World_Cup_Matches[[#This Row],[Home Team Name]],IF(World_Cup_Matches[[#This Row],[Away Team Goals]]&gt;World_Cup_Matches[[#This Row],[Home Team Goals]], World_Cup_Matches[[#This Row],[Away Team Name]],"Draw"))</f>
        <v>Draw</v>
      </c>
      <c r="X790" s="4" t="str">
        <f>IF(World_Cup_Matches[[#This Row],[Home Team Goals]]&gt;World_Cup_Matches[[#This Row],[Away Team Goals]],"Hime Win",IF(World_Cup_Matches[[#This Row],[Away Team Goals]]&gt;World_Cup_Matches[[#This Row],[Home Team Goals]],"Away win","Draw"))</f>
        <v>Draw</v>
      </c>
    </row>
    <row r="791" spans="1:24" x14ac:dyDescent="0.2">
      <c r="A791" s="19">
        <v>2014</v>
      </c>
      <c r="B791" s="15" t="s">
        <v>1780</v>
      </c>
      <c r="C791" s="3" t="s">
        <v>607</v>
      </c>
      <c r="D791" s="3" t="s">
        <v>1747</v>
      </c>
      <c r="E791" s="3" t="s">
        <v>244</v>
      </c>
      <c r="F791" s="3" t="s">
        <v>556</v>
      </c>
      <c r="G791" s="11">
        <v>2</v>
      </c>
      <c r="H791" s="11">
        <v>3</v>
      </c>
      <c r="I791" s="3" t="s">
        <v>109</v>
      </c>
      <c r="J791" s="3" t="s">
        <v>1842</v>
      </c>
      <c r="K791" s="3">
        <v>42877</v>
      </c>
      <c r="L791" s="11">
        <v>1</v>
      </c>
      <c r="M791" s="11">
        <v>1</v>
      </c>
      <c r="N791" s="3" t="s">
        <v>1781</v>
      </c>
      <c r="O791" s="3" t="s">
        <v>1655</v>
      </c>
      <c r="P791" s="3" t="s">
        <v>1782</v>
      </c>
      <c r="Q791" s="11">
        <v>255931</v>
      </c>
      <c r="R791" s="11">
        <v>300186478</v>
      </c>
      <c r="S791" s="3" t="s">
        <v>561</v>
      </c>
      <c r="T791" s="4" t="s">
        <v>114</v>
      </c>
      <c r="U791" s="11">
        <f>World_Cup_Matches[[#This Row],[Home Team Goals]]+World_Cup_Matches[[#This Row],[Away Team Goals]]</f>
        <v>5</v>
      </c>
      <c r="V791" s="11">
        <f>World_Cup_Matches[[#This Row],[Home Team Goals]]-World_Cup_Matches[[#This Row],[Away Team Goals]]</f>
        <v>-1</v>
      </c>
      <c r="W791" s="4" t="str">
        <f>IF(World_Cup_Matches[[#This Row],[Home Team Goals]]&gt;World_Cup_Matches[[#This Row],[Away Team Goals]],World_Cup_Matches[[#This Row],[Home Team Name]],IF(World_Cup_Matches[[#This Row],[Away Team Goals]]&gt;World_Cup_Matches[[#This Row],[Home Team Goals]], World_Cup_Matches[[#This Row],[Away Team Name]],"Draw"))</f>
        <v>Netherlands</v>
      </c>
      <c r="X791" s="4" t="str">
        <f>IF(World_Cup_Matches[[#This Row],[Home Team Goals]]&gt;World_Cup_Matches[[#This Row],[Away Team Goals]],"Hime Win",IF(World_Cup_Matches[[#This Row],[Away Team Goals]]&gt;World_Cup_Matches[[#This Row],[Home Team Goals]],"Away win","Draw"))</f>
        <v>Away win</v>
      </c>
    </row>
    <row r="792" spans="1:24" x14ac:dyDescent="0.2">
      <c r="A792" s="19">
        <v>2014</v>
      </c>
      <c r="B792" s="15" t="s">
        <v>1783</v>
      </c>
      <c r="C792" s="3" t="s">
        <v>607</v>
      </c>
      <c r="D792" s="3" t="s">
        <v>1752</v>
      </c>
      <c r="E792" s="3" t="s">
        <v>218</v>
      </c>
      <c r="F792" s="3" t="s">
        <v>131</v>
      </c>
      <c r="G792" s="11">
        <v>0</v>
      </c>
      <c r="H792" s="11">
        <v>2</v>
      </c>
      <c r="I792" s="3" t="s">
        <v>61</v>
      </c>
      <c r="J792" s="3" t="s">
        <v>1842</v>
      </c>
      <c r="K792" s="3">
        <v>74101</v>
      </c>
      <c r="L792" s="11">
        <v>0</v>
      </c>
      <c r="M792" s="11">
        <v>2</v>
      </c>
      <c r="N792" s="3" t="s">
        <v>1722</v>
      </c>
      <c r="O792" s="3" t="s">
        <v>1723</v>
      </c>
      <c r="P792" s="3" t="s">
        <v>1724</v>
      </c>
      <c r="Q792" s="11">
        <v>255931</v>
      </c>
      <c r="R792" s="11">
        <v>300186498</v>
      </c>
      <c r="S792" s="3" t="s">
        <v>135</v>
      </c>
      <c r="T792" s="4" t="s">
        <v>63</v>
      </c>
      <c r="U792" s="11">
        <f>World_Cup_Matches[[#This Row],[Home Team Goals]]+World_Cup_Matches[[#This Row],[Away Team Goals]]</f>
        <v>2</v>
      </c>
      <c r="V792" s="11">
        <f>World_Cup_Matches[[#This Row],[Home Team Goals]]-World_Cup_Matches[[#This Row],[Away Team Goals]]</f>
        <v>-2</v>
      </c>
      <c r="W792" s="4" t="str">
        <f>IF(World_Cup_Matches[[#This Row],[Home Team Goals]]&gt;World_Cup_Matches[[#This Row],[Away Team Goals]],World_Cup_Matches[[#This Row],[Home Team Name]],IF(World_Cup_Matches[[#This Row],[Away Team Goals]]&gt;World_Cup_Matches[[#This Row],[Home Team Goals]], World_Cup_Matches[[#This Row],[Away Team Name]],"Draw"))</f>
        <v>Chile</v>
      </c>
      <c r="X792" s="4" t="str">
        <f>IF(World_Cup_Matches[[#This Row],[Home Team Goals]]&gt;World_Cup_Matches[[#This Row],[Away Team Goals]],"Hime Win",IF(World_Cup_Matches[[#This Row],[Away Team Goals]]&gt;World_Cup_Matches[[#This Row],[Home Team Goals]],"Away win","Draw"))</f>
        <v>Away win</v>
      </c>
    </row>
    <row r="793" spans="1:24" x14ac:dyDescent="0.2">
      <c r="A793" s="19">
        <v>2014</v>
      </c>
      <c r="B793" s="15" t="s">
        <v>1784</v>
      </c>
      <c r="C793" s="3" t="s">
        <v>609</v>
      </c>
      <c r="D793" s="3" t="s">
        <v>1732</v>
      </c>
      <c r="E793" s="3" t="s">
        <v>1733</v>
      </c>
      <c r="F793" s="3" t="s">
        <v>700</v>
      </c>
      <c r="G793" s="11">
        <v>0</v>
      </c>
      <c r="H793" s="11">
        <v>4</v>
      </c>
      <c r="I793" s="3" t="s">
        <v>1172</v>
      </c>
      <c r="J793" s="3" t="s">
        <v>1842</v>
      </c>
      <c r="K793" s="3">
        <v>39982</v>
      </c>
      <c r="L793" s="11">
        <v>0</v>
      </c>
      <c r="M793" s="11">
        <v>1</v>
      </c>
      <c r="N793" s="3" t="s">
        <v>1785</v>
      </c>
      <c r="O793" s="3" t="s">
        <v>1616</v>
      </c>
      <c r="P793" s="3" t="s">
        <v>1786</v>
      </c>
      <c r="Q793" s="11">
        <v>255931</v>
      </c>
      <c r="R793" s="11">
        <v>300186453</v>
      </c>
      <c r="S793" s="3" t="s">
        <v>702</v>
      </c>
      <c r="T793" s="4" t="s">
        <v>1177</v>
      </c>
      <c r="U793" s="11">
        <f>World_Cup_Matches[[#This Row],[Home Team Goals]]+World_Cup_Matches[[#This Row],[Away Team Goals]]</f>
        <v>4</v>
      </c>
      <c r="V793" s="11">
        <f>World_Cup_Matches[[#This Row],[Home Team Goals]]-World_Cup_Matches[[#This Row],[Away Team Goals]]</f>
        <v>-4</v>
      </c>
      <c r="W793" s="4" t="str">
        <f>IF(World_Cup_Matches[[#This Row],[Home Team Goals]]&gt;World_Cup_Matches[[#This Row],[Away Team Goals]],World_Cup_Matches[[#This Row],[Home Team Name]],IF(World_Cup_Matches[[#This Row],[Away Team Goals]]&gt;World_Cup_Matches[[#This Row],[Home Team Goals]], World_Cup_Matches[[#This Row],[Away Team Name]],"Draw"))</f>
        <v>Croatia</v>
      </c>
      <c r="X793" s="4" t="str">
        <f>IF(World_Cup_Matches[[#This Row],[Home Team Goals]]&gt;World_Cup_Matches[[#This Row],[Away Team Goals]],"Hime Win",IF(World_Cup_Matches[[#This Row],[Away Team Goals]]&gt;World_Cup_Matches[[#This Row],[Home Team Goals]],"Away win","Draw"))</f>
        <v>Away win</v>
      </c>
    </row>
    <row r="794" spans="1:24" x14ac:dyDescent="0.2">
      <c r="A794" s="19">
        <v>2014</v>
      </c>
      <c r="B794" s="15" t="s">
        <v>1787</v>
      </c>
      <c r="C794" s="3" t="s">
        <v>805</v>
      </c>
      <c r="D794" s="3" t="s">
        <v>1743</v>
      </c>
      <c r="E794" s="3" t="s">
        <v>1744</v>
      </c>
      <c r="F794" s="3" t="s">
        <v>390</v>
      </c>
      <c r="G794" s="11">
        <v>2</v>
      </c>
      <c r="H794" s="11">
        <v>1</v>
      </c>
      <c r="I794" s="3" t="s">
        <v>1444</v>
      </c>
      <c r="J794" s="3" t="s">
        <v>1842</v>
      </c>
      <c r="K794" s="3">
        <v>68748</v>
      </c>
      <c r="L794" s="11">
        <v>0</v>
      </c>
      <c r="M794" s="11">
        <v>0</v>
      </c>
      <c r="N794" s="3" t="s">
        <v>1637</v>
      </c>
      <c r="O794" s="3" t="s">
        <v>1639</v>
      </c>
      <c r="P794" s="3" t="s">
        <v>1638</v>
      </c>
      <c r="Q794" s="11">
        <v>255931</v>
      </c>
      <c r="R794" s="11">
        <v>300186468</v>
      </c>
      <c r="S794" s="3" t="s">
        <v>394</v>
      </c>
      <c r="T794" s="4" t="s">
        <v>1448</v>
      </c>
      <c r="U794" s="11">
        <f>World_Cup_Matches[[#This Row],[Home Team Goals]]+World_Cup_Matches[[#This Row],[Away Team Goals]]</f>
        <v>3</v>
      </c>
      <c r="V794" s="11">
        <f>World_Cup_Matches[[#This Row],[Home Team Goals]]-World_Cup_Matches[[#This Row],[Away Team Goals]]</f>
        <v>1</v>
      </c>
      <c r="W794" s="4" t="str">
        <f>IF(World_Cup_Matches[[#This Row],[Home Team Goals]]&gt;World_Cup_Matches[[#This Row],[Away Team Goals]],World_Cup_Matches[[#This Row],[Home Team Name]],IF(World_Cup_Matches[[#This Row],[Away Team Goals]]&gt;World_Cup_Matches[[#This Row],[Home Team Goals]], World_Cup_Matches[[#This Row],[Away Team Name]],"Draw"))</f>
        <v>Colombia</v>
      </c>
      <c r="X794" s="4" t="str">
        <f>IF(World_Cup_Matches[[#This Row],[Home Team Goals]]&gt;World_Cup_Matches[[#This Row],[Away Team Goals]],"Hime Win",IF(World_Cup_Matches[[#This Row],[Away Team Goals]]&gt;World_Cup_Matches[[#This Row],[Home Team Goals]],"Away win","Draw"))</f>
        <v>Hime Win</v>
      </c>
    </row>
    <row r="795" spans="1:24" x14ac:dyDescent="0.2">
      <c r="A795" s="19">
        <v>2014</v>
      </c>
      <c r="B795" s="15" t="s">
        <v>1788</v>
      </c>
      <c r="C795" s="3" t="s">
        <v>811</v>
      </c>
      <c r="D795" s="3" t="s">
        <v>1701</v>
      </c>
      <c r="E795" s="3" t="s">
        <v>233</v>
      </c>
      <c r="F795" s="3" t="s">
        <v>72</v>
      </c>
      <c r="G795" s="11">
        <v>2</v>
      </c>
      <c r="H795" s="11">
        <v>1</v>
      </c>
      <c r="I795" s="3" t="s">
        <v>223</v>
      </c>
      <c r="J795" s="3" t="s">
        <v>1842</v>
      </c>
      <c r="K795" s="3">
        <v>62575</v>
      </c>
      <c r="L795" s="11">
        <v>1</v>
      </c>
      <c r="M795" s="11">
        <v>0</v>
      </c>
      <c r="N795" s="3" t="s">
        <v>1789</v>
      </c>
      <c r="O795" s="3" t="s">
        <v>1790</v>
      </c>
      <c r="P795" s="3" t="s">
        <v>1652</v>
      </c>
      <c r="Q795" s="11">
        <v>255931</v>
      </c>
      <c r="R795" s="11">
        <v>300186486</v>
      </c>
      <c r="S795" s="3" t="s">
        <v>73</v>
      </c>
      <c r="T795" s="4" t="s">
        <v>227</v>
      </c>
      <c r="U795" s="11">
        <f>World_Cup_Matches[[#This Row],[Home Team Goals]]+World_Cup_Matches[[#This Row],[Away Team Goals]]</f>
        <v>3</v>
      </c>
      <c r="V795" s="11">
        <f>World_Cup_Matches[[#This Row],[Home Team Goals]]-World_Cup_Matches[[#This Row],[Away Team Goals]]</f>
        <v>1</v>
      </c>
      <c r="W795" s="4" t="str">
        <f>IF(World_Cup_Matches[[#This Row],[Home Team Goals]]&gt;World_Cup_Matches[[#This Row],[Away Team Goals]],World_Cup_Matches[[#This Row],[Home Team Name]],IF(World_Cup_Matches[[#This Row],[Away Team Goals]]&gt;World_Cup_Matches[[#This Row],[Home Team Goals]], World_Cup_Matches[[#This Row],[Away Team Name]],"Draw"))</f>
        <v>Uruguay</v>
      </c>
      <c r="X795" s="4" t="str">
        <f>IF(World_Cup_Matches[[#This Row],[Home Team Goals]]&gt;World_Cup_Matches[[#This Row],[Away Team Goals]],"Hime Win",IF(World_Cup_Matches[[#This Row],[Away Team Goals]]&gt;World_Cup_Matches[[#This Row],[Home Team Goals]],"Away win","Draw"))</f>
        <v>Hime Win</v>
      </c>
    </row>
    <row r="796" spans="1:24" x14ac:dyDescent="0.2">
      <c r="A796" s="19">
        <v>2014</v>
      </c>
      <c r="B796" s="15" t="s">
        <v>1791</v>
      </c>
      <c r="C796" s="3" t="s">
        <v>805</v>
      </c>
      <c r="D796" s="3" t="s">
        <v>1704</v>
      </c>
      <c r="E796" s="3" t="s">
        <v>1705</v>
      </c>
      <c r="F796" s="3" t="s">
        <v>1161</v>
      </c>
      <c r="G796" s="11">
        <v>0</v>
      </c>
      <c r="H796" s="11">
        <v>0</v>
      </c>
      <c r="I796" s="3" t="s">
        <v>1051</v>
      </c>
      <c r="J796" s="3" t="s">
        <v>1842</v>
      </c>
      <c r="K796" s="3">
        <v>39485</v>
      </c>
      <c r="L796" s="11">
        <v>0</v>
      </c>
      <c r="M796" s="11">
        <v>0</v>
      </c>
      <c r="N796" s="3" t="s">
        <v>1754</v>
      </c>
      <c r="O796" s="3" t="s">
        <v>1755</v>
      </c>
      <c r="P796" s="3" t="s">
        <v>1756</v>
      </c>
      <c r="Q796" s="11">
        <v>255931</v>
      </c>
      <c r="R796" s="11">
        <v>300186454</v>
      </c>
      <c r="S796" s="3" t="s">
        <v>1164</v>
      </c>
      <c r="T796" s="4" t="s">
        <v>1053</v>
      </c>
      <c r="U796" s="11">
        <f>World_Cup_Matches[[#This Row],[Home Team Goals]]+World_Cup_Matches[[#This Row],[Away Team Goals]]</f>
        <v>0</v>
      </c>
      <c r="V796" s="11">
        <f>World_Cup_Matches[[#This Row],[Home Team Goals]]-World_Cup_Matches[[#This Row],[Away Team Goals]]</f>
        <v>0</v>
      </c>
      <c r="W796" s="4" t="str">
        <f>IF(World_Cup_Matches[[#This Row],[Home Team Goals]]&gt;World_Cup_Matches[[#This Row],[Away Team Goals]],World_Cup_Matches[[#This Row],[Home Team Name]],IF(World_Cup_Matches[[#This Row],[Away Team Goals]]&gt;World_Cup_Matches[[#This Row],[Home Team Goals]], World_Cup_Matches[[#This Row],[Away Team Name]],"Draw"))</f>
        <v>Draw</v>
      </c>
      <c r="X796" s="4" t="str">
        <f>IF(World_Cup_Matches[[#This Row],[Home Team Goals]]&gt;World_Cup_Matches[[#This Row],[Away Team Goals]],"Hime Win",IF(World_Cup_Matches[[#This Row],[Away Team Goals]]&gt;World_Cup_Matches[[#This Row],[Home Team Goals]],"Away win","Draw"))</f>
        <v>Draw</v>
      </c>
    </row>
    <row r="797" spans="1:24" x14ac:dyDescent="0.2">
      <c r="A797" s="19">
        <v>2014</v>
      </c>
      <c r="B797" s="15" t="s">
        <v>1792</v>
      </c>
      <c r="C797" s="3" t="s">
        <v>811</v>
      </c>
      <c r="D797" s="3" t="s">
        <v>1738</v>
      </c>
      <c r="E797" s="3" t="s">
        <v>259</v>
      </c>
      <c r="F797" s="3" t="s">
        <v>138</v>
      </c>
      <c r="G797" s="11">
        <v>0</v>
      </c>
      <c r="H797" s="11">
        <v>1</v>
      </c>
      <c r="I797" s="3" t="s">
        <v>925</v>
      </c>
      <c r="J797" s="3" t="s">
        <v>1842</v>
      </c>
      <c r="K797" s="3">
        <v>40285</v>
      </c>
      <c r="L797" s="11">
        <v>0</v>
      </c>
      <c r="M797" s="11">
        <v>1</v>
      </c>
      <c r="N797" s="3" t="s">
        <v>1739</v>
      </c>
      <c r="O797" s="3" t="s">
        <v>1740</v>
      </c>
      <c r="P797" s="3" t="s">
        <v>1741</v>
      </c>
      <c r="Q797" s="11">
        <v>255931</v>
      </c>
      <c r="R797" s="11">
        <v>300186500</v>
      </c>
      <c r="S797" s="3" t="s">
        <v>142</v>
      </c>
      <c r="T797" s="4" t="s">
        <v>929</v>
      </c>
      <c r="U797" s="11">
        <f>World_Cup_Matches[[#This Row],[Home Team Goals]]+World_Cup_Matches[[#This Row],[Away Team Goals]]</f>
        <v>1</v>
      </c>
      <c r="V797" s="11">
        <f>World_Cup_Matches[[#This Row],[Home Team Goals]]-World_Cup_Matches[[#This Row],[Away Team Goals]]</f>
        <v>-1</v>
      </c>
      <c r="W797" s="4" t="str">
        <f>IF(World_Cup_Matches[[#This Row],[Home Team Goals]]&gt;World_Cup_Matches[[#This Row],[Away Team Goals]],World_Cup_Matches[[#This Row],[Home Team Name]],IF(World_Cup_Matches[[#This Row],[Away Team Goals]]&gt;World_Cup_Matches[[#This Row],[Home Team Goals]], World_Cup_Matches[[#This Row],[Away Team Name]],"Draw"))</f>
        <v>Costa Rica</v>
      </c>
      <c r="X797" s="4" t="str">
        <f>IF(World_Cup_Matches[[#This Row],[Home Team Goals]]&gt;World_Cup_Matches[[#This Row],[Away Team Goals]],"Hime Win",IF(World_Cup_Matches[[#This Row],[Away Team Goals]]&gt;World_Cup_Matches[[#This Row],[Home Team Goals]],"Away win","Draw"))</f>
        <v>Away win</v>
      </c>
    </row>
    <row r="798" spans="1:24" x14ac:dyDescent="0.2">
      <c r="A798" s="19">
        <v>2014</v>
      </c>
      <c r="B798" s="15" t="s">
        <v>1793</v>
      </c>
      <c r="C798" s="3" t="s">
        <v>846</v>
      </c>
      <c r="D798" s="3" t="s">
        <v>1709</v>
      </c>
      <c r="E798" s="3" t="s">
        <v>1710</v>
      </c>
      <c r="F798" s="3" t="s">
        <v>108</v>
      </c>
      <c r="G798" s="11">
        <v>2</v>
      </c>
      <c r="H798" s="11">
        <v>5</v>
      </c>
      <c r="I798" s="3" t="s">
        <v>24</v>
      </c>
      <c r="J798" s="3" t="s">
        <v>1842</v>
      </c>
      <c r="K798" s="3">
        <v>51003</v>
      </c>
      <c r="L798" s="11">
        <v>0</v>
      </c>
      <c r="M798" s="11">
        <v>3</v>
      </c>
      <c r="N798" s="3" t="s">
        <v>1734</v>
      </c>
      <c r="O798" s="3" t="s">
        <v>1735</v>
      </c>
      <c r="P798" s="3" t="s">
        <v>1736</v>
      </c>
      <c r="Q798" s="11">
        <v>255931</v>
      </c>
      <c r="R798" s="11">
        <v>300186514</v>
      </c>
      <c r="S798" s="3" t="s">
        <v>113</v>
      </c>
      <c r="T798" s="4" t="s">
        <v>29</v>
      </c>
      <c r="U798" s="11">
        <f>World_Cup_Matches[[#This Row],[Home Team Goals]]+World_Cup_Matches[[#This Row],[Away Team Goals]]</f>
        <v>7</v>
      </c>
      <c r="V798" s="11">
        <f>World_Cup_Matches[[#This Row],[Home Team Goals]]-World_Cup_Matches[[#This Row],[Away Team Goals]]</f>
        <v>-3</v>
      </c>
      <c r="W798" s="4" t="str">
        <f>IF(World_Cup_Matches[[#This Row],[Home Team Goals]]&gt;World_Cup_Matches[[#This Row],[Away Team Goals]],World_Cup_Matches[[#This Row],[Home Team Name]],IF(World_Cup_Matches[[#This Row],[Away Team Goals]]&gt;World_Cup_Matches[[#This Row],[Home Team Goals]], World_Cup_Matches[[#This Row],[Away Team Name]],"Draw"))</f>
        <v>France</v>
      </c>
      <c r="X798" s="4" t="str">
        <f>IF(World_Cup_Matches[[#This Row],[Home Team Goals]]&gt;World_Cup_Matches[[#This Row],[Away Team Goals]],"Hime Win",IF(World_Cup_Matches[[#This Row],[Away Team Goals]]&gt;World_Cup_Matches[[#This Row],[Home Team Goals]],"Away win","Draw"))</f>
        <v>Away win</v>
      </c>
    </row>
    <row r="799" spans="1:24" x14ac:dyDescent="0.2">
      <c r="A799" s="19">
        <v>2014</v>
      </c>
      <c r="B799" s="15" t="s">
        <v>1794</v>
      </c>
      <c r="C799" s="3" t="s">
        <v>846</v>
      </c>
      <c r="D799" s="3" t="s">
        <v>1763</v>
      </c>
      <c r="E799" s="3" t="s">
        <v>229</v>
      </c>
      <c r="F799" s="3" t="s">
        <v>730</v>
      </c>
      <c r="G799" s="11">
        <v>1</v>
      </c>
      <c r="H799" s="11">
        <v>2</v>
      </c>
      <c r="I799" s="3" t="s">
        <v>1303</v>
      </c>
      <c r="J799" s="3" t="s">
        <v>1842</v>
      </c>
      <c r="K799" s="3">
        <v>39224</v>
      </c>
      <c r="L799" s="11">
        <v>1</v>
      </c>
      <c r="M799" s="11">
        <v>1</v>
      </c>
      <c r="N799" s="3" t="s">
        <v>1795</v>
      </c>
      <c r="O799" s="3" t="s">
        <v>1796</v>
      </c>
      <c r="P799" s="3" t="s">
        <v>1797</v>
      </c>
      <c r="Q799" s="11">
        <v>255931</v>
      </c>
      <c r="R799" s="11">
        <v>300186463</v>
      </c>
      <c r="S799" s="3" t="s">
        <v>733</v>
      </c>
      <c r="T799" s="4" t="s">
        <v>1307</v>
      </c>
      <c r="U799" s="11">
        <f>World_Cup_Matches[[#This Row],[Home Team Goals]]+World_Cup_Matches[[#This Row],[Away Team Goals]]</f>
        <v>3</v>
      </c>
      <c r="V799" s="11">
        <f>World_Cup_Matches[[#This Row],[Home Team Goals]]-World_Cup_Matches[[#This Row],[Away Team Goals]]</f>
        <v>-1</v>
      </c>
      <c r="W799" s="4" t="str">
        <f>IF(World_Cup_Matches[[#This Row],[Home Team Goals]]&gt;World_Cup_Matches[[#This Row],[Away Team Goals]],World_Cup_Matches[[#This Row],[Home Team Name]],IF(World_Cup_Matches[[#This Row],[Away Team Goals]]&gt;World_Cup_Matches[[#This Row],[Home Team Goals]], World_Cup_Matches[[#This Row],[Away Team Name]],"Draw"))</f>
        <v>Ecuador</v>
      </c>
      <c r="X799" s="4" t="str">
        <f>IF(World_Cup_Matches[[#This Row],[Home Team Goals]]&gt;World_Cup_Matches[[#This Row],[Away Team Goals]],"Hime Win",IF(World_Cup_Matches[[#This Row],[Away Team Goals]]&gt;World_Cup_Matches[[#This Row],[Home Team Goals]],"Away win","Draw"))</f>
        <v>Away win</v>
      </c>
    </row>
    <row r="800" spans="1:24" x14ac:dyDescent="0.2">
      <c r="A800" s="19">
        <v>2014</v>
      </c>
      <c r="B800" s="15" t="s">
        <v>1798</v>
      </c>
      <c r="C800" s="3" t="s">
        <v>824</v>
      </c>
      <c r="D800" s="3" t="s">
        <v>1721</v>
      </c>
      <c r="E800" s="3" t="s">
        <v>237</v>
      </c>
      <c r="F800" s="3" t="s">
        <v>56</v>
      </c>
      <c r="G800" s="11">
        <v>1</v>
      </c>
      <c r="H800" s="11">
        <v>0</v>
      </c>
      <c r="I800" s="3" t="s">
        <v>648</v>
      </c>
      <c r="J800" s="3" t="s">
        <v>1842</v>
      </c>
      <c r="K800" s="3">
        <v>57698</v>
      </c>
      <c r="L800" s="11">
        <v>0</v>
      </c>
      <c r="M800" s="11">
        <v>0</v>
      </c>
      <c r="N800" s="3" t="s">
        <v>1759</v>
      </c>
      <c r="O800" s="3" t="s">
        <v>1760</v>
      </c>
      <c r="P800" s="3" t="s">
        <v>1761</v>
      </c>
      <c r="Q800" s="11">
        <v>255931</v>
      </c>
      <c r="R800" s="11">
        <v>300186466</v>
      </c>
      <c r="S800" s="3" t="s">
        <v>59</v>
      </c>
      <c r="T800" s="4" t="s">
        <v>650</v>
      </c>
      <c r="U800" s="11">
        <f>World_Cup_Matches[[#This Row],[Home Team Goals]]+World_Cup_Matches[[#This Row],[Away Team Goals]]</f>
        <v>1</v>
      </c>
      <c r="V800" s="11">
        <f>World_Cup_Matches[[#This Row],[Home Team Goals]]-World_Cup_Matches[[#This Row],[Away Team Goals]]</f>
        <v>1</v>
      </c>
      <c r="W800" s="4" t="str">
        <f>IF(World_Cup_Matches[[#This Row],[Home Team Goals]]&gt;World_Cup_Matches[[#This Row],[Away Team Goals]],World_Cup_Matches[[#This Row],[Home Team Name]],IF(World_Cup_Matches[[#This Row],[Away Team Goals]]&gt;World_Cup_Matches[[#This Row],[Home Team Goals]], World_Cup_Matches[[#This Row],[Away Team Name]],"Draw"))</f>
        <v>Argentina</v>
      </c>
      <c r="X800" s="4" t="str">
        <f>IF(World_Cup_Matches[[#This Row],[Home Team Goals]]&gt;World_Cup_Matches[[#This Row],[Away Team Goals]],"Hime Win",IF(World_Cup_Matches[[#This Row],[Away Team Goals]]&gt;World_Cup_Matches[[#This Row],[Home Team Goals]],"Away win","Draw"))</f>
        <v>Hime Win</v>
      </c>
    </row>
    <row r="801" spans="1:24" x14ac:dyDescent="0.2">
      <c r="A801" s="19">
        <v>2014</v>
      </c>
      <c r="B801" s="15" t="s">
        <v>1799</v>
      </c>
      <c r="C801" s="3" t="s">
        <v>1179</v>
      </c>
      <c r="D801" s="3" t="s">
        <v>1726</v>
      </c>
      <c r="E801" s="3" t="s">
        <v>1727</v>
      </c>
      <c r="F801" s="3" t="s">
        <v>124</v>
      </c>
      <c r="G801" s="11">
        <v>2</v>
      </c>
      <c r="H801" s="11">
        <v>2</v>
      </c>
      <c r="I801" s="3" t="s">
        <v>1483</v>
      </c>
      <c r="J801" s="3" t="s">
        <v>1842</v>
      </c>
      <c r="K801" s="3">
        <v>59621</v>
      </c>
      <c r="L801" s="11">
        <v>0</v>
      </c>
      <c r="M801" s="11">
        <v>0</v>
      </c>
      <c r="N801" s="3" t="s">
        <v>1748</v>
      </c>
      <c r="O801" s="3" t="s">
        <v>1749</v>
      </c>
      <c r="P801" s="3" t="s">
        <v>1750</v>
      </c>
      <c r="Q801" s="11">
        <v>255931</v>
      </c>
      <c r="R801" s="11">
        <v>300186493</v>
      </c>
      <c r="S801" s="3" t="s">
        <v>128</v>
      </c>
      <c r="T801" s="4" t="s">
        <v>1486</v>
      </c>
      <c r="U801" s="11">
        <f>World_Cup_Matches[[#This Row],[Home Team Goals]]+World_Cup_Matches[[#This Row],[Away Team Goals]]</f>
        <v>4</v>
      </c>
      <c r="V801" s="11">
        <f>World_Cup_Matches[[#This Row],[Home Team Goals]]-World_Cup_Matches[[#This Row],[Away Team Goals]]</f>
        <v>0</v>
      </c>
      <c r="W801" s="4" t="str">
        <f>IF(World_Cup_Matches[[#This Row],[Home Team Goals]]&gt;World_Cup_Matches[[#This Row],[Away Team Goals]],World_Cup_Matches[[#This Row],[Home Team Name]],IF(World_Cup_Matches[[#This Row],[Away Team Goals]]&gt;World_Cup_Matches[[#This Row],[Home Team Goals]], World_Cup_Matches[[#This Row],[Away Team Name]],"Draw"))</f>
        <v>Draw</v>
      </c>
      <c r="X801" s="4" t="str">
        <f>IF(World_Cup_Matches[[#This Row],[Home Team Goals]]&gt;World_Cup_Matches[[#This Row],[Away Team Goals]],"Hime Win",IF(World_Cup_Matches[[#This Row],[Away Team Goals]]&gt;World_Cup_Matches[[#This Row],[Home Team Goals]],"Away win","Draw"))</f>
        <v>Draw</v>
      </c>
    </row>
    <row r="802" spans="1:24" x14ac:dyDescent="0.2">
      <c r="A802" s="19">
        <v>2014</v>
      </c>
      <c r="B802" s="15" t="s">
        <v>1800</v>
      </c>
      <c r="C802" s="3" t="s">
        <v>824</v>
      </c>
      <c r="D802" s="3" t="s">
        <v>1715</v>
      </c>
      <c r="E802" s="3" t="s">
        <v>1716</v>
      </c>
      <c r="F802" s="3" t="s">
        <v>1055</v>
      </c>
      <c r="G802" s="11">
        <v>1</v>
      </c>
      <c r="H802" s="11">
        <v>0</v>
      </c>
      <c r="I802" s="3" t="s">
        <v>1753</v>
      </c>
      <c r="J802" s="3" t="s">
        <v>1842</v>
      </c>
      <c r="K802" s="3">
        <v>40499</v>
      </c>
      <c r="L802" s="11">
        <v>1</v>
      </c>
      <c r="M802" s="11">
        <v>0</v>
      </c>
      <c r="N802" s="3" t="s">
        <v>1801</v>
      </c>
      <c r="O802" s="3" t="s">
        <v>1580</v>
      </c>
      <c r="P802" s="3" t="s">
        <v>1802</v>
      </c>
      <c r="Q802" s="11">
        <v>255931</v>
      </c>
      <c r="R802" s="11">
        <v>300186511</v>
      </c>
      <c r="S802" s="3" t="s">
        <v>1057</v>
      </c>
      <c r="T802" s="4" t="s">
        <v>1757</v>
      </c>
      <c r="U802" s="11">
        <f>World_Cup_Matches[[#This Row],[Home Team Goals]]+World_Cup_Matches[[#This Row],[Away Team Goals]]</f>
        <v>1</v>
      </c>
      <c r="V802" s="11">
        <f>World_Cup_Matches[[#This Row],[Home Team Goals]]-World_Cup_Matches[[#This Row],[Away Team Goals]]</f>
        <v>1</v>
      </c>
      <c r="W802" s="4" t="str">
        <f>IF(World_Cup_Matches[[#This Row],[Home Team Goals]]&gt;World_Cup_Matches[[#This Row],[Away Team Goals]],World_Cup_Matches[[#This Row],[Home Team Name]],IF(World_Cup_Matches[[#This Row],[Away Team Goals]]&gt;World_Cup_Matches[[#This Row],[Home Team Goals]], World_Cup_Matches[[#This Row],[Away Team Name]],"Draw"))</f>
        <v>Nigeria</v>
      </c>
      <c r="X802" s="4" t="str">
        <f>IF(World_Cup_Matches[[#This Row],[Home Team Goals]]&gt;World_Cup_Matches[[#This Row],[Away Team Goals]],"Hime Win",IF(World_Cup_Matches[[#This Row],[Away Team Goals]]&gt;World_Cup_Matches[[#This Row],[Home Team Goals]],"Away win","Draw"))</f>
        <v>Hime Win</v>
      </c>
    </row>
    <row r="803" spans="1:24" x14ac:dyDescent="0.2">
      <c r="A803" s="19">
        <v>2014</v>
      </c>
      <c r="B803" s="15" t="s">
        <v>1803</v>
      </c>
      <c r="C803" s="3" t="s">
        <v>1160</v>
      </c>
      <c r="D803" s="3" t="s">
        <v>1752</v>
      </c>
      <c r="E803" s="3" t="s">
        <v>218</v>
      </c>
      <c r="F803" s="3" t="s">
        <v>34</v>
      </c>
      <c r="G803" s="11">
        <v>1</v>
      </c>
      <c r="H803" s="11">
        <v>0</v>
      </c>
      <c r="I803" s="3" t="s">
        <v>1043</v>
      </c>
      <c r="J803" s="3" t="s">
        <v>1842</v>
      </c>
      <c r="K803" s="3">
        <v>73819</v>
      </c>
      <c r="L803" s="11">
        <v>0</v>
      </c>
      <c r="M803" s="11">
        <v>0</v>
      </c>
      <c r="N803" s="3" t="s">
        <v>1728</v>
      </c>
      <c r="O803" s="3" t="s">
        <v>1729</v>
      </c>
      <c r="P803" s="3" t="s">
        <v>1730</v>
      </c>
      <c r="Q803" s="11">
        <v>255931</v>
      </c>
      <c r="R803" s="11">
        <v>300186481</v>
      </c>
      <c r="S803" s="3" t="s">
        <v>38</v>
      </c>
      <c r="T803" s="4" t="s">
        <v>1047</v>
      </c>
      <c r="U803" s="11">
        <f>World_Cup_Matches[[#This Row],[Home Team Goals]]+World_Cup_Matches[[#This Row],[Away Team Goals]]</f>
        <v>1</v>
      </c>
      <c r="V803" s="11">
        <f>World_Cup_Matches[[#This Row],[Home Team Goals]]-World_Cup_Matches[[#This Row],[Away Team Goals]]</f>
        <v>1</v>
      </c>
      <c r="W803" s="4" t="str">
        <f>IF(World_Cup_Matches[[#This Row],[Home Team Goals]]&gt;World_Cup_Matches[[#This Row],[Away Team Goals]],World_Cup_Matches[[#This Row],[Home Team Name]],IF(World_Cup_Matches[[#This Row],[Away Team Goals]]&gt;World_Cup_Matches[[#This Row],[Home Team Goals]], World_Cup_Matches[[#This Row],[Away Team Name]],"Draw"))</f>
        <v>Belgium</v>
      </c>
      <c r="X803" s="4" t="str">
        <f>IF(World_Cup_Matches[[#This Row],[Home Team Goals]]&gt;World_Cup_Matches[[#This Row],[Away Team Goals]],"Hime Win",IF(World_Cup_Matches[[#This Row],[Away Team Goals]]&gt;World_Cup_Matches[[#This Row],[Home Team Goals]],"Away win","Draw"))</f>
        <v>Hime Win</v>
      </c>
    </row>
    <row r="804" spans="1:24" x14ac:dyDescent="0.2">
      <c r="A804" s="19">
        <v>2014</v>
      </c>
      <c r="B804" s="15" t="s">
        <v>1804</v>
      </c>
      <c r="C804" s="3" t="s">
        <v>1160</v>
      </c>
      <c r="D804" s="3" t="s">
        <v>1747</v>
      </c>
      <c r="E804" s="3" t="s">
        <v>244</v>
      </c>
      <c r="F804" s="3" t="s">
        <v>291</v>
      </c>
      <c r="G804" s="11">
        <v>2</v>
      </c>
      <c r="H804" s="11">
        <v>4</v>
      </c>
      <c r="I804" s="3" t="s">
        <v>718</v>
      </c>
      <c r="J804" s="3" t="s">
        <v>1842</v>
      </c>
      <c r="K804" s="3">
        <v>42732</v>
      </c>
      <c r="L804" s="11">
        <v>0</v>
      </c>
      <c r="M804" s="11">
        <v>3</v>
      </c>
      <c r="N804" s="3" t="s">
        <v>1706</v>
      </c>
      <c r="O804" s="3" t="s">
        <v>1707</v>
      </c>
      <c r="P804" s="3" t="s">
        <v>1765</v>
      </c>
      <c r="Q804" s="11">
        <v>255931</v>
      </c>
      <c r="R804" s="11">
        <v>300186495</v>
      </c>
      <c r="S804" s="3" t="s">
        <v>295</v>
      </c>
      <c r="T804" s="4" t="s">
        <v>722</v>
      </c>
      <c r="U804" s="11">
        <f>World_Cup_Matches[[#This Row],[Home Team Goals]]+World_Cup_Matches[[#This Row],[Away Team Goals]]</f>
        <v>6</v>
      </c>
      <c r="V804" s="11">
        <f>World_Cup_Matches[[#This Row],[Home Team Goals]]-World_Cup_Matches[[#This Row],[Away Team Goals]]</f>
        <v>-2</v>
      </c>
      <c r="W804" s="4" t="str">
        <f>IF(World_Cup_Matches[[#This Row],[Home Team Goals]]&gt;World_Cup_Matches[[#This Row],[Away Team Goals]],World_Cup_Matches[[#This Row],[Home Team Name]],IF(World_Cup_Matches[[#This Row],[Away Team Goals]]&gt;World_Cup_Matches[[#This Row],[Home Team Goals]], World_Cup_Matches[[#This Row],[Away Team Name]],"Draw"))</f>
        <v>Algeria</v>
      </c>
      <c r="X804" s="4" t="str">
        <f>IF(World_Cup_Matches[[#This Row],[Home Team Goals]]&gt;World_Cup_Matches[[#This Row],[Away Team Goals]],"Hime Win",IF(World_Cup_Matches[[#This Row],[Away Team Goals]]&gt;World_Cup_Matches[[#This Row],[Home Team Goals]],"Away win","Draw"))</f>
        <v>Away win</v>
      </c>
    </row>
    <row r="805" spans="1:24" x14ac:dyDescent="0.2">
      <c r="A805" s="19">
        <v>2014</v>
      </c>
      <c r="B805" s="15" t="s">
        <v>1805</v>
      </c>
      <c r="C805" s="3" t="s">
        <v>1179</v>
      </c>
      <c r="D805" s="3" t="s">
        <v>1732</v>
      </c>
      <c r="E805" s="3" t="s">
        <v>1733</v>
      </c>
      <c r="F805" s="3" t="s">
        <v>33</v>
      </c>
      <c r="G805" s="11">
        <v>2</v>
      </c>
      <c r="H805" s="11">
        <v>2</v>
      </c>
      <c r="I805" s="3" t="s">
        <v>458</v>
      </c>
      <c r="J805" s="3" t="s">
        <v>1842</v>
      </c>
      <c r="K805" s="3">
        <v>40123</v>
      </c>
      <c r="L805" s="11">
        <v>0</v>
      </c>
      <c r="M805" s="11">
        <v>1</v>
      </c>
      <c r="N805" s="3" t="s">
        <v>1778</v>
      </c>
      <c r="O805" s="3" t="s">
        <v>1601</v>
      </c>
      <c r="P805" s="3" t="s">
        <v>1779</v>
      </c>
      <c r="Q805" s="11">
        <v>255931</v>
      </c>
      <c r="R805" s="11">
        <v>300186483</v>
      </c>
      <c r="S805" s="3" t="s">
        <v>33</v>
      </c>
      <c r="T805" s="4" t="s">
        <v>462</v>
      </c>
      <c r="U805" s="11">
        <f>World_Cup_Matches[[#This Row],[Home Team Goals]]+World_Cup_Matches[[#This Row],[Away Team Goals]]</f>
        <v>4</v>
      </c>
      <c r="V805" s="11">
        <f>World_Cup_Matches[[#This Row],[Home Team Goals]]-World_Cup_Matches[[#This Row],[Away Team Goals]]</f>
        <v>0</v>
      </c>
      <c r="W805" s="4" t="str">
        <f>IF(World_Cup_Matches[[#This Row],[Home Team Goals]]&gt;World_Cup_Matches[[#This Row],[Away Team Goals]],World_Cup_Matches[[#This Row],[Home Team Name]],IF(World_Cup_Matches[[#This Row],[Away Team Goals]]&gt;World_Cup_Matches[[#This Row],[Home Team Goals]], World_Cup_Matches[[#This Row],[Away Team Name]],"Draw"))</f>
        <v>Draw</v>
      </c>
      <c r="X805" s="4" t="str">
        <f>IF(World_Cup_Matches[[#This Row],[Home Team Goals]]&gt;World_Cup_Matches[[#This Row],[Away Team Goals]],"Hime Win",IF(World_Cup_Matches[[#This Row],[Away Team Goals]]&gt;World_Cup_Matches[[#This Row],[Home Team Goals]],"Away win","Draw"))</f>
        <v>Draw</v>
      </c>
    </row>
    <row r="806" spans="1:24" x14ac:dyDescent="0.2">
      <c r="A806" s="19">
        <v>2014</v>
      </c>
      <c r="B806" s="15" t="s">
        <v>1806</v>
      </c>
      <c r="C806" s="3" t="s">
        <v>607</v>
      </c>
      <c r="D806" s="3" t="s">
        <v>1763</v>
      </c>
      <c r="E806" s="3" t="s">
        <v>229</v>
      </c>
      <c r="F806" s="3" t="s">
        <v>556</v>
      </c>
      <c r="G806" s="11">
        <v>0</v>
      </c>
      <c r="H806" s="11">
        <v>3</v>
      </c>
      <c r="I806" s="3" t="s">
        <v>131</v>
      </c>
      <c r="J806" s="3" t="s">
        <v>1842</v>
      </c>
      <c r="K806" s="3">
        <v>39375</v>
      </c>
      <c r="L806" s="11">
        <v>0</v>
      </c>
      <c r="M806" s="11">
        <v>1</v>
      </c>
      <c r="N806" s="3" t="s">
        <v>1807</v>
      </c>
      <c r="O806" s="3" t="s">
        <v>1808</v>
      </c>
      <c r="P806" s="3" t="s">
        <v>1809</v>
      </c>
      <c r="Q806" s="11">
        <v>255931</v>
      </c>
      <c r="R806" s="11">
        <v>300186467</v>
      </c>
      <c r="S806" s="3" t="s">
        <v>561</v>
      </c>
      <c r="T806" s="4" t="s">
        <v>135</v>
      </c>
      <c r="U806" s="11">
        <f>World_Cup_Matches[[#This Row],[Home Team Goals]]+World_Cup_Matches[[#This Row],[Away Team Goals]]</f>
        <v>3</v>
      </c>
      <c r="V806" s="11">
        <f>World_Cup_Matches[[#This Row],[Home Team Goals]]-World_Cup_Matches[[#This Row],[Away Team Goals]]</f>
        <v>-3</v>
      </c>
      <c r="W806" s="4" t="str">
        <f>IF(World_Cup_Matches[[#This Row],[Home Team Goals]]&gt;World_Cup_Matches[[#This Row],[Away Team Goals]],World_Cup_Matches[[#This Row],[Home Team Name]],IF(World_Cup_Matches[[#This Row],[Away Team Goals]]&gt;World_Cup_Matches[[#This Row],[Home Team Goals]], World_Cup_Matches[[#This Row],[Away Team Name]],"Draw"))</f>
        <v>Spain</v>
      </c>
      <c r="X806" s="4" t="str">
        <f>IF(World_Cup_Matches[[#This Row],[Home Team Goals]]&gt;World_Cup_Matches[[#This Row],[Away Team Goals]],"Hime Win",IF(World_Cup_Matches[[#This Row],[Away Team Goals]]&gt;World_Cup_Matches[[#This Row],[Home Team Goals]],"Away win","Draw"))</f>
        <v>Away win</v>
      </c>
    </row>
    <row r="807" spans="1:24" x14ac:dyDescent="0.2">
      <c r="A807" s="19">
        <v>2014</v>
      </c>
      <c r="B807" s="15" t="s">
        <v>1806</v>
      </c>
      <c r="C807" s="3" t="s">
        <v>607</v>
      </c>
      <c r="D807" s="3" t="s">
        <v>1701</v>
      </c>
      <c r="E807" s="3" t="s">
        <v>233</v>
      </c>
      <c r="F807" s="3" t="s">
        <v>109</v>
      </c>
      <c r="G807" s="11">
        <v>2</v>
      </c>
      <c r="H807" s="11">
        <v>0</v>
      </c>
      <c r="I807" s="3" t="s">
        <v>61</v>
      </c>
      <c r="J807" s="3" t="s">
        <v>1842</v>
      </c>
      <c r="K807" s="3">
        <v>62996</v>
      </c>
      <c r="L807" s="11">
        <v>0</v>
      </c>
      <c r="M807" s="11">
        <v>0</v>
      </c>
      <c r="N807" s="3" t="s">
        <v>1810</v>
      </c>
      <c r="O807" s="3" t="s">
        <v>1634</v>
      </c>
      <c r="P807" s="3" t="s">
        <v>1811</v>
      </c>
      <c r="Q807" s="11">
        <v>255931</v>
      </c>
      <c r="R807" s="11">
        <v>300186470</v>
      </c>
      <c r="S807" s="3" t="s">
        <v>114</v>
      </c>
      <c r="T807" s="4" t="s">
        <v>63</v>
      </c>
      <c r="U807" s="11">
        <f>World_Cup_Matches[[#This Row],[Home Team Goals]]+World_Cup_Matches[[#This Row],[Away Team Goals]]</f>
        <v>2</v>
      </c>
      <c r="V807" s="11">
        <f>World_Cup_Matches[[#This Row],[Home Team Goals]]-World_Cup_Matches[[#This Row],[Away Team Goals]]</f>
        <v>2</v>
      </c>
      <c r="W807" s="4" t="str">
        <f>IF(World_Cup_Matches[[#This Row],[Home Team Goals]]&gt;World_Cup_Matches[[#This Row],[Away Team Goals]],World_Cup_Matches[[#This Row],[Home Team Name]],IF(World_Cup_Matches[[#This Row],[Away Team Goals]]&gt;World_Cup_Matches[[#This Row],[Home Team Goals]], World_Cup_Matches[[#This Row],[Away Team Name]],"Draw"))</f>
        <v>Netherlands</v>
      </c>
      <c r="X807" s="4" t="str">
        <f>IF(World_Cup_Matches[[#This Row],[Home Team Goals]]&gt;World_Cup_Matches[[#This Row],[Away Team Goals]],"Hime Win",IF(World_Cup_Matches[[#This Row],[Away Team Goals]]&gt;World_Cup_Matches[[#This Row],[Home Team Goals]],"Away win","Draw"))</f>
        <v>Hime Win</v>
      </c>
    </row>
    <row r="808" spans="1:24" x14ac:dyDescent="0.2">
      <c r="A808" s="19">
        <v>2014</v>
      </c>
      <c r="B808" s="15" t="s">
        <v>1812</v>
      </c>
      <c r="C808" s="3" t="s">
        <v>609</v>
      </c>
      <c r="D808" s="3" t="s">
        <v>1743</v>
      </c>
      <c r="E808" s="3" t="s">
        <v>1744</v>
      </c>
      <c r="F808" s="3" t="s">
        <v>700</v>
      </c>
      <c r="G808" s="11">
        <v>1</v>
      </c>
      <c r="H808" s="11">
        <v>4</v>
      </c>
      <c r="I808" s="3" t="s">
        <v>42</v>
      </c>
      <c r="J808" s="3" t="s">
        <v>1842</v>
      </c>
      <c r="K808" s="3">
        <v>69112</v>
      </c>
      <c r="L808" s="11">
        <v>1</v>
      </c>
      <c r="M808" s="11">
        <v>2</v>
      </c>
      <c r="N808" s="3" t="s">
        <v>1768</v>
      </c>
      <c r="O808" s="3" t="s">
        <v>1769</v>
      </c>
      <c r="P808" s="3" t="s">
        <v>1770</v>
      </c>
      <c r="Q808" s="11">
        <v>255931</v>
      </c>
      <c r="R808" s="11">
        <v>300186472</v>
      </c>
      <c r="S808" s="3" t="s">
        <v>702</v>
      </c>
      <c r="T808" s="4" t="s">
        <v>47</v>
      </c>
      <c r="U808" s="11">
        <f>World_Cup_Matches[[#This Row],[Home Team Goals]]+World_Cup_Matches[[#This Row],[Away Team Goals]]</f>
        <v>5</v>
      </c>
      <c r="V808" s="11">
        <f>World_Cup_Matches[[#This Row],[Home Team Goals]]-World_Cup_Matches[[#This Row],[Away Team Goals]]</f>
        <v>-3</v>
      </c>
      <c r="W808" s="4" t="str">
        <f>IF(World_Cup_Matches[[#This Row],[Home Team Goals]]&gt;World_Cup_Matches[[#This Row],[Away Team Goals]],World_Cup_Matches[[#This Row],[Home Team Name]],IF(World_Cup_Matches[[#This Row],[Away Team Goals]]&gt;World_Cup_Matches[[#This Row],[Home Team Goals]], World_Cup_Matches[[#This Row],[Away Team Name]],"Draw"))</f>
        <v>Brazil</v>
      </c>
      <c r="X808" s="4" t="str">
        <f>IF(World_Cup_Matches[[#This Row],[Home Team Goals]]&gt;World_Cup_Matches[[#This Row],[Away Team Goals]],"Hime Win",IF(World_Cup_Matches[[#This Row],[Away Team Goals]]&gt;World_Cup_Matches[[#This Row],[Home Team Goals]],"Away win","Draw"))</f>
        <v>Away win</v>
      </c>
    </row>
    <row r="809" spans="1:24" x14ac:dyDescent="0.2">
      <c r="A809" s="19">
        <v>2014</v>
      </c>
      <c r="B809" s="15" t="s">
        <v>1812</v>
      </c>
      <c r="C809" s="3" t="s">
        <v>609</v>
      </c>
      <c r="D809" s="3" t="s">
        <v>1738</v>
      </c>
      <c r="E809" s="3" t="s">
        <v>259</v>
      </c>
      <c r="F809" s="3" t="s">
        <v>1172</v>
      </c>
      <c r="G809" s="11">
        <v>1</v>
      </c>
      <c r="H809" s="11">
        <v>3</v>
      </c>
      <c r="I809" s="3" t="s">
        <v>25</v>
      </c>
      <c r="J809" s="3" t="s">
        <v>1842</v>
      </c>
      <c r="K809" s="3">
        <v>41212</v>
      </c>
      <c r="L809" s="11">
        <v>0</v>
      </c>
      <c r="M809" s="11">
        <v>0</v>
      </c>
      <c r="N809" s="3" t="s">
        <v>1567</v>
      </c>
      <c r="O809" s="3" t="s">
        <v>1745</v>
      </c>
      <c r="P809" s="3" t="s">
        <v>1569</v>
      </c>
      <c r="Q809" s="11">
        <v>255931</v>
      </c>
      <c r="R809" s="11">
        <v>300186452</v>
      </c>
      <c r="S809" s="3" t="s">
        <v>1177</v>
      </c>
      <c r="T809" s="4" t="s">
        <v>30</v>
      </c>
      <c r="U809" s="11">
        <f>World_Cup_Matches[[#This Row],[Home Team Goals]]+World_Cup_Matches[[#This Row],[Away Team Goals]]</f>
        <v>4</v>
      </c>
      <c r="V809" s="11">
        <f>World_Cup_Matches[[#This Row],[Home Team Goals]]-World_Cup_Matches[[#This Row],[Away Team Goals]]</f>
        <v>-2</v>
      </c>
      <c r="W809" s="4" t="str">
        <f>IF(World_Cup_Matches[[#This Row],[Home Team Goals]]&gt;World_Cup_Matches[[#This Row],[Away Team Goals]],World_Cup_Matches[[#This Row],[Home Team Name]],IF(World_Cup_Matches[[#This Row],[Away Team Goals]]&gt;World_Cup_Matches[[#This Row],[Home Team Goals]], World_Cup_Matches[[#This Row],[Away Team Name]],"Draw"))</f>
        <v>Mexico</v>
      </c>
      <c r="X809" s="4" t="str">
        <f>IF(World_Cup_Matches[[#This Row],[Home Team Goals]]&gt;World_Cup_Matches[[#This Row],[Away Team Goals]],"Hime Win",IF(World_Cup_Matches[[#This Row],[Away Team Goals]]&gt;World_Cup_Matches[[#This Row],[Home Team Goals]],"Away win","Draw"))</f>
        <v>Away win</v>
      </c>
    </row>
    <row r="810" spans="1:24" x14ac:dyDescent="0.2">
      <c r="A810" s="19">
        <v>2014</v>
      </c>
      <c r="B810" s="15" t="s">
        <v>1813</v>
      </c>
      <c r="C810" s="3" t="s">
        <v>811</v>
      </c>
      <c r="D810" s="3" t="s">
        <v>1704</v>
      </c>
      <c r="E810" s="3" t="s">
        <v>1705</v>
      </c>
      <c r="F810" s="3" t="s">
        <v>138</v>
      </c>
      <c r="G810" s="11">
        <v>0</v>
      </c>
      <c r="H810" s="11">
        <v>1</v>
      </c>
      <c r="I810" s="3" t="s">
        <v>72</v>
      </c>
      <c r="J810" s="3" t="s">
        <v>1842</v>
      </c>
      <c r="K810" s="3">
        <v>39706</v>
      </c>
      <c r="L810" s="11">
        <v>0</v>
      </c>
      <c r="M810" s="11">
        <v>0</v>
      </c>
      <c r="N810" s="3" t="s">
        <v>1432</v>
      </c>
      <c r="O810" s="3" t="s">
        <v>1618</v>
      </c>
      <c r="P810" s="3" t="s">
        <v>1772</v>
      </c>
      <c r="Q810" s="11">
        <v>255931</v>
      </c>
      <c r="R810" s="11">
        <v>300186465</v>
      </c>
      <c r="S810" s="3" t="s">
        <v>142</v>
      </c>
      <c r="T810" s="4" t="s">
        <v>73</v>
      </c>
      <c r="U810" s="11">
        <f>World_Cup_Matches[[#This Row],[Home Team Goals]]+World_Cup_Matches[[#This Row],[Away Team Goals]]</f>
        <v>1</v>
      </c>
      <c r="V810" s="11">
        <f>World_Cup_Matches[[#This Row],[Home Team Goals]]-World_Cup_Matches[[#This Row],[Away Team Goals]]</f>
        <v>-1</v>
      </c>
      <c r="W810" s="4" t="str">
        <f>IF(World_Cup_Matches[[#This Row],[Home Team Goals]]&gt;World_Cup_Matches[[#This Row],[Away Team Goals]],World_Cup_Matches[[#This Row],[Home Team Name]],IF(World_Cup_Matches[[#This Row],[Away Team Goals]]&gt;World_Cup_Matches[[#This Row],[Home Team Goals]], World_Cup_Matches[[#This Row],[Away Team Name]],"Draw"))</f>
        <v>Uruguay</v>
      </c>
      <c r="X810" s="4" t="str">
        <f>IF(World_Cup_Matches[[#This Row],[Home Team Goals]]&gt;World_Cup_Matches[[#This Row],[Away Team Goals]],"Hime Win",IF(World_Cup_Matches[[#This Row],[Away Team Goals]]&gt;World_Cup_Matches[[#This Row],[Home Team Goals]],"Away win","Draw"))</f>
        <v>Away win</v>
      </c>
    </row>
    <row r="811" spans="1:24" x14ac:dyDescent="0.2">
      <c r="A811" s="19">
        <v>2014</v>
      </c>
      <c r="B811" s="15" t="s">
        <v>1813</v>
      </c>
      <c r="C811" s="3" t="s">
        <v>811</v>
      </c>
      <c r="D811" s="3" t="s">
        <v>1721</v>
      </c>
      <c r="E811" s="3" t="s">
        <v>237</v>
      </c>
      <c r="F811" s="3" t="s">
        <v>925</v>
      </c>
      <c r="G811" s="11">
        <v>0</v>
      </c>
      <c r="H811" s="11">
        <v>0</v>
      </c>
      <c r="I811" s="3" t="s">
        <v>223</v>
      </c>
      <c r="J811" s="3" t="s">
        <v>1842</v>
      </c>
      <c r="K811" s="3">
        <v>57823</v>
      </c>
      <c r="L811" s="11">
        <v>0</v>
      </c>
      <c r="M811" s="11">
        <v>0</v>
      </c>
      <c r="N811" s="3" t="s">
        <v>1781</v>
      </c>
      <c r="O811" s="3" t="s">
        <v>1655</v>
      </c>
      <c r="P811" s="3" t="s">
        <v>1782</v>
      </c>
      <c r="Q811" s="11">
        <v>255931</v>
      </c>
      <c r="R811" s="11">
        <v>300186484</v>
      </c>
      <c r="S811" s="3" t="s">
        <v>929</v>
      </c>
      <c r="T811" s="4" t="s">
        <v>227</v>
      </c>
      <c r="U811" s="11">
        <f>World_Cup_Matches[[#This Row],[Home Team Goals]]+World_Cup_Matches[[#This Row],[Away Team Goals]]</f>
        <v>0</v>
      </c>
      <c r="V811" s="11">
        <f>World_Cup_Matches[[#This Row],[Home Team Goals]]-World_Cup_Matches[[#This Row],[Away Team Goals]]</f>
        <v>0</v>
      </c>
      <c r="W811" s="4" t="str">
        <f>IF(World_Cup_Matches[[#This Row],[Home Team Goals]]&gt;World_Cup_Matches[[#This Row],[Away Team Goals]],World_Cup_Matches[[#This Row],[Home Team Name]],IF(World_Cup_Matches[[#This Row],[Away Team Goals]]&gt;World_Cup_Matches[[#This Row],[Home Team Goals]], World_Cup_Matches[[#This Row],[Away Team Name]],"Draw"))</f>
        <v>Draw</v>
      </c>
      <c r="X811" s="4" t="str">
        <f>IF(World_Cup_Matches[[#This Row],[Home Team Goals]]&gt;World_Cup_Matches[[#This Row],[Away Team Goals]],"Hime Win",IF(World_Cup_Matches[[#This Row],[Away Team Goals]]&gt;World_Cup_Matches[[#This Row],[Home Team Goals]],"Away win","Draw"))</f>
        <v>Draw</v>
      </c>
    </row>
    <row r="812" spans="1:24" x14ac:dyDescent="0.2">
      <c r="A812" s="19">
        <v>2014</v>
      </c>
      <c r="B812" s="15" t="s">
        <v>1814</v>
      </c>
      <c r="C812" s="3" t="s">
        <v>805</v>
      </c>
      <c r="D812" s="3" t="s">
        <v>1715</v>
      </c>
      <c r="E812" s="3" t="s">
        <v>1716</v>
      </c>
      <c r="F812" s="3" t="s">
        <v>1161</v>
      </c>
      <c r="G812" s="11">
        <v>1</v>
      </c>
      <c r="H812" s="11">
        <v>4</v>
      </c>
      <c r="I812" s="3" t="s">
        <v>390</v>
      </c>
      <c r="J812" s="3" t="s">
        <v>1842</v>
      </c>
      <c r="K812" s="3">
        <v>40340</v>
      </c>
      <c r="L812" s="11">
        <v>1</v>
      </c>
      <c r="M812" s="11">
        <v>1</v>
      </c>
      <c r="N812" s="3" t="s">
        <v>1785</v>
      </c>
      <c r="O812" s="3" t="s">
        <v>1616</v>
      </c>
      <c r="P812" s="3" t="s">
        <v>1786</v>
      </c>
      <c r="Q812" s="11">
        <v>255931</v>
      </c>
      <c r="R812" s="11">
        <v>300186457</v>
      </c>
      <c r="S812" s="3" t="s">
        <v>1164</v>
      </c>
      <c r="T812" s="4" t="s">
        <v>394</v>
      </c>
      <c r="U812" s="11">
        <f>World_Cup_Matches[[#This Row],[Home Team Goals]]+World_Cup_Matches[[#This Row],[Away Team Goals]]</f>
        <v>5</v>
      </c>
      <c r="V812" s="11">
        <f>World_Cup_Matches[[#This Row],[Home Team Goals]]-World_Cup_Matches[[#This Row],[Away Team Goals]]</f>
        <v>-3</v>
      </c>
      <c r="W812" s="4" t="str">
        <f>IF(World_Cup_Matches[[#This Row],[Home Team Goals]]&gt;World_Cup_Matches[[#This Row],[Away Team Goals]],World_Cup_Matches[[#This Row],[Home Team Name]],IF(World_Cup_Matches[[#This Row],[Away Team Goals]]&gt;World_Cup_Matches[[#This Row],[Home Team Goals]], World_Cup_Matches[[#This Row],[Away Team Name]],"Draw"))</f>
        <v>Colombia</v>
      </c>
      <c r="X812" s="4" t="str">
        <f>IF(World_Cup_Matches[[#This Row],[Home Team Goals]]&gt;World_Cup_Matches[[#This Row],[Away Team Goals]],"Hime Win",IF(World_Cup_Matches[[#This Row],[Away Team Goals]]&gt;World_Cup_Matches[[#This Row],[Home Team Goals]],"Away win","Draw"))</f>
        <v>Away win</v>
      </c>
    </row>
    <row r="813" spans="1:24" x14ac:dyDescent="0.2">
      <c r="A813" s="19">
        <v>2014</v>
      </c>
      <c r="B813" s="15" t="s">
        <v>1815</v>
      </c>
      <c r="C813" s="3" t="s">
        <v>805</v>
      </c>
      <c r="D813" s="3" t="s">
        <v>1726</v>
      </c>
      <c r="E813" s="3" t="s">
        <v>1727</v>
      </c>
      <c r="F813" s="3" t="s">
        <v>1051</v>
      </c>
      <c r="G813" s="11">
        <v>2</v>
      </c>
      <c r="H813" s="11">
        <v>1</v>
      </c>
      <c r="I813" s="3" t="s">
        <v>1444</v>
      </c>
      <c r="J813" s="3" t="s">
        <v>1842</v>
      </c>
      <c r="K813" s="3">
        <v>59095</v>
      </c>
      <c r="L813" s="11">
        <v>1</v>
      </c>
      <c r="M813" s="11">
        <v>0</v>
      </c>
      <c r="N813" s="3" t="s">
        <v>1764</v>
      </c>
      <c r="O813" s="3" t="s">
        <v>1765</v>
      </c>
      <c r="P813" s="3" t="s">
        <v>1766</v>
      </c>
      <c r="Q813" s="11">
        <v>255931</v>
      </c>
      <c r="R813" s="11">
        <v>300186455</v>
      </c>
      <c r="S813" s="3" t="s">
        <v>1053</v>
      </c>
      <c r="T813" s="4" t="s">
        <v>1448</v>
      </c>
      <c r="U813" s="11">
        <f>World_Cup_Matches[[#This Row],[Home Team Goals]]+World_Cup_Matches[[#This Row],[Away Team Goals]]</f>
        <v>3</v>
      </c>
      <c r="V813" s="11">
        <f>World_Cup_Matches[[#This Row],[Home Team Goals]]-World_Cup_Matches[[#This Row],[Away Team Goals]]</f>
        <v>1</v>
      </c>
      <c r="W813" s="4" t="str">
        <f>IF(World_Cup_Matches[[#This Row],[Home Team Goals]]&gt;World_Cup_Matches[[#This Row],[Away Team Goals]],World_Cup_Matches[[#This Row],[Home Team Name]],IF(World_Cup_Matches[[#This Row],[Away Team Goals]]&gt;World_Cup_Matches[[#This Row],[Home Team Goals]], World_Cup_Matches[[#This Row],[Away Team Name]],"Draw"))</f>
        <v>Greece</v>
      </c>
      <c r="X813" s="4" t="str">
        <f>IF(World_Cup_Matches[[#This Row],[Home Team Goals]]&gt;World_Cup_Matches[[#This Row],[Away Team Goals]],"Hime Win",IF(World_Cup_Matches[[#This Row],[Away Team Goals]]&gt;World_Cup_Matches[[#This Row],[Home Team Goals]],"Away win","Draw"))</f>
        <v>Hime Win</v>
      </c>
    </row>
    <row r="814" spans="1:24" x14ac:dyDescent="0.2">
      <c r="A814" s="19">
        <v>2014</v>
      </c>
      <c r="B814" s="15" t="s">
        <v>1816</v>
      </c>
      <c r="C814" s="3" t="s">
        <v>824</v>
      </c>
      <c r="D814" s="3" t="s">
        <v>1747</v>
      </c>
      <c r="E814" s="3" t="s">
        <v>244</v>
      </c>
      <c r="F814" s="3" t="s">
        <v>1055</v>
      </c>
      <c r="G814" s="11">
        <v>2</v>
      </c>
      <c r="H814" s="11">
        <v>3</v>
      </c>
      <c r="I814" s="3" t="s">
        <v>56</v>
      </c>
      <c r="J814" s="3" t="s">
        <v>1842</v>
      </c>
      <c r="K814" s="3">
        <v>43285</v>
      </c>
      <c r="L814" s="11">
        <v>1</v>
      </c>
      <c r="M814" s="11">
        <v>2</v>
      </c>
      <c r="N814" s="3" t="s">
        <v>1711</v>
      </c>
      <c r="O814" s="3" t="s">
        <v>1712</v>
      </c>
      <c r="P814" s="3" t="s">
        <v>1713</v>
      </c>
      <c r="Q814" s="11">
        <v>255931</v>
      </c>
      <c r="R814" s="11">
        <v>300186458</v>
      </c>
      <c r="S814" s="3" t="s">
        <v>1057</v>
      </c>
      <c r="T814" s="4" t="s">
        <v>59</v>
      </c>
      <c r="U814" s="11">
        <f>World_Cup_Matches[[#This Row],[Home Team Goals]]+World_Cup_Matches[[#This Row],[Away Team Goals]]</f>
        <v>5</v>
      </c>
      <c r="V814" s="11">
        <f>World_Cup_Matches[[#This Row],[Home Team Goals]]-World_Cup_Matches[[#This Row],[Away Team Goals]]</f>
        <v>-1</v>
      </c>
      <c r="W814" s="4" t="str">
        <f>IF(World_Cup_Matches[[#This Row],[Home Team Goals]]&gt;World_Cup_Matches[[#This Row],[Away Team Goals]],World_Cup_Matches[[#This Row],[Home Team Name]],IF(World_Cup_Matches[[#This Row],[Away Team Goals]]&gt;World_Cup_Matches[[#This Row],[Home Team Goals]], World_Cup_Matches[[#This Row],[Away Team Name]],"Draw"))</f>
        <v>Argentina</v>
      </c>
      <c r="X814" s="4" t="str">
        <f>IF(World_Cup_Matches[[#This Row],[Home Team Goals]]&gt;World_Cup_Matches[[#This Row],[Away Team Goals]],"Hime Win",IF(World_Cup_Matches[[#This Row],[Away Team Goals]]&gt;World_Cup_Matches[[#This Row],[Home Team Goals]],"Away win","Draw"))</f>
        <v>Away win</v>
      </c>
    </row>
    <row r="815" spans="1:24" x14ac:dyDescent="0.2">
      <c r="A815" s="19">
        <v>2014</v>
      </c>
      <c r="B815" s="15" t="s">
        <v>1816</v>
      </c>
      <c r="C815" s="3" t="s">
        <v>824</v>
      </c>
      <c r="D815" s="3" t="s">
        <v>1709</v>
      </c>
      <c r="E815" s="3" t="s">
        <v>1710</v>
      </c>
      <c r="F815" s="3" t="s">
        <v>1753</v>
      </c>
      <c r="G815" s="11">
        <v>3</v>
      </c>
      <c r="H815" s="11">
        <v>1</v>
      </c>
      <c r="I815" s="3" t="s">
        <v>648</v>
      </c>
      <c r="J815" s="3" t="s">
        <v>1842</v>
      </c>
      <c r="K815" s="3">
        <v>48011</v>
      </c>
      <c r="L815" s="11">
        <v>1</v>
      </c>
      <c r="M815" s="11">
        <v>0</v>
      </c>
      <c r="N815" s="3" t="s">
        <v>1789</v>
      </c>
      <c r="O815" s="3" t="s">
        <v>1790</v>
      </c>
      <c r="P815" s="3" t="s">
        <v>1652</v>
      </c>
      <c r="Q815" s="11">
        <v>255931</v>
      </c>
      <c r="R815" s="11">
        <v>300186464</v>
      </c>
      <c r="S815" s="3" t="s">
        <v>1757</v>
      </c>
      <c r="T815" s="4" t="s">
        <v>650</v>
      </c>
      <c r="U815" s="11">
        <f>World_Cup_Matches[[#This Row],[Home Team Goals]]+World_Cup_Matches[[#This Row],[Away Team Goals]]</f>
        <v>4</v>
      </c>
      <c r="V815" s="11">
        <f>World_Cup_Matches[[#This Row],[Home Team Goals]]-World_Cup_Matches[[#This Row],[Away Team Goals]]</f>
        <v>2</v>
      </c>
      <c r="W815" s="4" t="str">
        <f>IF(World_Cup_Matches[[#This Row],[Home Team Goals]]&gt;World_Cup_Matches[[#This Row],[Away Team Goals]],World_Cup_Matches[[#This Row],[Home Team Name]],IF(World_Cup_Matches[[#This Row],[Away Team Goals]]&gt;World_Cup_Matches[[#This Row],[Home Team Goals]], World_Cup_Matches[[#This Row],[Away Team Name]],"Draw"))</f>
        <v>rn"&gt;Bosnia and Herzegovina</v>
      </c>
      <c r="X815" s="4" t="str">
        <f>IF(World_Cup_Matches[[#This Row],[Home Team Goals]]&gt;World_Cup_Matches[[#This Row],[Away Team Goals]],"Hime Win",IF(World_Cup_Matches[[#This Row],[Away Team Goals]]&gt;World_Cup_Matches[[#This Row],[Home Team Goals]],"Away win","Draw"))</f>
        <v>Hime Win</v>
      </c>
    </row>
    <row r="816" spans="1:24" x14ac:dyDescent="0.2">
      <c r="A816" s="19">
        <v>2014</v>
      </c>
      <c r="B816" s="15" t="s">
        <v>1817</v>
      </c>
      <c r="C816" s="3" t="s">
        <v>846</v>
      </c>
      <c r="D816" s="3" t="s">
        <v>1732</v>
      </c>
      <c r="E816" s="3" t="s">
        <v>1733</v>
      </c>
      <c r="F816" s="3" t="s">
        <v>730</v>
      </c>
      <c r="G816" s="11">
        <v>0</v>
      </c>
      <c r="H816" s="11">
        <v>3</v>
      </c>
      <c r="I816" s="3" t="s">
        <v>108</v>
      </c>
      <c r="J816" s="3" t="s">
        <v>1842</v>
      </c>
      <c r="K816" s="3">
        <v>40322</v>
      </c>
      <c r="L816" s="11">
        <v>0</v>
      </c>
      <c r="M816" s="11">
        <v>2</v>
      </c>
      <c r="N816" s="3" t="s">
        <v>1778</v>
      </c>
      <c r="O816" s="3" t="s">
        <v>1601</v>
      </c>
      <c r="P816" s="3" t="s">
        <v>1779</v>
      </c>
      <c r="Q816" s="11">
        <v>255931</v>
      </c>
      <c r="R816" s="11">
        <v>300186482</v>
      </c>
      <c r="S816" s="3" t="s">
        <v>733</v>
      </c>
      <c r="T816" s="4" t="s">
        <v>113</v>
      </c>
      <c r="U816" s="11">
        <f>World_Cup_Matches[[#This Row],[Home Team Goals]]+World_Cup_Matches[[#This Row],[Away Team Goals]]</f>
        <v>3</v>
      </c>
      <c r="V816" s="11">
        <f>World_Cup_Matches[[#This Row],[Home Team Goals]]-World_Cup_Matches[[#This Row],[Away Team Goals]]</f>
        <v>-3</v>
      </c>
      <c r="W816" s="4" t="str">
        <f>IF(World_Cup_Matches[[#This Row],[Home Team Goals]]&gt;World_Cup_Matches[[#This Row],[Away Team Goals]],World_Cup_Matches[[#This Row],[Home Team Name]],IF(World_Cup_Matches[[#This Row],[Away Team Goals]]&gt;World_Cup_Matches[[#This Row],[Home Team Goals]], World_Cup_Matches[[#This Row],[Away Team Name]],"Draw"))</f>
        <v>Switzerland</v>
      </c>
      <c r="X816" s="4" t="str">
        <f>IF(World_Cup_Matches[[#This Row],[Home Team Goals]]&gt;World_Cup_Matches[[#This Row],[Away Team Goals]],"Hime Win",IF(World_Cup_Matches[[#This Row],[Away Team Goals]]&gt;World_Cup_Matches[[#This Row],[Home Team Goals]],"Away win","Draw"))</f>
        <v>Away win</v>
      </c>
    </row>
    <row r="817" spans="1:24" x14ac:dyDescent="0.2">
      <c r="A817" s="19">
        <v>2014</v>
      </c>
      <c r="B817" s="15" t="s">
        <v>1818</v>
      </c>
      <c r="C817" s="3" t="s">
        <v>846</v>
      </c>
      <c r="D817" s="3" t="s">
        <v>1752</v>
      </c>
      <c r="E817" s="3" t="s">
        <v>218</v>
      </c>
      <c r="F817" s="3" t="s">
        <v>1303</v>
      </c>
      <c r="G817" s="11">
        <v>0</v>
      </c>
      <c r="H817" s="11">
        <v>0</v>
      </c>
      <c r="I817" s="3" t="s">
        <v>24</v>
      </c>
      <c r="J817" s="3" t="s">
        <v>1842</v>
      </c>
      <c r="K817" s="3">
        <v>73749</v>
      </c>
      <c r="L817" s="11">
        <v>0</v>
      </c>
      <c r="M817" s="11">
        <v>0</v>
      </c>
      <c r="N817" s="3" t="s">
        <v>1717</v>
      </c>
      <c r="O817" s="3" t="s">
        <v>1718</v>
      </c>
      <c r="P817" s="3" t="s">
        <v>1719</v>
      </c>
      <c r="Q817" s="11">
        <v>255931</v>
      </c>
      <c r="R817" s="11">
        <v>300186515</v>
      </c>
      <c r="S817" s="3" t="s">
        <v>1307</v>
      </c>
      <c r="T817" s="4" t="s">
        <v>29</v>
      </c>
      <c r="U817" s="11">
        <f>World_Cup_Matches[[#This Row],[Home Team Goals]]+World_Cup_Matches[[#This Row],[Away Team Goals]]</f>
        <v>0</v>
      </c>
      <c r="V817" s="11">
        <f>World_Cup_Matches[[#This Row],[Home Team Goals]]-World_Cup_Matches[[#This Row],[Away Team Goals]]</f>
        <v>0</v>
      </c>
      <c r="W817" s="4" t="str">
        <f>IF(World_Cup_Matches[[#This Row],[Home Team Goals]]&gt;World_Cup_Matches[[#This Row],[Away Team Goals]],World_Cup_Matches[[#This Row],[Home Team Name]],IF(World_Cup_Matches[[#This Row],[Away Team Goals]]&gt;World_Cup_Matches[[#This Row],[Home Team Goals]], World_Cup_Matches[[#This Row],[Away Team Name]],"Draw"))</f>
        <v>Draw</v>
      </c>
      <c r="X817" s="4" t="str">
        <f>IF(World_Cup_Matches[[#This Row],[Home Team Goals]]&gt;World_Cup_Matches[[#This Row],[Away Team Goals]],"Hime Win",IF(World_Cup_Matches[[#This Row],[Away Team Goals]]&gt;World_Cup_Matches[[#This Row],[Home Team Goals]],"Away win","Draw"))</f>
        <v>Draw</v>
      </c>
    </row>
    <row r="818" spans="1:24" x14ac:dyDescent="0.2">
      <c r="A818" s="19">
        <v>2014</v>
      </c>
      <c r="B818" s="15" t="s">
        <v>1819</v>
      </c>
      <c r="C818" s="3" t="s">
        <v>1179</v>
      </c>
      <c r="D818" s="3" t="s">
        <v>1738</v>
      </c>
      <c r="E818" s="3" t="s">
        <v>259</v>
      </c>
      <c r="F818" s="3" t="s">
        <v>33</v>
      </c>
      <c r="G818" s="11">
        <v>0</v>
      </c>
      <c r="H818" s="11">
        <v>1</v>
      </c>
      <c r="I818" s="3" t="s">
        <v>124</v>
      </c>
      <c r="J818" s="3" t="s">
        <v>1842</v>
      </c>
      <c r="K818" s="3">
        <v>41876</v>
      </c>
      <c r="L818" s="11">
        <v>0</v>
      </c>
      <c r="M818" s="11">
        <v>0</v>
      </c>
      <c r="N818" s="3" t="s">
        <v>1567</v>
      </c>
      <c r="O818" s="3" t="s">
        <v>1745</v>
      </c>
      <c r="P818" s="3" t="s">
        <v>1569</v>
      </c>
      <c r="Q818" s="11">
        <v>255931</v>
      </c>
      <c r="R818" s="11">
        <v>300186469</v>
      </c>
      <c r="S818" s="3" t="s">
        <v>33</v>
      </c>
      <c r="T818" s="4" t="s">
        <v>128</v>
      </c>
      <c r="U818" s="11">
        <f>World_Cup_Matches[[#This Row],[Home Team Goals]]+World_Cup_Matches[[#This Row],[Away Team Goals]]</f>
        <v>1</v>
      </c>
      <c r="V818" s="11">
        <f>World_Cup_Matches[[#This Row],[Home Team Goals]]-World_Cup_Matches[[#This Row],[Away Team Goals]]</f>
        <v>-1</v>
      </c>
      <c r="W818" s="4" t="str">
        <f>IF(World_Cup_Matches[[#This Row],[Home Team Goals]]&gt;World_Cup_Matches[[#This Row],[Away Team Goals]],World_Cup_Matches[[#This Row],[Home Team Name]],IF(World_Cup_Matches[[#This Row],[Away Team Goals]]&gt;World_Cup_Matches[[#This Row],[Home Team Goals]], World_Cup_Matches[[#This Row],[Away Team Name]],"Draw"))</f>
        <v>Germany</v>
      </c>
      <c r="X818" s="4" t="str">
        <f>IF(World_Cup_Matches[[#This Row],[Home Team Goals]]&gt;World_Cup_Matches[[#This Row],[Away Team Goals]],"Hime Win",IF(World_Cup_Matches[[#This Row],[Away Team Goals]]&gt;World_Cup_Matches[[#This Row],[Home Team Goals]],"Away win","Draw"))</f>
        <v>Away win</v>
      </c>
    </row>
    <row r="819" spans="1:24" x14ac:dyDescent="0.2">
      <c r="A819" s="19">
        <v>2014</v>
      </c>
      <c r="B819" s="15" t="s">
        <v>1819</v>
      </c>
      <c r="C819" s="3" t="s">
        <v>1179</v>
      </c>
      <c r="D819" s="3" t="s">
        <v>1743</v>
      </c>
      <c r="E819" s="3" t="s">
        <v>1744</v>
      </c>
      <c r="F819" s="3" t="s">
        <v>458</v>
      </c>
      <c r="G819" s="11">
        <v>2</v>
      </c>
      <c r="H819" s="11">
        <v>1</v>
      </c>
      <c r="I819" s="3" t="s">
        <v>1483</v>
      </c>
      <c r="J819" s="3" t="s">
        <v>1842</v>
      </c>
      <c r="K819" s="3">
        <v>67540</v>
      </c>
      <c r="L819" s="11">
        <v>1</v>
      </c>
      <c r="M819" s="11">
        <v>0</v>
      </c>
      <c r="N819" s="3" t="s">
        <v>1807</v>
      </c>
      <c r="O819" s="3" t="s">
        <v>1808</v>
      </c>
      <c r="P819" s="3" t="s">
        <v>1809</v>
      </c>
      <c r="Q819" s="11">
        <v>255931</v>
      </c>
      <c r="R819" s="11">
        <v>300186476</v>
      </c>
      <c r="S819" s="3" t="s">
        <v>462</v>
      </c>
      <c r="T819" s="4" t="s">
        <v>1486</v>
      </c>
      <c r="U819" s="11">
        <f>World_Cup_Matches[[#This Row],[Home Team Goals]]+World_Cup_Matches[[#This Row],[Away Team Goals]]</f>
        <v>3</v>
      </c>
      <c r="V819" s="11">
        <f>World_Cup_Matches[[#This Row],[Home Team Goals]]-World_Cup_Matches[[#This Row],[Away Team Goals]]</f>
        <v>1</v>
      </c>
      <c r="W819" s="4" t="str">
        <f>IF(World_Cup_Matches[[#This Row],[Home Team Goals]]&gt;World_Cup_Matches[[#This Row],[Away Team Goals]],World_Cup_Matches[[#This Row],[Home Team Name]],IF(World_Cup_Matches[[#This Row],[Away Team Goals]]&gt;World_Cup_Matches[[#This Row],[Home Team Goals]], World_Cup_Matches[[#This Row],[Away Team Name]],"Draw"))</f>
        <v>Portugal</v>
      </c>
      <c r="X819" s="4" t="str">
        <f>IF(World_Cup_Matches[[#This Row],[Home Team Goals]]&gt;World_Cup_Matches[[#This Row],[Away Team Goals]],"Hime Win",IF(World_Cup_Matches[[#This Row],[Away Team Goals]]&gt;World_Cup_Matches[[#This Row],[Home Team Goals]],"Away win","Draw"))</f>
        <v>Hime Win</v>
      </c>
    </row>
    <row r="820" spans="1:24" x14ac:dyDescent="0.2">
      <c r="A820" s="19">
        <v>2014</v>
      </c>
      <c r="B820" s="15" t="s">
        <v>1820</v>
      </c>
      <c r="C820" s="3" t="s">
        <v>1160</v>
      </c>
      <c r="D820" s="3" t="s">
        <v>1701</v>
      </c>
      <c r="E820" s="3" t="s">
        <v>233</v>
      </c>
      <c r="F820" s="3" t="s">
        <v>291</v>
      </c>
      <c r="G820" s="11">
        <v>0</v>
      </c>
      <c r="H820" s="11">
        <v>1</v>
      </c>
      <c r="I820" s="3" t="s">
        <v>34</v>
      </c>
      <c r="J820" s="3" t="s">
        <v>1842</v>
      </c>
      <c r="K820" s="3">
        <v>61397</v>
      </c>
      <c r="L820" s="11">
        <v>0</v>
      </c>
      <c r="M820" s="11">
        <v>0</v>
      </c>
      <c r="N820" s="3" t="s">
        <v>1795</v>
      </c>
      <c r="O820" s="3" t="s">
        <v>1796</v>
      </c>
      <c r="P820" s="3" t="s">
        <v>1797</v>
      </c>
      <c r="Q820" s="11">
        <v>255931</v>
      </c>
      <c r="R820" s="11">
        <v>300186480</v>
      </c>
      <c r="S820" s="3" t="s">
        <v>295</v>
      </c>
      <c r="T820" s="4" t="s">
        <v>38</v>
      </c>
      <c r="U820" s="11">
        <f>World_Cup_Matches[[#This Row],[Home Team Goals]]+World_Cup_Matches[[#This Row],[Away Team Goals]]</f>
        <v>1</v>
      </c>
      <c r="V820" s="11">
        <f>World_Cup_Matches[[#This Row],[Home Team Goals]]-World_Cup_Matches[[#This Row],[Away Team Goals]]</f>
        <v>-1</v>
      </c>
      <c r="W820" s="4" t="str">
        <f>IF(World_Cup_Matches[[#This Row],[Home Team Goals]]&gt;World_Cup_Matches[[#This Row],[Away Team Goals]],World_Cup_Matches[[#This Row],[Home Team Name]],IF(World_Cup_Matches[[#This Row],[Away Team Goals]]&gt;World_Cup_Matches[[#This Row],[Home Team Goals]], World_Cup_Matches[[#This Row],[Away Team Name]],"Draw"))</f>
        <v>Belgium</v>
      </c>
      <c r="X820" s="4" t="str">
        <f>IF(World_Cup_Matches[[#This Row],[Home Team Goals]]&gt;World_Cup_Matches[[#This Row],[Away Team Goals]],"Hime Win",IF(World_Cup_Matches[[#This Row],[Away Team Goals]]&gt;World_Cup_Matches[[#This Row],[Home Team Goals]],"Away win","Draw"))</f>
        <v>Away win</v>
      </c>
    </row>
    <row r="821" spans="1:24" x14ac:dyDescent="0.2">
      <c r="A821" s="19">
        <v>2014</v>
      </c>
      <c r="B821" s="15" t="s">
        <v>1820</v>
      </c>
      <c r="C821" s="3" t="s">
        <v>1160</v>
      </c>
      <c r="D821" s="3" t="s">
        <v>1763</v>
      </c>
      <c r="E821" s="3" t="s">
        <v>229</v>
      </c>
      <c r="F821" s="3" t="s">
        <v>718</v>
      </c>
      <c r="G821" s="11">
        <v>1</v>
      </c>
      <c r="H821" s="11">
        <v>1</v>
      </c>
      <c r="I821" s="3" t="s">
        <v>1043</v>
      </c>
      <c r="J821" s="3" t="s">
        <v>1842</v>
      </c>
      <c r="K821" s="3">
        <v>39311</v>
      </c>
      <c r="L821" s="11">
        <v>0</v>
      </c>
      <c r="M821" s="11">
        <v>1</v>
      </c>
      <c r="N821" s="3" t="s">
        <v>1774</v>
      </c>
      <c r="O821" s="3" t="s">
        <v>1775</v>
      </c>
      <c r="P821" s="3" t="s">
        <v>1776</v>
      </c>
      <c r="Q821" s="11">
        <v>255931</v>
      </c>
      <c r="R821" s="11">
        <v>300186506</v>
      </c>
      <c r="S821" s="3" t="s">
        <v>722</v>
      </c>
      <c r="T821" s="4" t="s">
        <v>1047</v>
      </c>
      <c r="U821" s="11">
        <f>World_Cup_Matches[[#This Row],[Home Team Goals]]+World_Cup_Matches[[#This Row],[Away Team Goals]]</f>
        <v>2</v>
      </c>
      <c r="V821" s="11">
        <f>World_Cup_Matches[[#This Row],[Home Team Goals]]-World_Cup_Matches[[#This Row],[Away Team Goals]]</f>
        <v>0</v>
      </c>
      <c r="W821" s="4" t="str">
        <f>IF(World_Cup_Matches[[#This Row],[Home Team Goals]]&gt;World_Cup_Matches[[#This Row],[Away Team Goals]],World_Cup_Matches[[#This Row],[Home Team Name]],IF(World_Cup_Matches[[#This Row],[Away Team Goals]]&gt;World_Cup_Matches[[#This Row],[Home Team Goals]], World_Cup_Matches[[#This Row],[Away Team Name]],"Draw"))</f>
        <v>Draw</v>
      </c>
      <c r="X821" s="4" t="str">
        <f>IF(World_Cup_Matches[[#This Row],[Home Team Goals]]&gt;World_Cup_Matches[[#This Row],[Away Team Goals]],"Hime Win",IF(World_Cup_Matches[[#This Row],[Away Team Goals]]&gt;World_Cup_Matches[[#This Row],[Home Team Goals]],"Away win","Draw"))</f>
        <v>Draw</v>
      </c>
    </row>
    <row r="822" spans="1:24" x14ac:dyDescent="0.2">
      <c r="A822" s="19">
        <v>2014</v>
      </c>
      <c r="B822" s="15" t="s">
        <v>1821</v>
      </c>
      <c r="C822" s="3" t="s">
        <v>878</v>
      </c>
      <c r="D822" s="3" t="s">
        <v>1721</v>
      </c>
      <c r="E822" s="3" t="s">
        <v>237</v>
      </c>
      <c r="F822" s="3" t="s">
        <v>42</v>
      </c>
      <c r="G822" s="11">
        <v>1</v>
      </c>
      <c r="H822" s="11">
        <v>1</v>
      </c>
      <c r="I822" s="3" t="s">
        <v>61</v>
      </c>
      <c r="J822" s="3" t="s">
        <v>1106</v>
      </c>
      <c r="K822" s="3">
        <v>57714</v>
      </c>
      <c r="L822" s="11">
        <v>0</v>
      </c>
      <c r="M822" s="11">
        <v>0</v>
      </c>
      <c r="N822" s="3" t="s">
        <v>1637</v>
      </c>
      <c r="O822" s="3" t="s">
        <v>1639</v>
      </c>
      <c r="P822" s="3" t="s">
        <v>1638</v>
      </c>
      <c r="Q822" s="11">
        <v>255951</v>
      </c>
      <c r="R822" s="11">
        <v>300186487</v>
      </c>
      <c r="S822" s="3" t="s">
        <v>47</v>
      </c>
      <c r="T822" s="4" t="s">
        <v>63</v>
      </c>
      <c r="U822" s="11">
        <f>World_Cup_Matches[[#This Row],[Home Team Goals]]+World_Cup_Matches[[#This Row],[Away Team Goals]]</f>
        <v>2</v>
      </c>
      <c r="V822" s="11">
        <f>World_Cup_Matches[[#This Row],[Home Team Goals]]-World_Cup_Matches[[#This Row],[Away Team Goals]]</f>
        <v>0</v>
      </c>
      <c r="W822" s="4" t="str">
        <f>IF(World_Cup_Matches[[#This Row],[Home Team Goals]]&gt;World_Cup_Matches[[#This Row],[Away Team Goals]],World_Cup_Matches[[#This Row],[Home Team Name]],IF(World_Cup_Matches[[#This Row],[Away Team Goals]]&gt;World_Cup_Matches[[#This Row],[Home Team Goals]], World_Cup_Matches[[#This Row],[Away Team Name]],"Draw"))</f>
        <v>Draw</v>
      </c>
      <c r="X822" s="4" t="str">
        <f>IF(World_Cup_Matches[[#This Row],[Home Team Goals]]&gt;World_Cup_Matches[[#This Row],[Away Team Goals]],"Hime Win",IF(World_Cup_Matches[[#This Row],[Away Team Goals]]&gt;World_Cup_Matches[[#This Row],[Home Team Goals]],"Away win","Draw"))</f>
        <v>Draw</v>
      </c>
    </row>
    <row r="823" spans="1:24" x14ac:dyDescent="0.2">
      <c r="A823" s="19">
        <v>2014</v>
      </c>
      <c r="B823" s="15" t="s">
        <v>1822</v>
      </c>
      <c r="C823" s="3" t="s">
        <v>878</v>
      </c>
      <c r="D823" s="3" t="s">
        <v>1752</v>
      </c>
      <c r="E823" s="3" t="s">
        <v>218</v>
      </c>
      <c r="F823" s="3" t="s">
        <v>390</v>
      </c>
      <c r="G823" s="11">
        <v>2</v>
      </c>
      <c r="H823" s="11">
        <v>0</v>
      </c>
      <c r="I823" s="3" t="s">
        <v>72</v>
      </c>
      <c r="J823" s="3" t="s">
        <v>1842</v>
      </c>
      <c r="K823" s="3">
        <v>73804</v>
      </c>
      <c r="L823" s="11">
        <v>1</v>
      </c>
      <c r="M823" s="11">
        <v>0</v>
      </c>
      <c r="N823" s="3" t="s">
        <v>1734</v>
      </c>
      <c r="O823" s="3" t="s">
        <v>1735</v>
      </c>
      <c r="P823" s="3" t="s">
        <v>1736</v>
      </c>
      <c r="Q823" s="11">
        <v>255951</v>
      </c>
      <c r="R823" s="11">
        <v>300186491</v>
      </c>
      <c r="S823" s="3" t="s">
        <v>394</v>
      </c>
      <c r="T823" s="4" t="s">
        <v>73</v>
      </c>
      <c r="U823" s="11">
        <f>World_Cup_Matches[[#This Row],[Home Team Goals]]+World_Cup_Matches[[#This Row],[Away Team Goals]]</f>
        <v>2</v>
      </c>
      <c r="V823" s="11">
        <f>World_Cup_Matches[[#This Row],[Home Team Goals]]-World_Cup_Matches[[#This Row],[Away Team Goals]]</f>
        <v>2</v>
      </c>
      <c r="W823" s="4" t="str">
        <f>IF(World_Cup_Matches[[#This Row],[Home Team Goals]]&gt;World_Cup_Matches[[#This Row],[Away Team Goals]],World_Cup_Matches[[#This Row],[Home Team Name]],IF(World_Cup_Matches[[#This Row],[Away Team Goals]]&gt;World_Cup_Matches[[#This Row],[Home Team Goals]], World_Cup_Matches[[#This Row],[Away Team Name]],"Draw"))</f>
        <v>Colombia</v>
      </c>
      <c r="X823" s="4" t="str">
        <f>IF(World_Cup_Matches[[#This Row],[Home Team Goals]]&gt;World_Cup_Matches[[#This Row],[Away Team Goals]],"Hime Win",IF(World_Cup_Matches[[#This Row],[Away Team Goals]]&gt;World_Cup_Matches[[#This Row],[Home Team Goals]],"Away win","Draw"))</f>
        <v>Hime Win</v>
      </c>
    </row>
    <row r="824" spans="1:24" x14ac:dyDescent="0.2">
      <c r="A824" s="19">
        <v>2014</v>
      </c>
      <c r="B824" s="15" t="s">
        <v>1823</v>
      </c>
      <c r="C824" s="3" t="s">
        <v>878</v>
      </c>
      <c r="D824" s="3" t="s">
        <v>1743</v>
      </c>
      <c r="E824" s="3" t="s">
        <v>1744</v>
      </c>
      <c r="F824" s="3" t="s">
        <v>24</v>
      </c>
      <c r="G824" s="11">
        <v>2</v>
      </c>
      <c r="H824" s="11">
        <v>0</v>
      </c>
      <c r="I824" s="3" t="s">
        <v>1055</v>
      </c>
      <c r="J824" s="3" t="s">
        <v>1842</v>
      </c>
      <c r="K824" s="3">
        <v>67882</v>
      </c>
      <c r="L824" s="11">
        <v>0</v>
      </c>
      <c r="M824" s="11">
        <v>0</v>
      </c>
      <c r="N824" s="3" t="s">
        <v>1722</v>
      </c>
      <c r="O824" s="3" t="s">
        <v>1723</v>
      </c>
      <c r="P824" s="3" t="s">
        <v>1724</v>
      </c>
      <c r="Q824" s="11">
        <v>255951</v>
      </c>
      <c r="R824" s="11">
        <v>300186462</v>
      </c>
      <c r="S824" s="3" t="s">
        <v>29</v>
      </c>
      <c r="T824" s="4" t="s">
        <v>1057</v>
      </c>
      <c r="U824" s="11">
        <f>World_Cup_Matches[[#This Row],[Home Team Goals]]+World_Cup_Matches[[#This Row],[Away Team Goals]]</f>
        <v>2</v>
      </c>
      <c r="V824" s="11">
        <f>World_Cup_Matches[[#This Row],[Home Team Goals]]-World_Cup_Matches[[#This Row],[Away Team Goals]]</f>
        <v>2</v>
      </c>
      <c r="W824" s="4" t="str">
        <f>IF(World_Cup_Matches[[#This Row],[Home Team Goals]]&gt;World_Cup_Matches[[#This Row],[Away Team Goals]],World_Cup_Matches[[#This Row],[Home Team Name]],IF(World_Cup_Matches[[#This Row],[Away Team Goals]]&gt;World_Cup_Matches[[#This Row],[Home Team Goals]], World_Cup_Matches[[#This Row],[Away Team Name]],"Draw"))</f>
        <v>France</v>
      </c>
      <c r="X824" s="4" t="str">
        <f>IF(World_Cup_Matches[[#This Row],[Home Team Goals]]&gt;World_Cup_Matches[[#This Row],[Away Team Goals]],"Hime Win",IF(World_Cup_Matches[[#This Row],[Away Team Goals]]&gt;World_Cup_Matches[[#This Row],[Home Team Goals]],"Away win","Draw"))</f>
        <v>Hime Win</v>
      </c>
    </row>
    <row r="825" spans="1:24" x14ac:dyDescent="0.2">
      <c r="A825" s="19">
        <v>2014</v>
      </c>
      <c r="B825" s="15" t="s">
        <v>1824</v>
      </c>
      <c r="C825" s="3" t="s">
        <v>878</v>
      </c>
      <c r="D825" s="3" t="s">
        <v>1747</v>
      </c>
      <c r="E825" s="3" t="s">
        <v>244</v>
      </c>
      <c r="F825" s="3" t="s">
        <v>124</v>
      </c>
      <c r="G825" s="11">
        <v>2</v>
      </c>
      <c r="H825" s="11">
        <v>1</v>
      </c>
      <c r="I825" s="3" t="s">
        <v>718</v>
      </c>
      <c r="J825" s="3" t="s">
        <v>1825</v>
      </c>
      <c r="K825" s="3"/>
      <c r="L825" s="11">
        <v>0</v>
      </c>
      <c r="M825" s="11">
        <v>0</v>
      </c>
      <c r="N825" s="3" t="s">
        <v>1748</v>
      </c>
      <c r="O825" s="3" t="s">
        <v>1749</v>
      </c>
      <c r="P825" s="3" t="s">
        <v>1750</v>
      </c>
      <c r="Q825" s="11">
        <v>255951</v>
      </c>
      <c r="R825" s="11">
        <v>300186460</v>
      </c>
      <c r="S825" s="3" t="s">
        <v>128</v>
      </c>
      <c r="T825" s="4" t="s">
        <v>722</v>
      </c>
      <c r="U825" s="11">
        <f>World_Cup_Matches[[#This Row],[Home Team Goals]]+World_Cup_Matches[[#This Row],[Away Team Goals]]</f>
        <v>3</v>
      </c>
      <c r="V825" s="11">
        <f>World_Cup_Matches[[#This Row],[Home Team Goals]]-World_Cup_Matches[[#This Row],[Away Team Goals]]</f>
        <v>1</v>
      </c>
      <c r="W825" s="4" t="str">
        <f>IF(World_Cup_Matches[[#This Row],[Home Team Goals]]&gt;World_Cup_Matches[[#This Row],[Away Team Goals]],World_Cup_Matches[[#This Row],[Home Team Name]],IF(World_Cup_Matches[[#This Row],[Away Team Goals]]&gt;World_Cup_Matches[[#This Row],[Home Team Goals]], World_Cup_Matches[[#This Row],[Away Team Name]],"Draw"))</f>
        <v>Germany</v>
      </c>
      <c r="X825" s="4" t="str">
        <f>IF(World_Cup_Matches[[#This Row],[Home Team Goals]]&gt;World_Cup_Matches[[#This Row],[Away Team Goals]],"Hime Win",IF(World_Cup_Matches[[#This Row],[Away Team Goals]]&gt;World_Cup_Matches[[#This Row],[Home Team Goals]],"Away win","Draw"))</f>
        <v>Hime Win</v>
      </c>
    </row>
    <row r="826" spans="1:24" x14ac:dyDescent="0.2">
      <c r="A826" s="19">
        <v>2014</v>
      </c>
      <c r="B826" s="15" t="s">
        <v>1826</v>
      </c>
      <c r="C826" s="3" t="s">
        <v>150</v>
      </c>
      <c r="D826" s="3" t="s">
        <v>1726</v>
      </c>
      <c r="E826" s="3" t="s">
        <v>1727</v>
      </c>
      <c r="F826" s="3" t="s">
        <v>42</v>
      </c>
      <c r="G826" s="11">
        <v>2</v>
      </c>
      <c r="H826" s="11">
        <v>1</v>
      </c>
      <c r="I826" s="3" t="s">
        <v>390</v>
      </c>
      <c r="J826" s="3" t="s">
        <v>1842</v>
      </c>
      <c r="K826" s="3">
        <v>60342</v>
      </c>
      <c r="L826" s="11">
        <v>1</v>
      </c>
      <c r="M826" s="11">
        <v>0</v>
      </c>
      <c r="N826" s="3" t="s">
        <v>1789</v>
      </c>
      <c r="O826" s="3" t="s">
        <v>1790</v>
      </c>
      <c r="P826" s="3" t="s">
        <v>1652</v>
      </c>
      <c r="Q826" s="11">
        <v>255953</v>
      </c>
      <c r="R826" s="11">
        <v>300186461</v>
      </c>
      <c r="S826" s="3" t="s">
        <v>47</v>
      </c>
      <c r="T826" s="4" t="s">
        <v>394</v>
      </c>
      <c r="U826" s="11">
        <f>World_Cup_Matches[[#This Row],[Home Team Goals]]+World_Cup_Matches[[#This Row],[Away Team Goals]]</f>
        <v>3</v>
      </c>
      <c r="V826" s="11">
        <f>World_Cup_Matches[[#This Row],[Home Team Goals]]-World_Cup_Matches[[#This Row],[Away Team Goals]]</f>
        <v>1</v>
      </c>
      <c r="W826" s="4" t="str">
        <f>IF(World_Cup_Matches[[#This Row],[Home Team Goals]]&gt;World_Cup_Matches[[#This Row],[Away Team Goals]],World_Cup_Matches[[#This Row],[Home Team Name]],IF(World_Cup_Matches[[#This Row],[Away Team Goals]]&gt;World_Cup_Matches[[#This Row],[Home Team Goals]], World_Cup_Matches[[#This Row],[Away Team Name]],"Draw"))</f>
        <v>Brazil</v>
      </c>
      <c r="X826" s="4" t="str">
        <f>IF(World_Cup_Matches[[#This Row],[Home Team Goals]]&gt;World_Cup_Matches[[#This Row],[Away Team Goals]],"Hime Win",IF(World_Cup_Matches[[#This Row],[Away Team Goals]]&gt;World_Cup_Matches[[#This Row],[Home Team Goals]],"Away win","Draw"))</f>
        <v>Hime Win</v>
      </c>
    </row>
    <row r="827" spans="1:24" x14ac:dyDescent="0.2">
      <c r="A827" s="19">
        <v>2014</v>
      </c>
      <c r="B827" s="15" t="s">
        <v>1827</v>
      </c>
      <c r="C827" s="3" t="s">
        <v>150</v>
      </c>
      <c r="D827" s="3" t="s">
        <v>1752</v>
      </c>
      <c r="E827" s="3" t="s">
        <v>218</v>
      </c>
      <c r="F827" s="3" t="s">
        <v>24</v>
      </c>
      <c r="G827" s="11">
        <v>0</v>
      </c>
      <c r="H827" s="11">
        <v>1</v>
      </c>
      <c r="I827" s="3" t="s">
        <v>124</v>
      </c>
      <c r="J827" s="3" t="s">
        <v>1842</v>
      </c>
      <c r="K827" s="3">
        <v>74240</v>
      </c>
      <c r="L827" s="11">
        <v>0</v>
      </c>
      <c r="M827" s="11">
        <v>1</v>
      </c>
      <c r="N827" s="3" t="s">
        <v>1778</v>
      </c>
      <c r="O827" s="3" t="s">
        <v>1601</v>
      </c>
      <c r="P827" s="3" t="s">
        <v>1779</v>
      </c>
      <c r="Q827" s="11">
        <v>255953</v>
      </c>
      <c r="R827" s="11">
        <v>300186485</v>
      </c>
      <c r="S827" s="3" t="s">
        <v>29</v>
      </c>
      <c r="T827" s="4" t="s">
        <v>128</v>
      </c>
      <c r="U827" s="11">
        <f>World_Cup_Matches[[#This Row],[Home Team Goals]]+World_Cup_Matches[[#This Row],[Away Team Goals]]</f>
        <v>1</v>
      </c>
      <c r="V827" s="11">
        <f>World_Cup_Matches[[#This Row],[Home Team Goals]]-World_Cup_Matches[[#This Row],[Away Team Goals]]</f>
        <v>-1</v>
      </c>
      <c r="W827" s="4" t="str">
        <f>IF(World_Cup_Matches[[#This Row],[Home Team Goals]]&gt;World_Cup_Matches[[#This Row],[Away Team Goals]],World_Cup_Matches[[#This Row],[Home Team Name]],IF(World_Cup_Matches[[#This Row],[Away Team Goals]]&gt;World_Cup_Matches[[#This Row],[Home Team Goals]], World_Cup_Matches[[#This Row],[Away Team Name]],"Draw"))</f>
        <v>Germany</v>
      </c>
      <c r="X827" s="4" t="str">
        <f>IF(World_Cup_Matches[[#This Row],[Home Team Goals]]&gt;World_Cup_Matches[[#This Row],[Away Team Goals]],"Hime Win",IF(World_Cup_Matches[[#This Row],[Away Team Goals]]&gt;World_Cup_Matches[[#This Row],[Home Team Goals]],"Away win","Draw"))</f>
        <v>Away win</v>
      </c>
    </row>
    <row r="828" spans="1:24" x14ac:dyDescent="0.2">
      <c r="A828" s="19">
        <v>2014</v>
      </c>
      <c r="B828" s="15" t="s">
        <v>1828</v>
      </c>
      <c r="C828" s="3" t="s">
        <v>83</v>
      </c>
      <c r="D828" s="3" t="s">
        <v>1721</v>
      </c>
      <c r="E828" s="3" t="s">
        <v>237</v>
      </c>
      <c r="F828" s="3" t="s">
        <v>42</v>
      </c>
      <c r="G828" s="11">
        <v>1</v>
      </c>
      <c r="H828" s="11">
        <v>7</v>
      </c>
      <c r="I828" s="3" t="s">
        <v>124</v>
      </c>
      <c r="J828" s="3" t="s">
        <v>1842</v>
      </c>
      <c r="K828" s="3">
        <v>58141</v>
      </c>
      <c r="L828" s="11">
        <v>0</v>
      </c>
      <c r="M828" s="11">
        <v>5</v>
      </c>
      <c r="N828" s="3" t="s">
        <v>1432</v>
      </c>
      <c r="O828" s="3" t="s">
        <v>1618</v>
      </c>
      <c r="P828" s="3" t="s">
        <v>1772</v>
      </c>
      <c r="Q828" s="11">
        <v>255955</v>
      </c>
      <c r="R828" s="11">
        <v>300186474</v>
      </c>
      <c r="S828" s="3" t="s">
        <v>47</v>
      </c>
      <c r="T828" s="4" t="s">
        <v>128</v>
      </c>
      <c r="U828" s="11">
        <f>World_Cup_Matches[[#This Row],[Home Team Goals]]+World_Cup_Matches[[#This Row],[Away Team Goals]]</f>
        <v>8</v>
      </c>
      <c r="V828" s="11">
        <f>World_Cup_Matches[[#This Row],[Home Team Goals]]-World_Cup_Matches[[#This Row],[Away Team Goals]]</f>
        <v>-6</v>
      </c>
      <c r="W828" s="4" t="str">
        <f>IF(World_Cup_Matches[[#This Row],[Home Team Goals]]&gt;World_Cup_Matches[[#This Row],[Away Team Goals]],World_Cup_Matches[[#This Row],[Home Team Name]],IF(World_Cup_Matches[[#This Row],[Away Team Goals]]&gt;World_Cup_Matches[[#This Row],[Home Team Goals]], World_Cup_Matches[[#This Row],[Away Team Name]],"Draw"))</f>
        <v>Germany</v>
      </c>
      <c r="X828" s="4" t="str">
        <f>IF(World_Cup_Matches[[#This Row],[Home Team Goals]]&gt;World_Cup_Matches[[#This Row],[Away Team Goals]],"Hime Win",IF(World_Cup_Matches[[#This Row],[Away Team Goals]]&gt;World_Cup_Matches[[#This Row],[Home Team Goals]],"Away win","Draw"))</f>
        <v>Away win</v>
      </c>
    </row>
    <row r="829" spans="1:24" x14ac:dyDescent="0.2">
      <c r="A829" s="19">
        <v>2014</v>
      </c>
      <c r="B829" s="15" t="s">
        <v>1829</v>
      </c>
      <c r="C829" s="3" t="s">
        <v>1830</v>
      </c>
      <c r="D829" s="3" t="s">
        <v>1743</v>
      </c>
      <c r="E829" s="3" t="s">
        <v>1744</v>
      </c>
      <c r="F829" s="3" t="s">
        <v>42</v>
      </c>
      <c r="G829" s="11">
        <v>0</v>
      </c>
      <c r="H829" s="11">
        <v>3</v>
      </c>
      <c r="I829" s="3" t="s">
        <v>109</v>
      </c>
      <c r="J829" s="3" t="s">
        <v>1842</v>
      </c>
      <c r="K829" s="3">
        <v>68034</v>
      </c>
      <c r="L829" s="11">
        <v>0</v>
      </c>
      <c r="M829" s="11">
        <v>2</v>
      </c>
      <c r="N829" s="3" t="s">
        <v>1781</v>
      </c>
      <c r="O829" s="3" t="s">
        <v>1655</v>
      </c>
      <c r="P829" s="3" t="s">
        <v>1782</v>
      </c>
      <c r="Q829" s="11">
        <v>255957</v>
      </c>
      <c r="R829" s="11">
        <v>300186502</v>
      </c>
      <c r="S829" s="3" t="s">
        <v>47</v>
      </c>
      <c r="T829" s="4" t="s">
        <v>114</v>
      </c>
      <c r="U829" s="11">
        <f>World_Cup_Matches[[#This Row],[Home Team Goals]]+World_Cup_Matches[[#This Row],[Away Team Goals]]</f>
        <v>3</v>
      </c>
      <c r="V829" s="11">
        <f>World_Cup_Matches[[#This Row],[Home Team Goals]]-World_Cup_Matches[[#This Row],[Away Team Goals]]</f>
        <v>-3</v>
      </c>
      <c r="W829" s="4" t="str">
        <f>IF(World_Cup_Matches[[#This Row],[Home Team Goals]]&gt;World_Cup_Matches[[#This Row],[Away Team Goals]],World_Cup_Matches[[#This Row],[Home Team Name]],IF(World_Cup_Matches[[#This Row],[Away Team Goals]]&gt;World_Cup_Matches[[#This Row],[Home Team Goals]], World_Cup_Matches[[#This Row],[Away Team Name]],"Draw"))</f>
        <v>Netherlands</v>
      </c>
      <c r="X829" s="4" t="str">
        <f>IF(World_Cup_Matches[[#This Row],[Home Team Goals]]&gt;World_Cup_Matches[[#This Row],[Away Team Goals]],"Hime Win",IF(World_Cup_Matches[[#This Row],[Away Team Goals]]&gt;World_Cup_Matches[[#This Row],[Home Team Goals]],"Away win","Draw"))</f>
        <v>Away win</v>
      </c>
    </row>
    <row r="830" spans="1:24" x14ac:dyDescent="0.2">
      <c r="A830" s="19">
        <v>2014</v>
      </c>
      <c r="B830" s="15" t="s">
        <v>1831</v>
      </c>
      <c r="C830" s="3" t="s">
        <v>86</v>
      </c>
      <c r="D830" s="3" t="s">
        <v>1752</v>
      </c>
      <c r="E830" s="3" t="s">
        <v>218</v>
      </c>
      <c r="F830" s="3" t="s">
        <v>124</v>
      </c>
      <c r="G830" s="11">
        <v>1</v>
      </c>
      <c r="H830" s="11">
        <v>0</v>
      </c>
      <c r="I830" s="3" t="s">
        <v>56</v>
      </c>
      <c r="J830" s="3" t="s">
        <v>1825</v>
      </c>
      <c r="K830" s="3">
        <v>74738</v>
      </c>
      <c r="L830" s="11">
        <v>0</v>
      </c>
      <c r="M830" s="11">
        <v>0</v>
      </c>
      <c r="N830" s="3" t="s">
        <v>1711</v>
      </c>
      <c r="O830" s="3" t="s">
        <v>1712</v>
      </c>
      <c r="P830" s="3" t="s">
        <v>1713</v>
      </c>
      <c r="Q830" s="11">
        <v>255959</v>
      </c>
      <c r="R830" s="11">
        <v>300186501</v>
      </c>
      <c r="S830" s="3" t="s">
        <v>128</v>
      </c>
      <c r="T830" s="4" t="s">
        <v>59</v>
      </c>
      <c r="U830" s="11">
        <f>World_Cup_Matches[[#This Row],[Home Team Goals]]+World_Cup_Matches[[#This Row],[Away Team Goals]]</f>
        <v>1</v>
      </c>
      <c r="V830" s="11">
        <f>World_Cup_Matches[[#This Row],[Home Team Goals]]-World_Cup_Matches[[#This Row],[Away Team Goals]]</f>
        <v>1</v>
      </c>
      <c r="W830" s="4" t="str">
        <f>IF(World_Cup_Matches[[#This Row],[Home Team Goals]]&gt;World_Cup_Matches[[#This Row],[Away Team Goals]],World_Cup_Matches[[#This Row],[Home Team Name]],IF(World_Cup_Matches[[#This Row],[Away Team Goals]]&gt;World_Cup_Matches[[#This Row],[Home Team Goals]], World_Cup_Matches[[#This Row],[Away Team Name]],"Draw"))</f>
        <v>Germany</v>
      </c>
      <c r="X830" s="4" t="str">
        <f>IF(World_Cup_Matches[[#This Row],[Home Team Goals]]&gt;World_Cup_Matches[[#This Row],[Away Team Goals]],"Hime Win",IF(World_Cup_Matches[[#This Row],[Away Team Goals]]&gt;World_Cup_Matches[[#This Row],[Home Team Goals]],"Away win","Draw"))</f>
        <v>Hime Win</v>
      </c>
    </row>
    <row r="831" spans="1:24" x14ac:dyDescent="0.2">
      <c r="A831" s="19">
        <v>2014</v>
      </c>
      <c r="B831" s="15" t="s">
        <v>1832</v>
      </c>
      <c r="C831" s="3" t="s">
        <v>83</v>
      </c>
      <c r="D831" s="3" t="s">
        <v>1701</v>
      </c>
      <c r="E831" s="3" t="s">
        <v>233</v>
      </c>
      <c r="F831" s="3" t="s">
        <v>109</v>
      </c>
      <c r="G831" s="11">
        <v>0</v>
      </c>
      <c r="H831" s="11">
        <v>0</v>
      </c>
      <c r="I831" s="3" t="s">
        <v>56</v>
      </c>
      <c r="J831" s="3" t="s">
        <v>1833</v>
      </c>
      <c r="K831" s="3">
        <v>63267</v>
      </c>
      <c r="L831" s="11">
        <v>0</v>
      </c>
      <c r="M831" s="11">
        <v>0</v>
      </c>
      <c r="N831" s="3" t="s">
        <v>1774</v>
      </c>
      <c r="O831" s="3" t="s">
        <v>1775</v>
      </c>
      <c r="P831" s="3" t="s">
        <v>1776</v>
      </c>
      <c r="Q831" s="11">
        <v>255955</v>
      </c>
      <c r="R831" s="11">
        <v>300186490</v>
      </c>
      <c r="S831" s="3" t="s">
        <v>114</v>
      </c>
      <c r="T831" s="4" t="s">
        <v>59</v>
      </c>
      <c r="U831" s="11">
        <f>World_Cup_Matches[[#This Row],[Home Team Goals]]+World_Cup_Matches[[#This Row],[Away Team Goals]]</f>
        <v>0</v>
      </c>
      <c r="V831" s="11">
        <f>World_Cup_Matches[[#This Row],[Home Team Goals]]-World_Cup_Matches[[#This Row],[Away Team Goals]]</f>
        <v>0</v>
      </c>
      <c r="W831" s="4" t="str">
        <f>IF(World_Cup_Matches[[#This Row],[Home Team Goals]]&gt;World_Cup_Matches[[#This Row],[Away Team Goals]],World_Cup_Matches[[#This Row],[Home Team Name]],IF(World_Cup_Matches[[#This Row],[Away Team Goals]]&gt;World_Cup_Matches[[#This Row],[Home Team Goals]], World_Cup_Matches[[#This Row],[Away Team Name]],"Draw"))</f>
        <v>Draw</v>
      </c>
      <c r="X831" s="4" t="str">
        <f>IF(World_Cup_Matches[[#This Row],[Home Team Goals]]&gt;World_Cup_Matches[[#This Row],[Away Team Goals]],"Hime Win",IF(World_Cup_Matches[[#This Row],[Away Team Goals]]&gt;World_Cup_Matches[[#This Row],[Home Team Goals]],"Away win","Draw"))</f>
        <v>Draw</v>
      </c>
    </row>
    <row r="832" spans="1:24" x14ac:dyDescent="0.2">
      <c r="A832" s="19">
        <v>2014</v>
      </c>
      <c r="B832" s="15" t="s">
        <v>1834</v>
      </c>
      <c r="C832" s="3" t="s">
        <v>150</v>
      </c>
      <c r="D832" s="3" t="s">
        <v>1709</v>
      </c>
      <c r="E832" s="3" t="s">
        <v>1710</v>
      </c>
      <c r="F832" s="3" t="s">
        <v>109</v>
      </c>
      <c r="G832" s="11">
        <v>0</v>
      </c>
      <c r="H832" s="11">
        <v>0</v>
      </c>
      <c r="I832" s="3" t="s">
        <v>925</v>
      </c>
      <c r="J832" s="3" t="s">
        <v>1835</v>
      </c>
      <c r="K832" s="3">
        <v>51179</v>
      </c>
      <c r="L832" s="11">
        <v>0</v>
      </c>
      <c r="M832" s="11">
        <v>0</v>
      </c>
      <c r="N832" s="3" t="s">
        <v>1567</v>
      </c>
      <c r="O832" s="3" t="s">
        <v>1745</v>
      </c>
      <c r="P832" s="3" t="s">
        <v>1569</v>
      </c>
      <c r="Q832" s="11">
        <v>255953</v>
      </c>
      <c r="R832" s="11">
        <v>300186488</v>
      </c>
      <c r="S832" s="3" t="s">
        <v>114</v>
      </c>
      <c r="T832" s="4" t="s">
        <v>929</v>
      </c>
      <c r="U832" s="11">
        <f>World_Cup_Matches[[#This Row],[Home Team Goals]]+World_Cup_Matches[[#This Row],[Away Team Goals]]</f>
        <v>0</v>
      </c>
      <c r="V832" s="11">
        <f>World_Cup_Matches[[#This Row],[Home Team Goals]]-World_Cup_Matches[[#This Row],[Away Team Goals]]</f>
        <v>0</v>
      </c>
      <c r="W832" s="4" t="str">
        <f>IF(World_Cup_Matches[[#This Row],[Home Team Goals]]&gt;World_Cup_Matches[[#This Row],[Away Team Goals]],World_Cup_Matches[[#This Row],[Home Team Name]],IF(World_Cup_Matches[[#This Row],[Away Team Goals]]&gt;World_Cup_Matches[[#This Row],[Home Team Goals]], World_Cup_Matches[[#This Row],[Away Team Name]],"Draw"))</f>
        <v>Draw</v>
      </c>
      <c r="X832" s="4" t="str">
        <f>IF(World_Cup_Matches[[#This Row],[Home Team Goals]]&gt;World_Cup_Matches[[#This Row],[Away Team Goals]],"Hime Win",IF(World_Cup_Matches[[#This Row],[Away Team Goals]]&gt;World_Cup_Matches[[#This Row],[Home Team Goals]],"Away win","Draw"))</f>
        <v>Draw</v>
      </c>
    </row>
    <row r="833" spans="1:24" x14ac:dyDescent="0.2">
      <c r="A833" s="19">
        <v>2014</v>
      </c>
      <c r="B833" s="15" t="s">
        <v>1836</v>
      </c>
      <c r="C833" s="3" t="s">
        <v>150</v>
      </c>
      <c r="D833" s="3" t="s">
        <v>1743</v>
      </c>
      <c r="E833" s="3" t="s">
        <v>1744</v>
      </c>
      <c r="F833" s="3" t="s">
        <v>56</v>
      </c>
      <c r="G833" s="11">
        <v>1</v>
      </c>
      <c r="H833" s="11">
        <v>0</v>
      </c>
      <c r="I833" s="3" t="s">
        <v>34</v>
      </c>
      <c r="J833" s="3" t="s">
        <v>1842</v>
      </c>
      <c r="K833" s="3">
        <v>68551</v>
      </c>
      <c r="L833" s="11">
        <v>1</v>
      </c>
      <c r="M833" s="11">
        <v>0</v>
      </c>
      <c r="N833" s="3" t="s">
        <v>1711</v>
      </c>
      <c r="O833" s="3" t="s">
        <v>1712</v>
      </c>
      <c r="P833" s="3" t="s">
        <v>1713</v>
      </c>
      <c r="Q833" s="11">
        <v>255953</v>
      </c>
      <c r="R833" s="11">
        <v>300186504</v>
      </c>
      <c r="S833" s="3" t="s">
        <v>59</v>
      </c>
      <c r="T833" s="4" t="s">
        <v>38</v>
      </c>
      <c r="U833" s="11">
        <f>World_Cup_Matches[[#This Row],[Home Team Goals]]+World_Cup_Matches[[#This Row],[Away Team Goals]]</f>
        <v>1</v>
      </c>
      <c r="V833" s="11">
        <f>World_Cup_Matches[[#This Row],[Home Team Goals]]-World_Cup_Matches[[#This Row],[Away Team Goals]]</f>
        <v>1</v>
      </c>
      <c r="W833" s="4" t="str">
        <f>IF(World_Cup_Matches[[#This Row],[Home Team Goals]]&gt;World_Cup_Matches[[#This Row],[Away Team Goals]],World_Cup_Matches[[#This Row],[Home Team Name]],IF(World_Cup_Matches[[#This Row],[Away Team Goals]]&gt;World_Cup_Matches[[#This Row],[Home Team Goals]], World_Cup_Matches[[#This Row],[Away Team Name]],"Draw"))</f>
        <v>Argentina</v>
      </c>
      <c r="X833" s="4" t="str">
        <f>IF(World_Cup_Matches[[#This Row],[Home Team Goals]]&gt;World_Cup_Matches[[#This Row],[Away Team Goals]],"Hime Win",IF(World_Cup_Matches[[#This Row],[Away Team Goals]]&gt;World_Cup_Matches[[#This Row],[Home Team Goals]],"Away win","Draw"))</f>
        <v>Hime Win</v>
      </c>
    </row>
    <row r="834" spans="1:24" x14ac:dyDescent="0.2">
      <c r="A834" s="19">
        <v>2014</v>
      </c>
      <c r="B834" s="15" t="s">
        <v>1837</v>
      </c>
      <c r="C834" s="3" t="s">
        <v>878</v>
      </c>
      <c r="D834" s="3" t="s">
        <v>1726</v>
      </c>
      <c r="E834" s="3" t="s">
        <v>1727</v>
      </c>
      <c r="F834" s="3" t="s">
        <v>109</v>
      </c>
      <c r="G834" s="11">
        <v>2</v>
      </c>
      <c r="H834" s="11">
        <v>1</v>
      </c>
      <c r="I834" s="3" t="s">
        <v>25</v>
      </c>
      <c r="J834" s="3" t="s">
        <v>1842</v>
      </c>
      <c r="K834" s="3">
        <v>58817</v>
      </c>
      <c r="L834" s="11">
        <v>0</v>
      </c>
      <c r="M834" s="11">
        <v>0</v>
      </c>
      <c r="N834" s="3" t="s">
        <v>1785</v>
      </c>
      <c r="O834" s="3" t="s">
        <v>1616</v>
      </c>
      <c r="P834" s="3" t="s">
        <v>1786</v>
      </c>
      <c r="Q834" s="11">
        <v>255951</v>
      </c>
      <c r="R834" s="11">
        <v>300186508</v>
      </c>
      <c r="S834" s="3" t="s">
        <v>114</v>
      </c>
      <c r="T834" s="4" t="s">
        <v>30</v>
      </c>
      <c r="U834" s="11">
        <f>World_Cup_Matches[[#This Row],[Home Team Goals]]+World_Cup_Matches[[#This Row],[Away Team Goals]]</f>
        <v>3</v>
      </c>
      <c r="V834" s="11">
        <f>World_Cup_Matches[[#This Row],[Home Team Goals]]-World_Cup_Matches[[#This Row],[Away Team Goals]]</f>
        <v>1</v>
      </c>
      <c r="W834" s="4" t="str">
        <f>IF(World_Cup_Matches[[#This Row],[Home Team Goals]]&gt;World_Cup_Matches[[#This Row],[Away Team Goals]],World_Cup_Matches[[#This Row],[Home Team Name]],IF(World_Cup_Matches[[#This Row],[Away Team Goals]]&gt;World_Cup_Matches[[#This Row],[Home Team Goals]], World_Cup_Matches[[#This Row],[Away Team Name]],"Draw"))</f>
        <v>Netherlands</v>
      </c>
      <c r="X834" s="4" t="str">
        <f>IF(World_Cup_Matches[[#This Row],[Home Team Goals]]&gt;World_Cup_Matches[[#This Row],[Away Team Goals]],"Hime Win",IF(World_Cup_Matches[[#This Row],[Away Team Goals]]&gt;World_Cup_Matches[[#This Row],[Home Team Goals]],"Away win","Draw"))</f>
        <v>Hime Win</v>
      </c>
    </row>
    <row r="835" spans="1:24" x14ac:dyDescent="0.2">
      <c r="A835" s="19">
        <v>2014</v>
      </c>
      <c r="B835" s="15" t="s">
        <v>1838</v>
      </c>
      <c r="C835" s="3" t="s">
        <v>878</v>
      </c>
      <c r="D835" s="3" t="s">
        <v>1738</v>
      </c>
      <c r="E835" s="3" t="s">
        <v>259</v>
      </c>
      <c r="F835" s="3" t="s">
        <v>925</v>
      </c>
      <c r="G835" s="11">
        <v>1</v>
      </c>
      <c r="H835" s="11">
        <v>1</v>
      </c>
      <c r="I835" s="3" t="s">
        <v>1051</v>
      </c>
      <c r="J835" s="3" t="s">
        <v>1839</v>
      </c>
      <c r="K835" s="3">
        <v>41242</v>
      </c>
      <c r="L835" s="11">
        <v>0</v>
      </c>
      <c r="M835" s="11">
        <v>0</v>
      </c>
      <c r="N835" s="3" t="s">
        <v>1795</v>
      </c>
      <c r="O835" s="3" t="s">
        <v>1796</v>
      </c>
      <c r="P835" s="3" t="s">
        <v>1797</v>
      </c>
      <c r="Q835" s="11">
        <v>255951</v>
      </c>
      <c r="R835" s="11">
        <v>300186459</v>
      </c>
      <c r="S835" s="3" t="s">
        <v>929</v>
      </c>
      <c r="T835" s="4" t="s">
        <v>1053</v>
      </c>
      <c r="U835" s="11">
        <f>World_Cup_Matches[[#This Row],[Home Team Goals]]+World_Cup_Matches[[#This Row],[Away Team Goals]]</f>
        <v>2</v>
      </c>
      <c r="V835" s="11">
        <f>World_Cup_Matches[[#This Row],[Home Team Goals]]-World_Cup_Matches[[#This Row],[Away Team Goals]]</f>
        <v>0</v>
      </c>
      <c r="W835" s="4" t="str">
        <f>IF(World_Cup_Matches[[#This Row],[Home Team Goals]]&gt;World_Cup_Matches[[#This Row],[Away Team Goals]],World_Cup_Matches[[#This Row],[Home Team Name]],IF(World_Cup_Matches[[#This Row],[Away Team Goals]]&gt;World_Cup_Matches[[#This Row],[Home Team Goals]], World_Cup_Matches[[#This Row],[Away Team Name]],"Draw"))</f>
        <v>Draw</v>
      </c>
      <c r="X835" s="4" t="str">
        <f>IF(World_Cup_Matches[[#This Row],[Home Team Goals]]&gt;World_Cup_Matches[[#This Row],[Away Team Goals]],"Hime Win",IF(World_Cup_Matches[[#This Row],[Away Team Goals]]&gt;World_Cup_Matches[[#This Row],[Home Team Goals]],"Away win","Draw"))</f>
        <v>Draw</v>
      </c>
    </row>
    <row r="836" spans="1:24" x14ac:dyDescent="0.2">
      <c r="A836" s="19">
        <v>2014</v>
      </c>
      <c r="B836" s="15" t="s">
        <v>1840</v>
      </c>
      <c r="C836" s="3" t="s">
        <v>878</v>
      </c>
      <c r="D836" s="3" t="s">
        <v>1701</v>
      </c>
      <c r="E836" s="3" t="s">
        <v>233</v>
      </c>
      <c r="F836" s="3" t="s">
        <v>56</v>
      </c>
      <c r="G836" s="11">
        <v>1</v>
      </c>
      <c r="H836" s="11">
        <v>0</v>
      </c>
      <c r="I836" s="3" t="s">
        <v>108</v>
      </c>
      <c r="J836" s="3" t="s">
        <v>682</v>
      </c>
      <c r="K836" s="3">
        <v>63255</v>
      </c>
      <c r="L836" s="11">
        <v>0</v>
      </c>
      <c r="M836" s="11">
        <v>0</v>
      </c>
      <c r="N836" s="3" t="s">
        <v>1768</v>
      </c>
      <c r="O836" s="3" t="s">
        <v>1769</v>
      </c>
      <c r="P836" s="3" t="s">
        <v>1770</v>
      </c>
      <c r="Q836" s="11">
        <v>255951</v>
      </c>
      <c r="R836" s="11">
        <v>300186503</v>
      </c>
      <c r="S836" s="3" t="s">
        <v>59</v>
      </c>
      <c r="T836" s="4" t="s">
        <v>113</v>
      </c>
      <c r="U836" s="11">
        <f>World_Cup_Matches[[#This Row],[Home Team Goals]]+World_Cup_Matches[[#This Row],[Away Team Goals]]</f>
        <v>1</v>
      </c>
      <c r="V836" s="11">
        <f>World_Cup_Matches[[#This Row],[Home Team Goals]]-World_Cup_Matches[[#This Row],[Away Team Goals]]</f>
        <v>1</v>
      </c>
      <c r="W836" s="4" t="str">
        <f>IF(World_Cup_Matches[[#This Row],[Home Team Goals]]&gt;World_Cup_Matches[[#This Row],[Away Team Goals]],World_Cup_Matches[[#This Row],[Home Team Name]],IF(World_Cup_Matches[[#This Row],[Away Team Goals]]&gt;World_Cup_Matches[[#This Row],[Home Team Goals]], World_Cup_Matches[[#This Row],[Away Team Name]],"Draw"))</f>
        <v>Argentina</v>
      </c>
      <c r="X836" s="4" t="str">
        <f>IF(World_Cup_Matches[[#This Row],[Home Team Goals]]&gt;World_Cup_Matches[[#This Row],[Away Team Goals]],"Hime Win",IF(World_Cup_Matches[[#This Row],[Away Team Goals]]&gt;World_Cup_Matches[[#This Row],[Home Team Goals]],"Away win","Draw"))</f>
        <v>Hime Win</v>
      </c>
    </row>
    <row r="837" spans="1:24" x14ac:dyDescent="0.2">
      <c r="A837" s="19">
        <v>2014</v>
      </c>
      <c r="B837" s="15" t="s">
        <v>1841</v>
      </c>
      <c r="C837" s="3" t="s">
        <v>878</v>
      </c>
      <c r="D837" s="3" t="s">
        <v>1709</v>
      </c>
      <c r="E837" s="3" t="s">
        <v>1710</v>
      </c>
      <c r="F837" s="3" t="s">
        <v>34</v>
      </c>
      <c r="G837" s="11">
        <v>2</v>
      </c>
      <c r="H837" s="11">
        <v>1</v>
      </c>
      <c r="I837" s="3" t="s">
        <v>33</v>
      </c>
      <c r="J837" s="3" t="s">
        <v>879</v>
      </c>
      <c r="K837" s="3">
        <v>51227</v>
      </c>
      <c r="L837" s="11">
        <v>0</v>
      </c>
      <c r="M837" s="11">
        <v>0</v>
      </c>
      <c r="N837" s="3" t="s">
        <v>1781</v>
      </c>
      <c r="O837" s="3" t="s">
        <v>1655</v>
      </c>
      <c r="P837" s="3" t="s">
        <v>1782</v>
      </c>
      <c r="Q837" s="11">
        <v>255951</v>
      </c>
      <c r="R837" s="11">
        <v>300186497</v>
      </c>
      <c r="S837" s="3" t="s">
        <v>38</v>
      </c>
      <c r="T837" s="4" t="s">
        <v>33</v>
      </c>
      <c r="U837" s="11">
        <f>World_Cup_Matches[[#This Row],[Home Team Goals]]+World_Cup_Matches[[#This Row],[Away Team Goals]]</f>
        <v>3</v>
      </c>
      <c r="V837" s="11">
        <f>World_Cup_Matches[[#This Row],[Home Team Goals]]-World_Cup_Matches[[#This Row],[Away Team Goals]]</f>
        <v>1</v>
      </c>
      <c r="W837" s="4" t="str">
        <f>IF(World_Cup_Matches[[#This Row],[Home Team Goals]]&gt;World_Cup_Matches[[#This Row],[Away Team Goals]],World_Cup_Matches[[#This Row],[Home Team Name]],IF(World_Cup_Matches[[#This Row],[Away Team Goals]]&gt;World_Cup_Matches[[#This Row],[Home Team Goals]], World_Cup_Matches[[#This Row],[Away Team Name]],"Draw"))</f>
        <v>Belgium</v>
      </c>
      <c r="X837" s="4" t="str">
        <f>IF(World_Cup_Matches[[#This Row],[Home Team Goals]]&gt;World_Cup_Matches[[#This Row],[Away Team Goals]],"Hime Win",IF(World_Cup_Matches[[#This Row],[Away Team Goals]]&gt;World_Cup_Matches[[#This Row],[Home Team Goals]],"Away win","Draw"))</f>
        <v>Hime Win</v>
      </c>
    </row>
    <row r="838" spans="1:24" x14ac:dyDescent="0.2">
      <c r="A838" s="19">
        <v>2014</v>
      </c>
      <c r="B838" s="15" t="s">
        <v>1821</v>
      </c>
      <c r="C838" s="3" t="s">
        <v>878</v>
      </c>
      <c r="D838" s="3" t="s">
        <v>1721</v>
      </c>
      <c r="E838" s="3" t="s">
        <v>237</v>
      </c>
      <c r="F838" s="3" t="s">
        <v>42</v>
      </c>
      <c r="G838" s="11">
        <v>1</v>
      </c>
      <c r="H838" s="11">
        <v>1</v>
      </c>
      <c r="I838" s="3" t="s">
        <v>61</v>
      </c>
      <c r="J838" s="3" t="s">
        <v>1106</v>
      </c>
      <c r="K838" s="3">
        <v>57714</v>
      </c>
      <c r="L838" s="11">
        <v>0</v>
      </c>
      <c r="M838" s="11">
        <v>0</v>
      </c>
      <c r="N838" s="3" t="s">
        <v>1637</v>
      </c>
      <c r="O838" s="3" t="s">
        <v>1639</v>
      </c>
      <c r="P838" s="3" t="s">
        <v>1638</v>
      </c>
      <c r="Q838" s="11">
        <v>255951</v>
      </c>
      <c r="R838" s="11">
        <v>300186487</v>
      </c>
      <c r="S838" s="3" t="s">
        <v>47</v>
      </c>
      <c r="T838" s="4" t="s">
        <v>63</v>
      </c>
      <c r="U838" s="11">
        <f>World_Cup_Matches[[#This Row],[Home Team Goals]]+World_Cup_Matches[[#This Row],[Away Team Goals]]</f>
        <v>2</v>
      </c>
      <c r="V838" s="11">
        <f>World_Cup_Matches[[#This Row],[Home Team Goals]]-World_Cup_Matches[[#This Row],[Away Team Goals]]</f>
        <v>0</v>
      </c>
      <c r="W838" s="4" t="str">
        <f>IF(World_Cup_Matches[[#This Row],[Home Team Goals]]&gt;World_Cup_Matches[[#This Row],[Away Team Goals]],World_Cup_Matches[[#This Row],[Home Team Name]],IF(World_Cup_Matches[[#This Row],[Away Team Goals]]&gt;World_Cup_Matches[[#This Row],[Home Team Goals]], World_Cup_Matches[[#This Row],[Away Team Name]],"Draw"))</f>
        <v>Draw</v>
      </c>
      <c r="X838" s="4" t="str">
        <f>IF(World_Cup_Matches[[#This Row],[Home Team Goals]]&gt;World_Cup_Matches[[#This Row],[Away Team Goals]],"Hime Win",IF(World_Cup_Matches[[#This Row],[Away Team Goals]]&gt;World_Cup_Matches[[#This Row],[Home Team Goals]],"Away win","Draw"))</f>
        <v>Draw</v>
      </c>
    </row>
    <row r="839" spans="1:24" x14ac:dyDescent="0.2">
      <c r="A839" s="19">
        <v>2014</v>
      </c>
      <c r="B839" s="15" t="s">
        <v>1822</v>
      </c>
      <c r="C839" s="3" t="s">
        <v>878</v>
      </c>
      <c r="D839" s="3" t="s">
        <v>1752</v>
      </c>
      <c r="E839" s="3" t="s">
        <v>218</v>
      </c>
      <c r="F839" s="3" t="s">
        <v>390</v>
      </c>
      <c r="G839" s="11">
        <v>2</v>
      </c>
      <c r="H839" s="11">
        <v>0</v>
      </c>
      <c r="I839" s="3" t="s">
        <v>72</v>
      </c>
      <c r="J839" s="3" t="s">
        <v>1842</v>
      </c>
      <c r="K839" s="3">
        <v>73804</v>
      </c>
      <c r="L839" s="11">
        <v>1</v>
      </c>
      <c r="M839" s="11">
        <v>0</v>
      </c>
      <c r="N839" s="3" t="s">
        <v>1734</v>
      </c>
      <c r="O839" s="3" t="s">
        <v>1735</v>
      </c>
      <c r="P839" s="3" t="s">
        <v>1736</v>
      </c>
      <c r="Q839" s="11">
        <v>255951</v>
      </c>
      <c r="R839" s="11">
        <v>300186491</v>
      </c>
      <c r="S839" s="3" t="s">
        <v>394</v>
      </c>
      <c r="T839" s="4" t="s">
        <v>73</v>
      </c>
      <c r="U839" s="11">
        <f>World_Cup_Matches[[#This Row],[Home Team Goals]]+World_Cup_Matches[[#This Row],[Away Team Goals]]</f>
        <v>2</v>
      </c>
      <c r="V839" s="11">
        <f>World_Cup_Matches[[#This Row],[Home Team Goals]]-World_Cup_Matches[[#This Row],[Away Team Goals]]</f>
        <v>2</v>
      </c>
      <c r="W839" s="4" t="str">
        <f>IF(World_Cup_Matches[[#This Row],[Home Team Goals]]&gt;World_Cup_Matches[[#This Row],[Away Team Goals]],World_Cup_Matches[[#This Row],[Home Team Name]],IF(World_Cup_Matches[[#This Row],[Away Team Goals]]&gt;World_Cup_Matches[[#This Row],[Home Team Goals]], World_Cup_Matches[[#This Row],[Away Team Name]],"Draw"))</f>
        <v>Colombia</v>
      </c>
      <c r="X839" s="4" t="str">
        <f>IF(World_Cup_Matches[[#This Row],[Home Team Goals]]&gt;World_Cup_Matches[[#This Row],[Away Team Goals]],"Hime Win",IF(World_Cup_Matches[[#This Row],[Away Team Goals]]&gt;World_Cup_Matches[[#This Row],[Home Team Goals]],"Away win","Draw"))</f>
        <v>Hime Win</v>
      </c>
    </row>
    <row r="840" spans="1:24" x14ac:dyDescent="0.2">
      <c r="A840" s="19">
        <v>2014</v>
      </c>
      <c r="B840" s="15" t="s">
        <v>1837</v>
      </c>
      <c r="C840" s="3" t="s">
        <v>878</v>
      </c>
      <c r="D840" s="3" t="s">
        <v>1726</v>
      </c>
      <c r="E840" s="3" t="s">
        <v>1727</v>
      </c>
      <c r="F840" s="3" t="s">
        <v>109</v>
      </c>
      <c r="G840" s="11">
        <v>2</v>
      </c>
      <c r="H840" s="11">
        <v>1</v>
      </c>
      <c r="I840" s="3" t="s">
        <v>25</v>
      </c>
      <c r="J840" s="3" t="s">
        <v>1842</v>
      </c>
      <c r="K840" s="3">
        <v>58817</v>
      </c>
      <c r="L840" s="11">
        <v>0</v>
      </c>
      <c r="M840" s="11">
        <v>0</v>
      </c>
      <c r="N840" s="3" t="s">
        <v>1785</v>
      </c>
      <c r="O840" s="3" t="s">
        <v>1616</v>
      </c>
      <c r="P840" s="3" t="s">
        <v>1786</v>
      </c>
      <c r="Q840" s="11">
        <v>255951</v>
      </c>
      <c r="R840" s="11">
        <v>300186508</v>
      </c>
      <c r="S840" s="3" t="s">
        <v>114</v>
      </c>
      <c r="T840" s="4" t="s">
        <v>30</v>
      </c>
      <c r="U840" s="11">
        <f>World_Cup_Matches[[#This Row],[Home Team Goals]]+World_Cup_Matches[[#This Row],[Away Team Goals]]</f>
        <v>3</v>
      </c>
      <c r="V840" s="11">
        <f>World_Cup_Matches[[#This Row],[Home Team Goals]]-World_Cup_Matches[[#This Row],[Away Team Goals]]</f>
        <v>1</v>
      </c>
      <c r="W840" s="4" t="str">
        <f>IF(World_Cup_Matches[[#This Row],[Home Team Goals]]&gt;World_Cup_Matches[[#This Row],[Away Team Goals]],World_Cup_Matches[[#This Row],[Home Team Name]],IF(World_Cup_Matches[[#This Row],[Away Team Goals]]&gt;World_Cup_Matches[[#This Row],[Home Team Goals]], World_Cup_Matches[[#This Row],[Away Team Name]],"Draw"))</f>
        <v>Netherlands</v>
      </c>
      <c r="X840" s="4" t="str">
        <f>IF(World_Cup_Matches[[#This Row],[Home Team Goals]]&gt;World_Cup_Matches[[#This Row],[Away Team Goals]],"Hime Win",IF(World_Cup_Matches[[#This Row],[Away Team Goals]]&gt;World_Cup_Matches[[#This Row],[Home Team Goals]],"Away win","Draw"))</f>
        <v>Hime Win</v>
      </c>
    </row>
    <row r="841" spans="1:24" x14ac:dyDescent="0.2">
      <c r="A841" s="19">
        <v>2014</v>
      </c>
      <c r="B841" s="15" t="s">
        <v>1838</v>
      </c>
      <c r="C841" s="3" t="s">
        <v>878</v>
      </c>
      <c r="D841" s="3" t="s">
        <v>1738</v>
      </c>
      <c r="E841" s="3" t="s">
        <v>259</v>
      </c>
      <c r="F841" s="3" t="s">
        <v>925</v>
      </c>
      <c r="G841" s="11">
        <v>1</v>
      </c>
      <c r="H841" s="11">
        <v>1</v>
      </c>
      <c r="I841" s="3" t="s">
        <v>1051</v>
      </c>
      <c r="J841" s="3" t="s">
        <v>1839</v>
      </c>
      <c r="K841" s="3">
        <v>41242</v>
      </c>
      <c r="L841" s="11">
        <v>0</v>
      </c>
      <c r="M841" s="11">
        <v>0</v>
      </c>
      <c r="N841" s="3" t="s">
        <v>1795</v>
      </c>
      <c r="O841" s="3" t="s">
        <v>1796</v>
      </c>
      <c r="P841" s="3" t="s">
        <v>1797</v>
      </c>
      <c r="Q841" s="11">
        <v>255951</v>
      </c>
      <c r="R841" s="11">
        <v>300186459</v>
      </c>
      <c r="S841" s="3" t="s">
        <v>929</v>
      </c>
      <c r="T841" s="4" t="s">
        <v>1053</v>
      </c>
      <c r="U841" s="11">
        <f>World_Cup_Matches[[#This Row],[Home Team Goals]]+World_Cup_Matches[[#This Row],[Away Team Goals]]</f>
        <v>2</v>
      </c>
      <c r="V841" s="11">
        <f>World_Cup_Matches[[#This Row],[Home Team Goals]]-World_Cup_Matches[[#This Row],[Away Team Goals]]</f>
        <v>0</v>
      </c>
      <c r="W841" s="4" t="str">
        <f>IF(World_Cup_Matches[[#This Row],[Home Team Goals]]&gt;World_Cup_Matches[[#This Row],[Away Team Goals]],World_Cup_Matches[[#This Row],[Home Team Name]],IF(World_Cup_Matches[[#This Row],[Away Team Goals]]&gt;World_Cup_Matches[[#This Row],[Home Team Goals]], World_Cup_Matches[[#This Row],[Away Team Name]],"Draw"))</f>
        <v>Draw</v>
      </c>
      <c r="X841" s="4" t="str">
        <f>IF(World_Cup_Matches[[#This Row],[Home Team Goals]]&gt;World_Cup_Matches[[#This Row],[Away Team Goals]],"Hime Win",IF(World_Cup_Matches[[#This Row],[Away Team Goals]]&gt;World_Cup_Matches[[#This Row],[Home Team Goals]],"Away win","Draw"))</f>
        <v>Draw</v>
      </c>
    </row>
    <row r="842" spans="1:24" x14ac:dyDescent="0.2">
      <c r="A842" s="19">
        <v>2014</v>
      </c>
      <c r="B842" s="15" t="s">
        <v>1823</v>
      </c>
      <c r="C842" s="3" t="s">
        <v>878</v>
      </c>
      <c r="D842" s="3" t="s">
        <v>1743</v>
      </c>
      <c r="E842" s="3" t="s">
        <v>1744</v>
      </c>
      <c r="F842" s="3" t="s">
        <v>24</v>
      </c>
      <c r="G842" s="11">
        <v>2</v>
      </c>
      <c r="H842" s="11">
        <v>0</v>
      </c>
      <c r="I842" s="3" t="s">
        <v>1055</v>
      </c>
      <c r="J842" s="3" t="s">
        <v>1842</v>
      </c>
      <c r="K842" s="3">
        <v>67882</v>
      </c>
      <c r="L842" s="11">
        <v>0</v>
      </c>
      <c r="M842" s="11">
        <v>0</v>
      </c>
      <c r="N842" s="3" t="s">
        <v>1722</v>
      </c>
      <c r="O842" s="3" t="s">
        <v>1723</v>
      </c>
      <c r="P842" s="3" t="s">
        <v>1724</v>
      </c>
      <c r="Q842" s="11">
        <v>255951</v>
      </c>
      <c r="R842" s="11">
        <v>300186462</v>
      </c>
      <c r="S842" s="3" t="s">
        <v>29</v>
      </c>
      <c r="T842" s="4" t="s">
        <v>1057</v>
      </c>
      <c r="U842" s="11">
        <f>World_Cup_Matches[[#This Row],[Home Team Goals]]+World_Cup_Matches[[#This Row],[Away Team Goals]]</f>
        <v>2</v>
      </c>
      <c r="V842" s="11">
        <f>World_Cup_Matches[[#This Row],[Home Team Goals]]-World_Cup_Matches[[#This Row],[Away Team Goals]]</f>
        <v>2</v>
      </c>
      <c r="W842" s="4" t="str">
        <f>IF(World_Cup_Matches[[#This Row],[Home Team Goals]]&gt;World_Cup_Matches[[#This Row],[Away Team Goals]],World_Cup_Matches[[#This Row],[Home Team Name]],IF(World_Cup_Matches[[#This Row],[Away Team Goals]]&gt;World_Cup_Matches[[#This Row],[Home Team Goals]], World_Cup_Matches[[#This Row],[Away Team Name]],"Draw"))</f>
        <v>France</v>
      </c>
      <c r="X842" s="4" t="str">
        <f>IF(World_Cup_Matches[[#This Row],[Home Team Goals]]&gt;World_Cup_Matches[[#This Row],[Away Team Goals]],"Hime Win",IF(World_Cup_Matches[[#This Row],[Away Team Goals]]&gt;World_Cup_Matches[[#This Row],[Home Team Goals]],"Away win","Draw"))</f>
        <v>Hime Win</v>
      </c>
    </row>
    <row r="843" spans="1:24" x14ac:dyDescent="0.2">
      <c r="A843" s="19">
        <v>2014</v>
      </c>
      <c r="B843" s="15" t="s">
        <v>1824</v>
      </c>
      <c r="C843" s="3" t="s">
        <v>878</v>
      </c>
      <c r="D843" s="3" t="s">
        <v>1747</v>
      </c>
      <c r="E843" s="3" t="s">
        <v>244</v>
      </c>
      <c r="F843" s="3" t="s">
        <v>124</v>
      </c>
      <c r="G843" s="11">
        <v>2</v>
      </c>
      <c r="H843" s="11">
        <v>1</v>
      </c>
      <c r="I843" s="3" t="s">
        <v>718</v>
      </c>
      <c r="J843" s="3" t="s">
        <v>1825</v>
      </c>
      <c r="K843" s="3"/>
      <c r="L843" s="11">
        <v>0</v>
      </c>
      <c r="M843" s="11">
        <v>0</v>
      </c>
      <c r="N843" s="3" t="s">
        <v>1748</v>
      </c>
      <c r="O843" s="3" t="s">
        <v>1749</v>
      </c>
      <c r="P843" s="3" t="s">
        <v>1750</v>
      </c>
      <c r="Q843" s="11">
        <v>255951</v>
      </c>
      <c r="R843" s="11">
        <v>300186460</v>
      </c>
      <c r="S843" s="3" t="s">
        <v>128</v>
      </c>
      <c r="T843" s="4" t="s">
        <v>722</v>
      </c>
      <c r="U843" s="11">
        <f>World_Cup_Matches[[#This Row],[Home Team Goals]]+World_Cup_Matches[[#This Row],[Away Team Goals]]</f>
        <v>3</v>
      </c>
      <c r="V843" s="11">
        <f>World_Cup_Matches[[#This Row],[Home Team Goals]]-World_Cup_Matches[[#This Row],[Away Team Goals]]</f>
        <v>1</v>
      </c>
      <c r="W843" s="4" t="str">
        <f>IF(World_Cup_Matches[[#This Row],[Home Team Goals]]&gt;World_Cup_Matches[[#This Row],[Away Team Goals]],World_Cup_Matches[[#This Row],[Home Team Name]],IF(World_Cup_Matches[[#This Row],[Away Team Goals]]&gt;World_Cup_Matches[[#This Row],[Home Team Goals]], World_Cup_Matches[[#This Row],[Away Team Name]],"Draw"))</f>
        <v>Germany</v>
      </c>
      <c r="X843" s="4" t="str">
        <f>IF(World_Cup_Matches[[#This Row],[Home Team Goals]]&gt;World_Cup_Matches[[#This Row],[Away Team Goals]],"Hime Win",IF(World_Cup_Matches[[#This Row],[Away Team Goals]]&gt;World_Cup_Matches[[#This Row],[Home Team Goals]],"Away win","Draw"))</f>
        <v>Hime Win</v>
      </c>
    </row>
    <row r="844" spans="1:24" x14ac:dyDescent="0.2">
      <c r="A844" s="19">
        <v>2014</v>
      </c>
      <c r="B844" s="15" t="s">
        <v>1840</v>
      </c>
      <c r="C844" s="3" t="s">
        <v>878</v>
      </c>
      <c r="D844" s="3" t="s">
        <v>1701</v>
      </c>
      <c r="E844" s="3" t="s">
        <v>233</v>
      </c>
      <c r="F844" s="3" t="s">
        <v>56</v>
      </c>
      <c r="G844" s="11">
        <v>1</v>
      </c>
      <c r="H844" s="11">
        <v>0</v>
      </c>
      <c r="I844" s="3" t="s">
        <v>108</v>
      </c>
      <c r="J844" s="3" t="s">
        <v>682</v>
      </c>
      <c r="K844" s="3">
        <v>63255</v>
      </c>
      <c r="L844" s="11">
        <v>0</v>
      </c>
      <c r="M844" s="11">
        <v>0</v>
      </c>
      <c r="N844" s="3" t="s">
        <v>1768</v>
      </c>
      <c r="O844" s="3" t="s">
        <v>1769</v>
      </c>
      <c r="P844" s="3" t="s">
        <v>1770</v>
      </c>
      <c r="Q844" s="11">
        <v>255951</v>
      </c>
      <c r="R844" s="11">
        <v>300186503</v>
      </c>
      <c r="S844" s="3" t="s">
        <v>59</v>
      </c>
      <c r="T844" s="4" t="s">
        <v>113</v>
      </c>
      <c r="U844" s="11">
        <f>World_Cup_Matches[[#This Row],[Home Team Goals]]+World_Cup_Matches[[#This Row],[Away Team Goals]]</f>
        <v>1</v>
      </c>
      <c r="V844" s="11">
        <f>World_Cup_Matches[[#This Row],[Home Team Goals]]-World_Cup_Matches[[#This Row],[Away Team Goals]]</f>
        <v>1</v>
      </c>
      <c r="W844" s="4" t="str">
        <f>IF(World_Cup_Matches[[#This Row],[Home Team Goals]]&gt;World_Cup_Matches[[#This Row],[Away Team Goals]],World_Cup_Matches[[#This Row],[Home Team Name]],IF(World_Cup_Matches[[#This Row],[Away Team Goals]]&gt;World_Cup_Matches[[#This Row],[Home Team Goals]], World_Cup_Matches[[#This Row],[Away Team Name]],"Draw"))</f>
        <v>Argentina</v>
      </c>
      <c r="X844" s="4" t="str">
        <f>IF(World_Cup_Matches[[#This Row],[Home Team Goals]]&gt;World_Cup_Matches[[#This Row],[Away Team Goals]],"Hime Win",IF(World_Cup_Matches[[#This Row],[Away Team Goals]]&gt;World_Cup_Matches[[#This Row],[Home Team Goals]],"Away win","Draw"))</f>
        <v>Hime Win</v>
      </c>
    </row>
    <row r="845" spans="1:24" x14ac:dyDescent="0.2">
      <c r="A845" s="19">
        <v>2014</v>
      </c>
      <c r="B845" s="15" t="s">
        <v>1841</v>
      </c>
      <c r="C845" s="3" t="s">
        <v>878</v>
      </c>
      <c r="D845" s="3" t="s">
        <v>1709</v>
      </c>
      <c r="E845" s="3" t="s">
        <v>1710</v>
      </c>
      <c r="F845" s="3" t="s">
        <v>34</v>
      </c>
      <c r="G845" s="11">
        <v>2</v>
      </c>
      <c r="H845" s="11">
        <v>1</v>
      </c>
      <c r="I845" s="3" t="s">
        <v>33</v>
      </c>
      <c r="J845" s="3" t="s">
        <v>879</v>
      </c>
      <c r="K845" s="3">
        <v>51227</v>
      </c>
      <c r="L845" s="11">
        <v>0</v>
      </c>
      <c r="M845" s="11">
        <v>0</v>
      </c>
      <c r="N845" s="3" t="s">
        <v>1781</v>
      </c>
      <c r="O845" s="3" t="s">
        <v>1655</v>
      </c>
      <c r="P845" s="3" t="s">
        <v>1782</v>
      </c>
      <c r="Q845" s="11">
        <v>255951</v>
      </c>
      <c r="R845" s="11">
        <v>300186497</v>
      </c>
      <c r="S845" s="3" t="s">
        <v>38</v>
      </c>
      <c r="T845" s="4" t="s">
        <v>33</v>
      </c>
      <c r="U845" s="11">
        <f>World_Cup_Matches[[#This Row],[Home Team Goals]]+World_Cup_Matches[[#This Row],[Away Team Goals]]</f>
        <v>3</v>
      </c>
      <c r="V845" s="11">
        <f>World_Cup_Matches[[#This Row],[Home Team Goals]]-World_Cup_Matches[[#This Row],[Away Team Goals]]</f>
        <v>1</v>
      </c>
      <c r="W845" s="4" t="str">
        <f>IF(World_Cup_Matches[[#This Row],[Home Team Goals]]&gt;World_Cup_Matches[[#This Row],[Away Team Goals]],World_Cup_Matches[[#This Row],[Home Team Name]],IF(World_Cup_Matches[[#This Row],[Away Team Goals]]&gt;World_Cup_Matches[[#This Row],[Home Team Goals]], World_Cup_Matches[[#This Row],[Away Team Name]],"Draw"))</f>
        <v>Belgium</v>
      </c>
      <c r="X845" s="4" t="str">
        <f>IF(World_Cup_Matches[[#This Row],[Home Team Goals]]&gt;World_Cup_Matches[[#This Row],[Away Team Goals]],"Hime Win",IF(World_Cup_Matches[[#This Row],[Away Team Goals]]&gt;World_Cup_Matches[[#This Row],[Home Team Goals]],"Away win","Draw"))</f>
        <v>Hime Win</v>
      </c>
    </row>
    <row r="846" spans="1:24" x14ac:dyDescent="0.2">
      <c r="A846" s="19">
        <v>2014</v>
      </c>
      <c r="B846" s="15" t="s">
        <v>1827</v>
      </c>
      <c r="C846" s="3" t="s">
        <v>150</v>
      </c>
      <c r="D846" s="3" t="s">
        <v>1752</v>
      </c>
      <c r="E846" s="3" t="s">
        <v>218</v>
      </c>
      <c r="F846" s="3" t="s">
        <v>24</v>
      </c>
      <c r="G846" s="11">
        <v>0</v>
      </c>
      <c r="H846" s="11">
        <v>1</v>
      </c>
      <c r="I846" s="3" t="s">
        <v>124</v>
      </c>
      <c r="J846" s="3" t="s">
        <v>1842</v>
      </c>
      <c r="K846" s="3">
        <v>74240</v>
      </c>
      <c r="L846" s="11">
        <v>0</v>
      </c>
      <c r="M846" s="11">
        <v>1</v>
      </c>
      <c r="N846" s="3" t="s">
        <v>1778</v>
      </c>
      <c r="O846" s="3" t="s">
        <v>1601</v>
      </c>
      <c r="P846" s="3" t="s">
        <v>1779</v>
      </c>
      <c r="Q846" s="11">
        <v>255953</v>
      </c>
      <c r="R846" s="11">
        <v>300186485</v>
      </c>
      <c r="S846" s="3" t="s">
        <v>29</v>
      </c>
      <c r="T846" s="4" t="s">
        <v>128</v>
      </c>
      <c r="U846" s="11">
        <f>World_Cup_Matches[[#This Row],[Home Team Goals]]+World_Cup_Matches[[#This Row],[Away Team Goals]]</f>
        <v>1</v>
      </c>
      <c r="V846" s="11">
        <f>World_Cup_Matches[[#This Row],[Home Team Goals]]-World_Cup_Matches[[#This Row],[Away Team Goals]]</f>
        <v>-1</v>
      </c>
      <c r="W846" s="4" t="str">
        <f>IF(World_Cup_Matches[[#This Row],[Home Team Goals]]&gt;World_Cup_Matches[[#This Row],[Away Team Goals]],World_Cup_Matches[[#This Row],[Home Team Name]],IF(World_Cup_Matches[[#This Row],[Away Team Goals]]&gt;World_Cup_Matches[[#This Row],[Home Team Goals]], World_Cup_Matches[[#This Row],[Away Team Name]],"Draw"))</f>
        <v>Germany</v>
      </c>
      <c r="X846" s="4" t="str">
        <f>IF(World_Cup_Matches[[#This Row],[Home Team Goals]]&gt;World_Cup_Matches[[#This Row],[Away Team Goals]],"Hime Win",IF(World_Cup_Matches[[#This Row],[Away Team Goals]]&gt;World_Cup_Matches[[#This Row],[Home Team Goals]],"Away win","Draw"))</f>
        <v>Away win</v>
      </c>
    </row>
    <row r="847" spans="1:24" x14ac:dyDescent="0.2">
      <c r="A847" s="19">
        <v>2014</v>
      </c>
      <c r="B847" s="15" t="s">
        <v>1826</v>
      </c>
      <c r="C847" s="3" t="s">
        <v>150</v>
      </c>
      <c r="D847" s="3" t="s">
        <v>1726</v>
      </c>
      <c r="E847" s="3" t="s">
        <v>1727</v>
      </c>
      <c r="F847" s="3" t="s">
        <v>42</v>
      </c>
      <c r="G847" s="11">
        <v>2</v>
      </c>
      <c r="H847" s="11">
        <v>1</v>
      </c>
      <c r="I847" s="3" t="s">
        <v>390</v>
      </c>
      <c r="J847" s="3" t="s">
        <v>1842</v>
      </c>
      <c r="K847" s="3">
        <v>60342</v>
      </c>
      <c r="L847" s="11">
        <v>1</v>
      </c>
      <c r="M847" s="11">
        <v>0</v>
      </c>
      <c r="N847" s="3" t="s">
        <v>1789</v>
      </c>
      <c r="O847" s="3" t="s">
        <v>1790</v>
      </c>
      <c r="P847" s="3" t="s">
        <v>1652</v>
      </c>
      <c r="Q847" s="11">
        <v>255953</v>
      </c>
      <c r="R847" s="11">
        <v>300186461</v>
      </c>
      <c r="S847" s="3" t="s">
        <v>47</v>
      </c>
      <c r="T847" s="4" t="s">
        <v>394</v>
      </c>
      <c r="U847" s="11">
        <f>World_Cup_Matches[[#This Row],[Home Team Goals]]+World_Cup_Matches[[#This Row],[Away Team Goals]]</f>
        <v>3</v>
      </c>
      <c r="V847" s="11">
        <f>World_Cup_Matches[[#This Row],[Home Team Goals]]-World_Cup_Matches[[#This Row],[Away Team Goals]]</f>
        <v>1</v>
      </c>
      <c r="W847" s="4" t="str">
        <f>IF(World_Cup_Matches[[#This Row],[Home Team Goals]]&gt;World_Cup_Matches[[#This Row],[Away Team Goals]],World_Cup_Matches[[#This Row],[Home Team Name]],IF(World_Cup_Matches[[#This Row],[Away Team Goals]]&gt;World_Cup_Matches[[#This Row],[Home Team Goals]], World_Cup_Matches[[#This Row],[Away Team Name]],"Draw"))</f>
        <v>Brazil</v>
      </c>
      <c r="X847" s="4" t="str">
        <f>IF(World_Cup_Matches[[#This Row],[Home Team Goals]]&gt;World_Cup_Matches[[#This Row],[Away Team Goals]],"Hime Win",IF(World_Cup_Matches[[#This Row],[Away Team Goals]]&gt;World_Cup_Matches[[#This Row],[Home Team Goals]],"Away win","Draw"))</f>
        <v>Hime Win</v>
      </c>
    </row>
    <row r="848" spans="1:24" x14ac:dyDescent="0.2">
      <c r="A848" s="19">
        <v>2014</v>
      </c>
      <c r="B848" s="15" t="s">
        <v>1836</v>
      </c>
      <c r="C848" s="3" t="s">
        <v>150</v>
      </c>
      <c r="D848" s="3" t="s">
        <v>1743</v>
      </c>
      <c r="E848" s="3" t="s">
        <v>1744</v>
      </c>
      <c r="F848" s="3" t="s">
        <v>56</v>
      </c>
      <c r="G848" s="11">
        <v>1</v>
      </c>
      <c r="H848" s="11">
        <v>0</v>
      </c>
      <c r="I848" s="3" t="s">
        <v>34</v>
      </c>
      <c r="J848" s="3" t="s">
        <v>1842</v>
      </c>
      <c r="K848" s="3">
        <v>68551</v>
      </c>
      <c r="L848" s="11">
        <v>1</v>
      </c>
      <c r="M848" s="11">
        <v>0</v>
      </c>
      <c r="N848" s="3" t="s">
        <v>1711</v>
      </c>
      <c r="O848" s="3" t="s">
        <v>1712</v>
      </c>
      <c r="P848" s="3" t="s">
        <v>1713</v>
      </c>
      <c r="Q848" s="11">
        <v>255953</v>
      </c>
      <c r="R848" s="11">
        <v>300186504</v>
      </c>
      <c r="S848" s="3" t="s">
        <v>59</v>
      </c>
      <c r="T848" s="4" t="s">
        <v>38</v>
      </c>
      <c r="U848" s="11">
        <f>World_Cup_Matches[[#This Row],[Home Team Goals]]+World_Cup_Matches[[#This Row],[Away Team Goals]]</f>
        <v>1</v>
      </c>
      <c r="V848" s="11">
        <f>World_Cup_Matches[[#This Row],[Home Team Goals]]-World_Cup_Matches[[#This Row],[Away Team Goals]]</f>
        <v>1</v>
      </c>
      <c r="W848" s="4" t="str">
        <f>IF(World_Cup_Matches[[#This Row],[Home Team Goals]]&gt;World_Cup_Matches[[#This Row],[Away Team Goals]],World_Cup_Matches[[#This Row],[Home Team Name]],IF(World_Cup_Matches[[#This Row],[Away Team Goals]]&gt;World_Cup_Matches[[#This Row],[Home Team Goals]], World_Cup_Matches[[#This Row],[Away Team Name]],"Draw"))</f>
        <v>Argentina</v>
      </c>
      <c r="X848" s="4" t="str">
        <f>IF(World_Cup_Matches[[#This Row],[Home Team Goals]]&gt;World_Cup_Matches[[#This Row],[Away Team Goals]],"Hime Win",IF(World_Cup_Matches[[#This Row],[Away Team Goals]]&gt;World_Cup_Matches[[#This Row],[Home Team Goals]],"Away win","Draw"))</f>
        <v>Hime Win</v>
      </c>
    </row>
    <row r="849" spans="1:24" x14ac:dyDescent="0.2">
      <c r="A849" s="19">
        <v>2014</v>
      </c>
      <c r="B849" s="15" t="s">
        <v>1834</v>
      </c>
      <c r="C849" s="3" t="s">
        <v>150</v>
      </c>
      <c r="D849" s="3" t="s">
        <v>1709</v>
      </c>
      <c r="E849" s="3" t="s">
        <v>1710</v>
      </c>
      <c r="F849" s="3" t="s">
        <v>109</v>
      </c>
      <c r="G849" s="11">
        <v>0</v>
      </c>
      <c r="H849" s="11">
        <v>0</v>
      </c>
      <c r="I849" s="3" t="s">
        <v>925</v>
      </c>
      <c r="J849" s="3" t="s">
        <v>1835</v>
      </c>
      <c r="K849" s="3">
        <v>51179</v>
      </c>
      <c r="L849" s="11">
        <v>0</v>
      </c>
      <c r="M849" s="11">
        <v>0</v>
      </c>
      <c r="N849" s="3" t="s">
        <v>1567</v>
      </c>
      <c r="O849" s="3" t="s">
        <v>1745</v>
      </c>
      <c r="P849" s="3" t="s">
        <v>1569</v>
      </c>
      <c r="Q849" s="11">
        <v>255953</v>
      </c>
      <c r="R849" s="11">
        <v>300186488</v>
      </c>
      <c r="S849" s="3" t="s">
        <v>114</v>
      </c>
      <c r="T849" s="4" t="s">
        <v>929</v>
      </c>
      <c r="U849" s="11">
        <f>World_Cup_Matches[[#This Row],[Home Team Goals]]+World_Cup_Matches[[#This Row],[Away Team Goals]]</f>
        <v>0</v>
      </c>
      <c r="V849" s="11">
        <f>World_Cup_Matches[[#This Row],[Home Team Goals]]-World_Cup_Matches[[#This Row],[Away Team Goals]]</f>
        <v>0</v>
      </c>
      <c r="W849" s="4" t="str">
        <f>IF(World_Cup_Matches[[#This Row],[Home Team Goals]]&gt;World_Cup_Matches[[#This Row],[Away Team Goals]],World_Cup_Matches[[#This Row],[Home Team Name]],IF(World_Cup_Matches[[#This Row],[Away Team Goals]]&gt;World_Cup_Matches[[#This Row],[Home Team Goals]], World_Cup_Matches[[#This Row],[Away Team Name]],"Draw"))</f>
        <v>Draw</v>
      </c>
      <c r="X849" s="4" t="str">
        <f>IF(World_Cup_Matches[[#This Row],[Home Team Goals]]&gt;World_Cup_Matches[[#This Row],[Away Team Goals]],"Hime Win",IF(World_Cup_Matches[[#This Row],[Away Team Goals]]&gt;World_Cup_Matches[[#This Row],[Home Team Goals]],"Away win","Draw"))</f>
        <v>Draw</v>
      </c>
    </row>
    <row r="850" spans="1:24" x14ac:dyDescent="0.2">
      <c r="A850" s="19">
        <v>2014</v>
      </c>
      <c r="B850" s="15" t="s">
        <v>1828</v>
      </c>
      <c r="C850" s="3" t="s">
        <v>83</v>
      </c>
      <c r="D850" s="3" t="s">
        <v>1721</v>
      </c>
      <c r="E850" s="3" t="s">
        <v>237</v>
      </c>
      <c r="F850" s="3" t="s">
        <v>42</v>
      </c>
      <c r="G850" s="11">
        <v>1</v>
      </c>
      <c r="H850" s="11">
        <v>7</v>
      </c>
      <c r="I850" s="3" t="s">
        <v>124</v>
      </c>
      <c r="J850" s="3" t="s">
        <v>1842</v>
      </c>
      <c r="K850" s="3">
        <v>58141</v>
      </c>
      <c r="L850" s="11">
        <v>0</v>
      </c>
      <c r="M850" s="11">
        <v>5</v>
      </c>
      <c r="N850" s="3" t="s">
        <v>1432</v>
      </c>
      <c r="O850" s="3" t="s">
        <v>1618</v>
      </c>
      <c r="P850" s="3" t="s">
        <v>1772</v>
      </c>
      <c r="Q850" s="11">
        <v>255955</v>
      </c>
      <c r="R850" s="11">
        <v>300186474</v>
      </c>
      <c r="S850" s="3" t="s">
        <v>47</v>
      </c>
      <c r="T850" s="4" t="s">
        <v>128</v>
      </c>
      <c r="U850" s="11">
        <f>World_Cup_Matches[[#This Row],[Home Team Goals]]+World_Cup_Matches[[#This Row],[Away Team Goals]]</f>
        <v>8</v>
      </c>
      <c r="V850" s="11">
        <f>World_Cup_Matches[[#This Row],[Home Team Goals]]-World_Cup_Matches[[#This Row],[Away Team Goals]]</f>
        <v>-6</v>
      </c>
      <c r="W850" s="4" t="str">
        <f>IF(World_Cup_Matches[[#This Row],[Home Team Goals]]&gt;World_Cup_Matches[[#This Row],[Away Team Goals]],World_Cup_Matches[[#This Row],[Home Team Name]],IF(World_Cup_Matches[[#This Row],[Away Team Goals]]&gt;World_Cup_Matches[[#This Row],[Home Team Goals]], World_Cup_Matches[[#This Row],[Away Team Name]],"Draw"))</f>
        <v>Germany</v>
      </c>
      <c r="X850" s="4" t="str">
        <f>IF(World_Cup_Matches[[#This Row],[Home Team Goals]]&gt;World_Cup_Matches[[#This Row],[Away Team Goals]],"Hime Win",IF(World_Cup_Matches[[#This Row],[Away Team Goals]]&gt;World_Cup_Matches[[#This Row],[Home Team Goals]],"Away win","Draw"))</f>
        <v>Away win</v>
      </c>
    </row>
    <row r="851" spans="1:24" x14ac:dyDescent="0.2">
      <c r="A851" s="19">
        <v>2014</v>
      </c>
      <c r="B851" s="15" t="s">
        <v>1832</v>
      </c>
      <c r="C851" s="3" t="s">
        <v>83</v>
      </c>
      <c r="D851" s="3" t="s">
        <v>1701</v>
      </c>
      <c r="E851" s="3" t="s">
        <v>233</v>
      </c>
      <c r="F851" s="3" t="s">
        <v>109</v>
      </c>
      <c r="G851" s="11">
        <v>0</v>
      </c>
      <c r="H851" s="11">
        <v>0</v>
      </c>
      <c r="I851" s="3" t="s">
        <v>56</v>
      </c>
      <c r="J851" s="3" t="s">
        <v>1833</v>
      </c>
      <c r="K851" s="3">
        <v>63267</v>
      </c>
      <c r="L851" s="11">
        <v>0</v>
      </c>
      <c r="M851" s="11">
        <v>0</v>
      </c>
      <c r="N851" s="3" t="s">
        <v>1774</v>
      </c>
      <c r="O851" s="3" t="s">
        <v>1775</v>
      </c>
      <c r="P851" s="3" t="s">
        <v>1776</v>
      </c>
      <c r="Q851" s="11">
        <v>255955</v>
      </c>
      <c r="R851" s="11">
        <v>300186490</v>
      </c>
      <c r="S851" s="3" t="s">
        <v>114</v>
      </c>
      <c r="T851" s="4" t="s">
        <v>59</v>
      </c>
      <c r="U851" s="11">
        <f>World_Cup_Matches[[#This Row],[Home Team Goals]]+World_Cup_Matches[[#This Row],[Away Team Goals]]</f>
        <v>0</v>
      </c>
      <c r="V851" s="11">
        <f>World_Cup_Matches[[#This Row],[Home Team Goals]]-World_Cup_Matches[[#This Row],[Away Team Goals]]</f>
        <v>0</v>
      </c>
      <c r="W851" s="4" t="str">
        <f>IF(World_Cup_Matches[[#This Row],[Home Team Goals]]&gt;World_Cup_Matches[[#This Row],[Away Team Goals]],World_Cup_Matches[[#This Row],[Home Team Name]],IF(World_Cup_Matches[[#This Row],[Away Team Goals]]&gt;World_Cup_Matches[[#This Row],[Home Team Goals]], World_Cup_Matches[[#This Row],[Away Team Name]],"Draw"))</f>
        <v>Draw</v>
      </c>
      <c r="X851" s="4" t="str">
        <f>IF(World_Cup_Matches[[#This Row],[Home Team Goals]]&gt;World_Cup_Matches[[#This Row],[Away Team Goals]],"Hime Win",IF(World_Cup_Matches[[#This Row],[Away Team Goals]]&gt;World_Cup_Matches[[#This Row],[Home Team Goals]],"Away win","Draw"))</f>
        <v>Draw</v>
      </c>
    </row>
    <row r="852" spans="1:24" x14ac:dyDescent="0.2">
      <c r="A852" s="19">
        <v>2014</v>
      </c>
      <c r="B852" s="15" t="s">
        <v>1829</v>
      </c>
      <c r="C852" s="3" t="s">
        <v>1830</v>
      </c>
      <c r="D852" s="3" t="s">
        <v>1743</v>
      </c>
      <c r="E852" s="3" t="s">
        <v>1744</v>
      </c>
      <c r="F852" s="3" t="s">
        <v>42</v>
      </c>
      <c r="G852" s="11">
        <v>0</v>
      </c>
      <c r="H852" s="11">
        <v>3</v>
      </c>
      <c r="I852" s="3" t="s">
        <v>109</v>
      </c>
      <c r="J852" s="3" t="s">
        <v>1842</v>
      </c>
      <c r="K852" s="3">
        <v>68034</v>
      </c>
      <c r="L852" s="11">
        <v>0</v>
      </c>
      <c r="M852" s="11">
        <v>2</v>
      </c>
      <c r="N852" s="3" t="s">
        <v>1781</v>
      </c>
      <c r="O852" s="3" t="s">
        <v>1655</v>
      </c>
      <c r="P852" s="3" t="s">
        <v>1782</v>
      </c>
      <c r="Q852" s="11">
        <v>255957</v>
      </c>
      <c r="R852" s="11">
        <v>300186502</v>
      </c>
      <c r="S852" s="3" t="s">
        <v>47</v>
      </c>
      <c r="T852" s="4" t="s">
        <v>114</v>
      </c>
      <c r="U852" s="11">
        <f>World_Cup_Matches[[#This Row],[Home Team Goals]]+World_Cup_Matches[[#This Row],[Away Team Goals]]</f>
        <v>3</v>
      </c>
      <c r="V852" s="11">
        <f>World_Cup_Matches[[#This Row],[Home Team Goals]]-World_Cup_Matches[[#This Row],[Away Team Goals]]</f>
        <v>-3</v>
      </c>
      <c r="W852" s="4" t="str">
        <f>IF(World_Cup_Matches[[#This Row],[Home Team Goals]]&gt;World_Cup_Matches[[#This Row],[Away Team Goals]],World_Cup_Matches[[#This Row],[Home Team Name]],IF(World_Cup_Matches[[#This Row],[Away Team Goals]]&gt;World_Cup_Matches[[#This Row],[Home Team Goals]], World_Cup_Matches[[#This Row],[Away Team Name]],"Draw"))</f>
        <v>Netherlands</v>
      </c>
      <c r="X852" s="4" t="str">
        <f>IF(World_Cup_Matches[[#This Row],[Home Team Goals]]&gt;World_Cup_Matches[[#This Row],[Away Team Goals]],"Hime Win",IF(World_Cup_Matches[[#This Row],[Away Team Goals]]&gt;World_Cup_Matches[[#This Row],[Home Team Goals]],"Away win","Draw"))</f>
        <v>Away win</v>
      </c>
    </row>
    <row r="853" spans="1:24" x14ac:dyDescent="0.2">
      <c r="A853" s="20">
        <v>2014</v>
      </c>
      <c r="B853" s="16" t="s">
        <v>1831</v>
      </c>
      <c r="C853" s="7" t="s">
        <v>86</v>
      </c>
      <c r="D853" s="7" t="s">
        <v>1752</v>
      </c>
      <c r="E853" s="7" t="s">
        <v>218</v>
      </c>
      <c r="F853" s="7" t="s">
        <v>124</v>
      </c>
      <c r="G853" s="12">
        <v>1</v>
      </c>
      <c r="H853" s="12">
        <v>0</v>
      </c>
      <c r="I853" s="7" t="s">
        <v>56</v>
      </c>
      <c r="J853" s="7" t="s">
        <v>1825</v>
      </c>
      <c r="K853" s="7">
        <v>74738</v>
      </c>
      <c r="L853" s="12">
        <v>0</v>
      </c>
      <c r="M853" s="12">
        <v>0</v>
      </c>
      <c r="N853" s="7" t="s">
        <v>1711</v>
      </c>
      <c r="O853" s="7" t="s">
        <v>1712</v>
      </c>
      <c r="P853" s="7" t="s">
        <v>1713</v>
      </c>
      <c r="Q853" s="12">
        <v>255959</v>
      </c>
      <c r="R853" s="12">
        <v>300186501</v>
      </c>
      <c r="S853" s="7" t="s">
        <v>128</v>
      </c>
      <c r="T853" s="8" t="s">
        <v>59</v>
      </c>
      <c r="U853" s="11">
        <f>World_Cup_Matches[[#This Row],[Home Team Goals]]+World_Cup_Matches[[#This Row],[Away Team Goals]]</f>
        <v>1</v>
      </c>
      <c r="V853" s="11">
        <f>World_Cup_Matches[[#This Row],[Home Team Goals]]-World_Cup_Matches[[#This Row],[Away Team Goals]]</f>
        <v>1</v>
      </c>
      <c r="W853" s="4" t="str">
        <f>IF(World_Cup_Matches[[#This Row],[Home Team Goals]]&gt;World_Cup_Matches[[#This Row],[Away Team Goals]],World_Cup_Matches[[#This Row],[Home Team Name]],IF(World_Cup_Matches[[#This Row],[Away Team Goals]]&gt;World_Cup_Matches[[#This Row],[Home Team Goals]], World_Cup_Matches[[#This Row],[Away Team Name]],"Draw"))</f>
        <v>Germany</v>
      </c>
      <c r="X853" s="4" t="str">
        <f>IF(World_Cup_Matches[[#This Row],[Home Team Goals]]&gt;World_Cup_Matches[[#This Row],[Away Team Goals]],"Hime Win",IF(World_Cup_Matches[[#This Row],[Away Team Goals]]&gt;World_Cup_Matches[[#This Row],[Home Team Goals]],"Away win","Draw"))</f>
        <v>Hime Win</v>
      </c>
    </row>
  </sheetData>
  <pageMargins left="0.78749999999999998" right="0.78749999999999998" top="1.05277777777778" bottom="1.05277777777778" header="0.78749999999999998" footer="0.78749999999999998"/>
  <pageSetup paperSize="9" orientation="portrait" useFirstPageNumber="1" horizontalDpi="300" verticalDpi="300" r:id="rId1"/>
  <headerFooter>
    <oddHeader>&amp;C&amp;"Times New Roman,Regular"&amp;12&amp;A</oddHeader>
    <oddFooter>&amp;C&amp;"Times New Roman,Regular"&amp;12Page &amp;P</oddFooter>
  </headerFooter>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B4536-6851-4E4A-BCE9-644D23FB6C36}">
  <sheetPr>
    <tabColor theme="5"/>
    <pageSetUpPr fitToPage="1"/>
  </sheetPr>
  <dimension ref="A1"/>
  <sheetViews>
    <sheetView showGridLines="0" tabSelected="1" view="pageBreakPreview" topLeftCell="A16" zoomScale="25" zoomScaleNormal="55" zoomScaleSheetLayoutView="25" workbookViewId="0">
      <selection activeCell="BZ82" sqref="BZ82"/>
    </sheetView>
  </sheetViews>
  <sheetFormatPr defaultRowHeight="12.75" x14ac:dyDescent="0.2"/>
  <sheetData/>
  <pageMargins left="0.7" right="0.4" top="0.75" bottom="0.75" header="0.3" footer="0.3"/>
  <pageSetup paperSize="9" scale="21" fitToHeight="0" orientation="landscape" r:id="rId1"/>
  <drawing r:id="rId2"/>
  <extLst>
    <ext xmlns:x14="http://schemas.microsoft.com/office/spreadsheetml/2009/9/main" uri="{A8765BA9-456A-4dab-B4F3-ACF838C121DE}">
      <x14:slicerList>
        <x14:slicer r:id="rId3"/>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820A05-8BD4-4F54-8870-7DA0F7EFDDC9}">
  <dimension ref="A1:B4"/>
  <sheetViews>
    <sheetView workbookViewId="0">
      <selection activeCell="B3" sqref="B3"/>
    </sheetView>
  </sheetViews>
  <sheetFormatPr defaultRowHeight="12.75" x14ac:dyDescent="0.2"/>
  <cols>
    <col min="1" max="1" width="22.28515625" bestFit="1" customWidth="1"/>
    <col min="2" max="2" width="11.28515625" style="24" bestFit="1" customWidth="1"/>
  </cols>
  <sheetData>
    <row r="1" spans="1:2" x14ac:dyDescent="0.2">
      <c r="A1" t="s">
        <v>1880</v>
      </c>
      <c r="B1" s="29">
        <f>ROWS(World_Cup_Matches[])</f>
        <v>852</v>
      </c>
    </row>
    <row r="2" spans="1:2" x14ac:dyDescent="0.2">
      <c r="A2" t="s">
        <v>1850</v>
      </c>
      <c r="B2" s="29">
        <f>Table3[[#Totals],[Team Goals]]</f>
        <v>2414</v>
      </c>
    </row>
    <row r="3" spans="1:2" x14ac:dyDescent="0.2">
      <c r="A3" t="s">
        <v>1881</v>
      </c>
      <c r="B3" s="25">
        <f>GETPIVOTDATA("[Measures].[Average of total goals]",'Average of Total Goals per Year'!$A$3)</f>
        <v>2.8333333333333335</v>
      </c>
    </row>
    <row r="4" spans="1:2" x14ac:dyDescent="0.2">
      <c r="A4" t="s">
        <v>1882</v>
      </c>
      <c r="B4" s="36">
        <f>GETPIVOTDATA("[Measures].[Average of Attendance]",'Average Attendance by World Cup'!$A$3)</f>
        <v>45164.800000000003</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13</vt:i4>
      </vt:variant>
      <vt:variant>
        <vt:lpstr>Named Ranges</vt:lpstr>
      </vt:variant>
      <vt:variant>
        <vt:i4>1</vt:i4>
      </vt:variant>
    </vt:vector>
  </HeadingPairs>
  <TitlesOfParts>
    <vt:vector size="14" baseType="lpstr">
      <vt:lpstr>Number of Matches</vt:lpstr>
      <vt:lpstr>Number of Goals</vt:lpstr>
      <vt:lpstr>Average of Total Goals per Year</vt:lpstr>
      <vt:lpstr>Avarage of goals per stage</vt:lpstr>
      <vt:lpstr>Top 10 Host Cities by Number of</vt:lpstr>
      <vt:lpstr>Sheet12</vt:lpstr>
      <vt:lpstr>Average Attendance by World Cup</vt:lpstr>
      <vt:lpstr>Top 10 Team plaied matches</vt:lpstr>
      <vt:lpstr>Draft</vt:lpstr>
      <vt:lpstr>Top 10 Teams by Total Goals</vt:lpstr>
      <vt:lpstr>WorldCupMatches</vt:lpstr>
      <vt:lpstr>Dashboard</vt:lpstr>
      <vt:lpstr>Summary</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Abdelr7man</dc:creator>
  <dc:description/>
  <cp:lastModifiedBy>Abdelrman Alaa</cp:lastModifiedBy>
  <cp:revision>0</cp:revision>
  <cp:lastPrinted>2026-08-05T01:48:27Z</cp:lastPrinted>
  <dcterms:created xsi:type="dcterms:W3CDTF">2026-08-04T21:07:42Z</dcterms:created>
  <dcterms:modified xsi:type="dcterms:W3CDTF">2026-08-05T01:56:59Z</dcterms:modified>
  <dc:language>en-US</dc:language>
</cp:coreProperties>
</file>